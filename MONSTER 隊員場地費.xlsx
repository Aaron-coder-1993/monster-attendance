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armin-my.sharepoint.com/personal/zhanaaron_ad_garmin_com/Documents/Desktop/AARON/Python_data/Final/"/>
    </mc:Choice>
  </mc:AlternateContent>
  <xr:revisionPtr revIDLastSave="6" documentId="11_5BF0F40AFEADF7AECB863F77C2840BFC37CB4FB4" xr6:coauthVersionLast="47" xr6:coauthVersionMax="47" xr10:uidLastSave="{3993F973-A4CA-4468-B85F-EB5C1421F94A}"/>
  <bookViews>
    <workbookView xWindow="-120" yWindow="-120" windowWidth="29040" windowHeight="15720" firstSheet="34" activeTab="35" xr2:uid="{00000000-000D-0000-FFFF-FFFF00000000}"/>
  </bookViews>
  <sheets>
    <sheet name="202304" sheetId="1" state="hidden" r:id="rId1"/>
    <sheet name="202305" sheetId="2" state="hidden" r:id="rId2"/>
    <sheet name="202306" sheetId="3" state="hidden" r:id="rId3"/>
    <sheet name="202307" sheetId="4" state="hidden" r:id="rId4"/>
    <sheet name="202308" sheetId="5" state="hidden" r:id="rId5"/>
    <sheet name="202309" sheetId="6" state="hidden" r:id="rId6"/>
    <sheet name="202310" sheetId="7" state="hidden" r:id="rId7"/>
    <sheet name="202311" sheetId="8" state="hidden" r:id="rId8"/>
    <sheet name="202312" sheetId="9" state="hidden" r:id="rId9"/>
    <sheet name="202401" sheetId="10" state="hidden" r:id="rId10"/>
    <sheet name="202402" sheetId="11" state="hidden" r:id="rId11"/>
    <sheet name="202403" sheetId="12" state="hidden" r:id="rId12"/>
    <sheet name="202404" sheetId="13" state="hidden" r:id="rId13"/>
    <sheet name="202405" sheetId="14" state="hidden" r:id="rId14"/>
    <sheet name="202406" sheetId="15" state="hidden" r:id="rId15"/>
    <sheet name="202407" sheetId="16" state="hidden" r:id="rId16"/>
    <sheet name="202408" sheetId="17" state="hidden" r:id="rId17"/>
    <sheet name="202409" sheetId="18" state="hidden" r:id="rId18"/>
    <sheet name="202410" sheetId="19" state="hidden" r:id="rId19"/>
    <sheet name="202411" sheetId="20" state="hidden" r:id="rId20"/>
    <sheet name="202501" sheetId="21" state="hidden" r:id="rId21"/>
    <sheet name="202502" sheetId="22" state="hidden" r:id="rId22"/>
    <sheet name="202503" sheetId="23" state="hidden" r:id="rId23"/>
    <sheet name="202504" sheetId="24" state="hidden" r:id="rId24"/>
    <sheet name="202412" sheetId="25" state="hidden" r:id="rId25"/>
    <sheet name="202506" sheetId="26" state="hidden" r:id="rId26"/>
    <sheet name="202507" sheetId="27" state="hidden" r:id="rId27"/>
    <sheet name="202508" sheetId="28" state="hidden" r:id="rId28"/>
    <sheet name="202509" sheetId="29" state="hidden" r:id="rId29"/>
    <sheet name="「202508」的副本" sheetId="30" state="hidden" r:id="rId30"/>
    <sheet name="「「202508」的副本」的副本" sheetId="31" state="hidden" r:id="rId31"/>
    <sheet name="202510" sheetId="32" state="hidden" r:id="rId32"/>
    <sheet name="202511" sheetId="33" state="hidden" r:id="rId33"/>
    <sheet name="202512" sheetId="34" state="hidden" r:id="rId34"/>
    <sheet name="202608" sheetId="35" r:id="rId35"/>
    <sheet name="202609" sheetId="36" r:id="rId36"/>
  </sheets>
  <definedNames>
    <definedName name="_xlnm._FilterDatabase" localSheetId="20" hidden="1">'202501'!$AG$4:$AI$140</definedName>
    <definedName name="_xlnm._FilterDatabase" localSheetId="21" hidden="1">'202502'!$AG$4:$AI$141</definedName>
    <definedName name="_xlnm._FilterDatabase" localSheetId="22" hidden="1">'202503'!$AG$4:$AI$141</definedName>
    <definedName name="_xlnm._FilterDatabase" localSheetId="23" hidden="1">'202504'!$AG$4:$AI$140</definedName>
    <definedName name="_xlnm._FilterDatabase" localSheetId="31" hidden="1">'202510'!$AG$4:$AI$139</definedName>
    <definedName name="_xlnm._FilterDatabase" localSheetId="32" hidden="1">'202511'!$AG$4:$AI$143</definedName>
    <definedName name="_xlnm._FilterDatabase" localSheetId="33" hidden="1">'202512'!$AH$4:$AJ$150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59" i="35" l="1"/>
  <c r="AI158" i="35"/>
  <c r="AI157" i="35"/>
  <c r="AI156" i="35"/>
  <c r="AI155" i="35"/>
  <c r="AI154" i="35"/>
  <c r="AI153" i="35"/>
  <c r="AI152" i="35"/>
  <c r="AI151" i="35"/>
  <c r="AI150" i="35"/>
  <c r="AI149" i="35"/>
  <c r="AI148" i="35"/>
  <c r="AI147" i="35"/>
  <c r="AI146" i="35"/>
  <c r="AI145" i="35"/>
  <c r="AI144" i="35"/>
  <c r="AI143" i="35"/>
  <c r="AI142" i="35"/>
  <c r="AI141" i="35"/>
  <c r="AI140" i="35"/>
  <c r="AI139" i="35"/>
  <c r="AI138" i="35"/>
  <c r="AI137" i="35"/>
  <c r="AI136" i="35"/>
  <c r="AI135" i="35"/>
  <c r="AI134" i="35"/>
  <c r="AI133" i="35"/>
  <c r="AI132" i="35"/>
  <c r="AI131" i="35"/>
  <c r="AI130" i="35"/>
  <c r="AI129" i="35"/>
  <c r="AI128" i="35"/>
  <c r="AI127" i="35"/>
  <c r="AI126" i="35"/>
  <c r="AI125" i="35"/>
  <c r="AI124" i="35"/>
  <c r="AI123" i="35"/>
  <c r="AI122" i="35"/>
  <c r="AI121" i="35"/>
  <c r="AI120" i="35"/>
  <c r="AI119" i="35"/>
  <c r="AI118" i="35"/>
  <c r="AI117" i="35"/>
  <c r="AI116" i="35"/>
  <c r="AI115" i="35"/>
  <c r="AI114" i="35"/>
  <c r="AI113" i="35"/>
  <c r="AI112" i="35"/>
  <c r="AI111" i="35"/>
  <c r="AI110" i="35"/>
  <c r="AI109" i="35"/>
  <c r="AI108" i="35"/>
  <c r="AI107" i="35"/>
  <c r="AI106" i="35"/>
  <c r="AI105" i="35"/>
  <c r="AI10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G3" i="35"/>
  <c r="AF3" i="35"/>
  <c r="AE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AI150" i="34"/>
  <c r="AI149" i="34"/>
  <c r="AI148" i="34"/>
  <c r="AI147" i="34"/>
  <c r="AI146" i="34"/>
  <c r="AI145" i="34"/>
  <c r="AI144" i="34"/>
  <c r="AI143" i="34"/>
  <c r="AI142" i="34"/>
  <c r="AI141" i="34"/>
  <c r="AI140" i="34"/>
  <c r="AI139" i="34"/>
  <c r="AI138" i="34"/>
  <c r="AJ137" i="34"/>
  <c r="AI137" i="34"/>
  <c r="AJ136" i="34"/>
  <c r="AI136" i="34"/>
  <c r="AJ135" i="34"/>
  <c r="AI135" i="34"/>
  <c r="AJ134" i="34"/>
  <c r="AI134" i="34"/>
  <c r="AJ133" i="34"/>
  <c r="AI133" i="34"/>
  <c r="AJ132" i="34"/>
  <c r="AI132" i="34"/>
  <c r="AJ131" i="34"/>
  <c r="AI131" i="34"/>
  <c r="AJ130" i="34"/>
  <c r="AI130" i="34"/>
  <c r="AJ129" i="34"/>
  <c r="AI129" i="34"/>
  <c r="AJ128" i="34"/>
  <c r="AI128" i="34"/>
  <c r="AJ127" i="34"/>
  <c r="AI127" i="34"/>
  <c r="AJ126" i="34"/>
  <c r="AI126" i="34"/>
  <c r="AJ125" i="34"/>
  <c r="AI125" i="34"/>
  <c r="AJ124" i="34"/>
  <c r="AI124" i="34"/>
  <c r="AJ123" i="34"/>
  <c r="AI123" i="34"/>
  <c r="AJ122" i="34"/>
  <c r="AI122" i="34"/>
  <c r="AJ121" i="34"/>
  <c r="AI121" i="34"/>
  <c r="AJ120" i="34"/>
  <c r="AI120" i="34"/>
  <c r="AJ119" i="34"/>
  <c r="AI119" i="34"/>
  <c r="AJ118" i="34"/>
  <c r="AI118" i="34"/>
  <c r="AJ117" i="34"/>
  <c r="AI117" i="34"/>
  <c r="AJ116" i="34"/>
  <c r="AI116" i="34"/>
  <c r="AJ115" i="34"/>
  <c r="AI115" i="34"/>
  <c r="AJ114" i="34"/>
  <c r="AI114" i="34"/>
  <c r="AJ113" i="34"/>
  <c r="AI113" i="34"/>
  <c r="AI112" i="34"/>
  <c r="AI111" i="34"/>
  <c r="AI110" i="34"/>
  <c r="AJ109" i="34"/>
  <c r="AI109" i="34"/>
  <c r="AJ108" i="34"/>
  <c r="AI108" i="34"/>
  <c r="AJ107" i="34"/>
  <c r="AI107" i="34"/>
  <c r="AJ106" i="34"/>
  <c r="AI106" i="34"/>
  <c r="AJ105" i="34"/>
  <c r="AI105" i="34"/>
  <c r="AJ104" i="34"/>
  <c r="AI104" i="34"/>
  <c r="AJ103" i="34"/>
  <c r="AI103" i="34"/>
  <c r="AJ102" i="34"/>
  <c r="AI102" i="34"/>
  <c r="AJ101" i="34"/>
  <c r="AI101" i="34"/>
  <c r="AJ100" i="34"/>
  <c r="AI100" i="34"/>
  <c r="AJ99" i="34"/>
  <c r="AI99" i="34"/>
  <c r="AJ98" i="34"/>
  <c r="AI98" i="34"/>
  <c r="AJ97" i="34"/>
  <c r="AI97" i="34"/>
  <c r="AJ96" i="34"/>
  <c r="AI96" i="34"/>
  <c r="AJ95" i="34"/>
  <c r="AI95" i="34"/>
  <c r="AJ94" i="34"/>
  <c r="AI94" i="34"/>
  <c r="AJ93" i="34"/>
  <c r="AI93" i="34"/>
  <c r="AJ92" i="34"/>
  <c r="AI92" i="34"/>
  <c r="AJ91" i="34"/>
  <c r="AI91" i="34"/>
  <c r="AJ90" i="34"/>
  <c r="AI90" i="34"/>
  <c r="AI89" i="34"/>
  <c r="AI88" i="34"/>
  <c r="AJ87" i="34"/>
  <c r="AI87" i="34"/>
  <c r="AJ86" i="34"/>
  <c r="AI86" i="34"/>
  <c r="AJ85" i="34"/>
  <c r="AI85" i="34"/>
  <c r="AJ84" i="34"/>
  <c r="AI84" i="34"/>
  <c r="AJ83" i="34"/>
  <c r="AI83" i="34"/>
  <c r="AJ82" i="34"/>
  <c r="AI82" i="34"/>
  <c r="AJ81" i="34"/>
  <c r="AI81" i="34"/>
  <c r="AJ80" i="34"/>
  <c r="AI80" i="34"/>
  <c r="AJ79" i="34"/>
  <c r="AI79" i="34"/>
  <c r="AJ78" i="34"/>
  <c r="AI78" i="34"/>
  <c r="AJ77" i="34"/>
  <c r="AI77" i="34"/>
  <c r="AJ76" i="34"/>
  <c r="AI76" i="34"/>
  <c r="AJ75" i="34"/>
  <c r="AI75" i="34"/>
  <c r="AJ74" i="34"/>
  <c r="AI74" i="34"/>
  <c r="AJ73" i="34"/>
  <c r="AI73" i="34"/>
  <c r="AJ72" i="34"/>
  <c r="AI72" i="34"/>
  <c r="AJ71" i="34"/>
  <c r="AI71" i="34"/>
  <c r="AJ70" i="34"/>
  <c r="AI70" i="34"/>
  <c r="AJ69" i="34"/>
  <c r="AI69" i="34"/>
  <c r="AJ68" i="34"/>
  <c r="AI68" i="34"/>
  <c r="AJ67" i="34"/>
  <c r="AI67" i="34"/>
  <c r="AJ66" i="34"/>
  <c r="AI66" i="34"/>
  <c r="AJ65" i="34"/>
  <c r="AI65" i="34"/>
  <c r="AJ64" i="34"/>
  <c r="AI64" i="34"/>
  <c r="AJ63" i="34"/>
  <c r="AI63" i="34"/>
  <c r="AJ62" i="34"/>
  <c r="AI62" i="34"/>
  <c r="AJ61" i="34"/>
  <c r="AI61" i="34"/>
  <c r="AJ60" i="34"/>
  <c r="AI60" i="34"/>
  <c r="AJ59" i="34"/>
  <c r="AI59" i="34"/>
  <c r="AJ58" i="34"/>
  <c r="AI58" i="34"/>
  <c r="AJ57" i="34"/>
  <c r="AI57" i="34"/>
  <c r="AJ56" i="34"/>
  <c r="AI56" i="34"/>
  <c r="AJ55" i="34"/>
  <c r="AI55" i="34"/>
  <c r="AJ54" i="34"/>
  <c r="AI54" i="34"/>
  <c r="AJ53" i="34"/>
  <c r="AI53" i="34"/>
  <c r="AJ52" i="34"/>
  <c r="AI52" i="34"/>
  <c r="AJ51" i="34"/>
  <c r="AI51" i="34"/>
  <c r="AJ50" i="34"/>
  <c r="AI50" i="34"/>
  <c r="AJ49" i="34"/>
  <c r="AI49" i="34"/>
  <c r="AJ48" i="34"/>
  <c r="AI48" i="34"/>
  <c r="AJ47" i="34"/>
  <c r="AI47" i="34"/>
  <c r="AJ46" i="34"/>
  <c r="AI46" i="34"/>
  <c r="AJ45" i="34"/>
  <c r="AI45" i="34"/>
  <c r="AJ44" i="34"/>
  <c r="AI44" i="34"/>
  <c r="AJ43" i="34"/>
  <c r="AI43" i="34"/>
  <c r="AJ42" i="34"/>
  <c r="AI42" i="34"/>
  <c r="AJ41" i="34"/>
  <c r="AI41" i="34"/>
  <c r="AJ40" i="34"/>
  <c r="AI40" i="34"/>
  <c r="AJ39" i="34"/>
  <c r="AI39" i="34"/>
  <c r="AJ38" i="34"/>
  <c r="AI38" i="34"/>
  <c r="AJ37" i="34"/>
  <c r="AI37" i="34"/>
  <c r="AJ36" i="34"/>
  <c r="AI36" i="34"/>
  <c r="AJ35" i="34"/>
  <c r="AI35" i="34"/>
  <c r="AJ34" i="34"/>
  <c r="AI34" i="34"/>
  <c r="AJ33" i="34"/>
  <c r="AI33" i="34"/>
  <c r="AJ32" i="34"/>
  <c r="AI32" i="34"/>
  <c r="AJ31" i="34"/>
  <c r="AI31" i="34"/>
  <c r="AJ30" i="34"/>
  <c r="AI30" i="34"/>
  <c r="AJ29" i="34"/>
  <c r="AI29" i="34"/>
  <c r="AJ28" i="34"/>
  <c r="AI28" i="34"/>
  <c r="AJ27" i="34"/>
  <c r="AI27" i="34"/>
  <c r="AJ26" i="34"/>
  <c r="AI26" i="34"/>
  <c r="AJ25" i="34"/>
  <c r="AI25" i="34"/>
  <c r="AJ24" i="34"/>
  <c r="AI24" i="34"/>
  <c r="AJ23" i="34"/>
  <c r="AI23" i="34"/>
  <c r="AJ22" i="34"/>
  <c r="AI22" i="34"/>
  <c r="AJ21" i="34"/>
  <c r="AI21" i="34"/>
  <c r="AJ20" i="34"/>
  <c r="AI20" i="34"/>
  <c r="AJ19" i="34"/>
  <c r="AI19" i="34"/>
  <c r="AJ18" i="34"/>
  <c r="AI18" i="34"/>
  <c r="AJ17" i="34"/>
  <c r="AI17" i="34"/>
  <c r="AJ16" i="34"/>
  <c r="AI16" i="34"/>
  <c r="AJ15" i="34"/>
  <c r="AI15" i="34"/>
  <c r="AJ14" i="34"/>
  <c r="AI14" i="34"/>
  <c r="AJ13" i="34"/>
  <c r="AI13" i="34"/>
  <c r="AJ12" i="34"/>
  <c r="AI12" i="34"/>
  <c r="AJ11" i="34"/>
  <c r="AI11" i="34"/>
  <c r="AJ10" i="34"/>
  <c r="AI10" i="34"/>
  <c r="AJ9" i="34"/>
  <c r="AI9" i="34"/>
  <c r="AJ8" i="34"/>
  <c r="AI8" i="34"/>
  <c r="AJ7" i="34"/>
  <c r="AI7" i="34"/>
  <c r="AJ6" i="34"/>
  <c r="AI6" i="34"/>
  <c r="AJ5" i="34"/>
  <c r="AI5" i="34"/>
  <c r="AJ4" i="34"/>
  <c r="AI4" i="34"/>
  <c r="AK3" i="34" s="1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C3" i="34"/>
  <c r="AH143" i="33"/>
  <c r="AH142" i="33"/>
  <c r="AH141" i="33"/>
  <c r="AH140" i="33"/>
  <c r="AH139" i="33"/>
  <c r="AH138" i="33"/>
  <c r="AI137" i="33"/>
  <c r="AH137" i="33"/>
  <c r="AI136" i="33"/>
  <c r="AH136" i="33"/>
  <c r="AI135" i="33"/>
  <c r="AH135" i="33"/>
  <c r="AI134" i="33"/>
  <c r="AH134" i="33"/>
  <c r="AI133" i="33"/>
  <c r="AH133" i="33"/>
  <c r="AI132" i="33"/>
  <c r="AH132" i="33"/>
  <c r="AI131" i="33"/>
  <c r="AH131" i="33"/>
  <c r="AI130" i="33"/>
  <c r="AH130" i="33"/>
  <c r="AI129" i="33"/>
  <c r="AH129" i="33"/>
  <c r="AI128" i="33"/>
  <c r="AH128" i="33"/>
  <c r="AI127" i="33"/>
  <c r="AH127" i="33"/>
  <c r="AI126" i="33"/>
  <c r="AH126" i="33"/>
  <c r="AI125" i="33"/>
  <c r="AH125" i="33"/>
  <c r="AI124" i="33"/>
  <c r="AH124" i="33"/>
  <c r="AI123" i="33"/>
  <c r="AH123" i="33"/>
  <c r="AI122" i="33"/>
  <c r="AH122" i="33"/>
  <c r="AI121" i="33"/>
  <c r="AH121" i="33"/>
  <c r="AI120" i="33"/>
  <c r="AH120" i="33"/>
  <c r="AI119" i="33"/>
  <c r="AH119" i="33"/>
  <c r="AI118" i="33"/>
  <c r="AH118" i="33"/>
  <c r="AI117" i="33"/>
  <c r="AH117" i="33"/>
  <c r="AI116" i="33"/>
  <c r="AH116" i="33"/>
  <c r="AI115" i="33"/>
  <c r="AH115" i="33"/>
  <c r="AI114" i="33"/>
  <c r="AH114" i="33"/>
  <c r="AI113" i="33"/>
  <c r="AH113" i="33"/>
  <c r="AH112" i="33"/>
  <c r="AH111" i="33"/>
  <c r="AH110" i="33"/>
  <c r="AI109" i="33"/>
  <c r="AH109" i="33"/>
  <c r="AI108" i="33"/>
  <c r="AH108" i="33"/>
  <c r="AI107" i="33"/>
  <c r="AH107" i="33"/>
  <c r="AI106" i="33"/>
  <c r="AH106" i="33"/>
  <c r="AI105" i="33"/>
  <c r="AH105" i="33"/>
  <c r="AI104" i="33"/>
  <c r="AH104" i="33"/>
  <c r="AI103" i="33"/>
  <c r="AH103" i="33"/>
  <c r="AI102" i="33"/>
  <c r="AH102" i="33"/>
  <c r="AI101" i="33"/>
  <c r="AH101" i="33"/>
  <c r="AI100" i="33"/>
  <c r="AH100" i="33"/>
  <c r="AI99" i="33"/>
  <c r="AH99" i="33"/>
  <c r="AI98" i="33"/>
  <c r="AH98" i="33"/>
  <c r="AI97" i="33"/>
  <c r="AH97" i="33"/>
  <c r="AI96" i="33"/>
  <c r="AH96" i="33"/>
  <c r="AI95" i="33"/>
  <c r="AH95" i="33"/>
  <c r="AI94" i="33"/>
  <c r="AH94" i="33"/>
  <c r="AI93" i="33"/>
  <c r="AH93" i="33"/>
  <c r="AI92" i="33"/>
  <c r="AH92" i="33"/>
  <c r="AI91" i="33"/>
  <c r="AH91" i="33"/>
  <c r="AI90" i="33"/>
  <c r="AH90" i="33"/>
  <c r="AH89" i="33"/>
  <c r="AH88" i="33"/>
  <c r="AI87" i="33"/>
  <c r="AH87" i="33"/>
  <c r="AI86" i="33"/>
  <c r="AH86" i="33"/>
  <c r="AI85" i="33"/>
  <c r="AH85" i="33"/>
  <c r="AI84" i="33"/>
  <c r="AH84" i="33"/>
  <c r="AI83" i="33"/>
  <c r="AH83" i="33"/>
  <c r="AI82" i="33"/>
  <c r="AH82" i="33"/>
  <c r="AI81" i="33"/>
  <c r="AH81" i="33"/>
  <c r="AI80" i="33"/>
  <c r="AH80" i="33"/>
  <c r="AI79" i="33"/>
  <c r="AH79" i="33"/>
  <c r="AI78" i="33"/>
  <c r="AH78" i="33"/>
  <c r="AI77" i="33"/>
  <c r="AH77" i="33"/>
  <c r="AI76" i="33"/>
  <c r="AH76" i="33"/>
  <c r="AI75" i="33"/>
  <c r="AH75" i="33"/>
  <c r="AI74" i="33"/>
  <c r="AH74" i="33"/>
  <c r="AI73" i="33"/>
  <c r="AH73" i="33"/>
  <c r="AI72" i="33"/>
  <c r="AH72" i="33"/>
  <c r="AI71" i="33"/>
  <c r="AH71" i="33"/>
  <c r="AI70" i="33"/>
  <c r="AH70" i="33"/>
  <c r="AI69" i="33"/>
  <c r="AH69" i="33"/>
  <c r="AI68" i="33"/>
  <c r="AH68" i="33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I10" i="33"/>
  <c r="AH10" i="33"/>
  <c r="AI9" i="33"/>
  <c r="AH9" i="33"/>
  <c r="AI8" i="33"/>
  <c r="AH8" i="33"/>
  <c r="AI7" i="33"/>
  <c r="AH7" i="33"/>
  <c r="AI6" i="33"/>
  <c r="AH6" i="33"/>
  <c r="AI5" i="33"/>
  <c r="AH5" i="33"/>
  <c r="AI4" i="33"/>
  <c r="AH4" i="33"/>
  <c r="AJ3" i="33" s="1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AI139" i="32"/>
  <c r="AH139" i="32"/>
  <c r="AI138" i="32"/>
  <c r="AI137" i="32"/>
  <c r="AI136" i="32"/>
  <c r="AI135" i="32"/>
  <c r="AI134" i="32"/>
  <c r="AI133" i="32"/>
  <c r="AI132" i="32"/>
  <c r="AI131" i="32"/>
  <c r="AI130" i="32"/>
  <c r="AI129" i="32"/>
  <c r="AI128" i="32"/>
  <c r="AI127" i="32"/>
  <c r="AI126" i="32"/>
  <c r="AI125" i="32"/>
  <c r="AI124" i="32"/>
  <c r="AI123" i="32"/>
  <c r="AI122" i="32"/>
  <c r="AI121" i="32"/>
  <c r="AI120" i="32"/>
  <c r="AI119" i="32"/>
  <c r="AI118" i="32"/>
  <c r="AI117" i="32"/>
  <c r="AI116" i="32"/>
  <c r="AI115" i="32"/>
  <c r="AI111" i="32"/>
  <c r="AI110" i="32"/>
  <c r="AI109" i="32"/>
  <c r="AI108" i="32"/>
  <c r="AI107" i="32"/>
  <c r="AI106" i="32"/>
  <c r="AI105" i="32"/>
  <c r="AI104" i="32"/>
  <c r="AI103" i="32"/>
  <c r="AI102" i="32"/>
  <c r="AI101" i="32"/>
  <c r="AI100" i="32"/>
  <c r="AI99" i="32"/>
  <c r="AI98" i="32"/>
  <c r="AI97" i="32"/>
  <c r="AI96" i="32"/>
  <c r="AI95" i="32"/>
  <c r="AI94" i="32"/>
  <c r="AI93" i="32"/>
  <c r="AI92" i="32"/>
  <c r="AI88" i="32"/>
  <c r="AI87" i="32"/>
  <c r="AI86" i="32"/>
  <c r="AI85" i="32"/>
  <c r="AI84" i="32"/>
  <c r="AI83" i="32"/>
  <c r="AI82" i="32"/>
  <c r="AI81" i="32"/>
  <c r="AI80" i="32"/>
  <c r="AI79" i="32"/>
  <c r="AI78" i="32"/>
  <c r="AI77" i="32"/>
  <c r="AI76" i="32"/>
  <c r="AI75" i="32"/>
  <c r="AI74" i="32"/>
  <c r="AI73" i="32"/>
  <c r="AI72" i="32"/>
  <c r="AI71" i="32"/>
  <c r="AI70" i="32"/>
  <c r="AI69" i="32"/>
  <c r="AI68" i="32"/>
  <c r="AI67" i="32"/>
  <c r="AI66" i="32"/>
  <c r="AI65" i="32"/>
  <c r="AI64" i="32"/>
  <c r="AI63" i="32"/>
  <c r="AI62" i="32"/>
  <c r="AI61" i="32"/>
  <c r="AI60" i="32"/>
  <c r="AI59" i="32"/>
  <c r="AI58" i="32"/>
  <c r="AI57" i="32"/>
  <c r="AI56" i="32"/>
  <c r="AI55" i="32"/>
  <c r="AI54" i="32"/>
  <c r="AI53" i="32"/>
  <c r="AI52" i="32"/>
  <c r="AI51" i="32"/>
  <c r="AI50" i="32"/>
  <c r="AI49" i="32"/>
  <c r="AI48" i="32"/>
  <c r="AI47" i="32"/>
  <c r="AI46" i="32"/>
  <c r="AI45" i="32"/>
  <c r="AI44" i="32"/>
  <c r="AI43" i="32"/>
  <c r="AI42" i="32"/>
  <c r="AI41" i="32"/>
  <c r="AI40" i="32"/>
  <c r="AI39" i="32"/>
  <c r="AI38" i="32"/>
  <c r="AI37" i="32"/>
  <c r="AI36" i="32"/>
  <c r="AI35" i="32"/>
  <c r="AI34" i="32"/>
  <c r="AI33" i="32"/>
  <c r="AI32" i="32"/>
  <c r="AI31" i="32"/>
  <c r="AI30" i="32"/>
  <c r="AI29" i="32"/>
  <c r="AI28" i="32"/>
  <c r="AI27" i="32"/>
  <c r="AI26" i="32"/>
  <c r="AI25" i="32"/>
  <c r="AI24" i="32"/>
  <c r="AI23" i="32"/>
  <c r="AI22" i="32"/>
  <c r="AI21" i="32"/>
  <c r="AI20" i="32"/>
  <c r="AI19" i="32"/>
  <c r="AI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I10" i="32"/>
  <c r="AH10" i="32"/>
  <c r="AI9" i="32"/>
  <c r="AH9" i="32"/>
  <c r="AI8" i="32"/>
  <c r="AH8" i="32"/>
  <c r="AI7" i="32"/>
  <c r="AH7" i="32"/>
  <c r="AI6" i="32"/>
  <c r="AH6" i="32"/>
  <c r="AI5" i="32"/>
  <c r="AH5" i="32"/>
  <c r="AI4" i="32"/>
  <c r="AH4" i="32"/>
  <c r="AJ3" i="32" s="1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H148" i="31"/>
  <c r="AH147" i="31"/>
  <c r="AH146" i="31"/>
  <c r="AI145" i="31"/>
  <c r="AH145" i="31"/>
  <c r="AI144" i="31"/>
  <c r="AH144" i="31"/>
  <c r="AI143" i="31"/>
  <c r="AH143" i="31"/>
  <c r="AI142" i="31"/>
  <c r="AH142" i="31"/>
  <c r="AI141" i="31"/>
  <c r="AH141" i="31"/>
  <c r="AI140" i="31"/>
  <c r="AH140" i="31"/>
  <c r="AI139" i="31"/>
  <c r="AH139" i="31"/>
  <c r="AI138" i="31"/>
  <c r="AH138" i="31"/>
  <c r="AI137" i="31"/>
  <c r="AH137" i="31"/>
  <c r="AI136" i="31"/>
  <c r="AH136" i="31"/>
  <c r="AI135" i="31"/>
  <c r="AH135" i="31"/>
  <c r="AI134" i="31"/>
  <c r="AH134" i="31"/>
  <c r="AI133" i="31"/>
  <c r="AH133" i="31"/>
  <c r="AI132" i="31"/>
  <c r="AH132" i="31"/>
  <c r="AI131" i="31"/>
  <c r="AH131" i="31"/>
  <c r="AI130" i="31"/>
  <c r="AH130" i="31"/>
  <c r="AI129" i="31"/>
  <c r="AH129" i="31"/>
  <c r="AI128" i="31"/>
  <c r="AH128" i="31"/>
  <c r="AI127" i="31"/>
  <c r="AH127" i="31"/>
  <c r="AI126" i="31"/>
  <c r="AH126" i="31"/>
  <c r="AI125" i="31"/>
  <c r="AH125" i="31"/>
  <c r="AI124" i="31"/>
  <c r="AH124" i="31"/>
  <c r="AI123" i="31"/>
  <c r="AH123" i="31"/>
  <c r="AI122" i="31"/>
  <c r="AH122" i="31"/>
  <c r="AI121" i="31"/>
  <c r="AH121" i="31"/>
  <c r="AI120" i="31"/>
  <c r="AH120" i="31"/>
  <c r="AI119" i="31"/>
  <c r="AH119" i="31"/>
  <c r="AI118" i="31"/>
  <c r="AH118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I111" i="31"/>
  <c r="AH111" i="31"/>
  <c r="AI110" i="31"/>
  <c r="AH110" i="31"/>
  <c r="AI109" i="31"/>
  <c r="AH109" i="31"/>
  <c r="AI108" i="31"/>
  <c r="AH108" i="31"/>
  <c r="AI107" i="31"/>
  <c r="AH107" i="31"/>
  <c r="AI106" i="31"/>
  <c r="AH106" i="31"/>
  <c r="AI105" i="31"/>
  <c r="AH105" i="31"/>
  <c r="AI104" i="31"/>
  <c r="AH104" i="31"/>
  <c r="AI103" i="31"/>
  <c r="AH103" i="31"/>
  <c r="AI102" i="31"/>
  <c r="AH102" i="31"/>
  <c r="AI101" i="31"/>
  <c r="AH101" i="31"/>
  <c r="AI100" i="31"/>
  <c r="AH100" i="31"/>
  <c r="AI99" i="31"/>
  <c r="AH99" i="31"/>
  <c r="AI98" i="31"/>
  <c r="AH98" i="31"/>
  <c r="AI97" i="31"/>
  <c r="AH97" i="31"/>
  <c r="AI96" i="31"/>
  <c r="AH96" i="31"/>
  <c r="AI95" i="31"/>
  <c r="AH95" i="31"/>
  <c r="AI94" i="31"/>
  <c r="AH94" i="31"/>
  <c r="AI93" i="31"/>
  <c r="AH93" i="31"/>
  <c r="AI92" i="31"/>
  <c r="AH92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3" i="31"/>
  <c r="AH83" i="31"/>
  <c r="AI82" i="31"/>
  <c r="AH82" i="31"/>
  <c r="AI81" i="31"/>
  <c r="AH81" i="31"/>
  <c r="AI80" i="31"/>
  <c r="AH80" i="31"/>
  <c r="AI79" i="31"/>
  <c r="AH79" i="31"/>
  <c r="AI78" i="31"/>
  <c r="AH78" i="31"/>
  <c r="AI77" i="31"/>
  <c r="AH77" i="31"/>
  <c r="AI76" i="31"/>
  <c r="AH76" i="31"/>
  <c r="AI75" i="31"/>
  <c r="AH75" i="31"/>
  <c r="AI74" i="31"/>
  <c r="AH74" i="31"/>
  <c r="AI73" i="31"/>
  <c r="AH73" i="31"/>
  <c r="AI72" i="31"/>
  <c r="AH72" i="31"/>
  <c r="AI71" i="31"/>
  <c r="AH71" i="31"/>
  <c r="AI70" i="31"/>
  <c r="AH70" i="31"/>
  <c r="AI69" i="31"/>
  <c r="AH69" i="31"/>
  <c r="AI68" i="31"/>
  <c r="AH68" i="3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I10" i="31"/>
  <c r="AH10" i="31"/>
  <c r="AI9" i="31"/>
  <c r="AH9" i="31"/>
  <c r="AI8" i="31"/>
  <c r="AH8" i="31"/>
  <c r="AI7" i="31"/>
  <c r="AH7" i="31"/>
  <c r="AI6" i="31"/>
  <c r="AH6" i="31"/>
  <c r="AI5" i="31"/>
  <c r="AH5" i="31"/>
  <c r="AI4" i="31"/>
  <c r="AH4" i="31"/>
  <c r="AJ3" i="31" s="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J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I139" i="29"/>
  <c r="AI138" i="29"/>
  <c r="AI137" i="29"/>
  <c r="AI136" i="29"/>
  <c r="AI135" i="29"/>
  <c r="AI134" i="29"/>
  <c r="AI133" i="29"/>
  <c r="AI132" i="29"/>
  <c r="AI131" i="29"/>
  <c r="AI130" i="29"/>
  <c r="AI129" i="29"/>
  <c r="AI128" i="29"/>
  <c r="AI127" i="29"/>
  <c r="AI126" i="29"/>
  <c r="AI125" i="29"/>
  <c r="AI124" i="29"/>
  <c r="AI123" i="29"/>
  <c r="AI122" i="29"/>
  <c r="AI121" i="29"/>
  <c r="AI120" i="29"/>
  <c r="AI119" i="29"/>
  <c r="AI118" i="29"/>
  <c r="AI117" i="29"/>
  <c r="AI116" i="29"/>
  <c r="AI115" i="29"/>
  <c r="AI111" i="29"/>
  <c r="AI110" i="29"/>
  <c r="AI109" i="29"/>
  <c r="AI108" i="29"/>
  <c r="AI107" i="29"/>
  <c r="AI106" i="29"/>
  <c r="AI105" i="29"/>
  <c r="AI104" i="29"/>
  <c r="AI103" i="29"/>
  <c r="AI102" i="29"/>
  <c r="AI101" i="29"/>
  <c r="AI100" i="29"/>
  <c r="AI99" i="29"/>
  <c r="AI98" i="29"/>
  <c r="AI97" i="29"/>
  <c r="AI96" i="29"/>
  <c r="AI95" i="29"/>
  <c r="AI94" i="29"/>
  <c r="AI93" i="29"/>
  <c r="AI92" i="29"/>
  <c r="AI88" i="29"/>
  <c r="AI87" i="29"/>
  <c r="AI86" i="29"/>
  <c r="AI85" i="29"/>
  <c r="AI84" i="29"/>
  <c r="AI83" i="29"/>
  <c r="AI82" i="29"/>
  <c r="AI81" i="29"/>
  <c r="AI80" i="29"/>
  <c r="AI79" i="29"/>
  <c r="AI78" i="29"/>
  <c r="AI77" i="29"/>
  <c r="AI76" i="29"/>
  <c r="AI75" i="29"/>
  <c r="AI74" i="29"/>
  <c r="AI73" i="29"/>
  <c r="AI72" i="29"/>
  <c r="AI71" i="29"/>
  <c r="AI70" i="29"/>
  <c r="AI69" i="29"/>
  <c r="AI68" i="29"/>
  <c r="AI67" i="29"/>
  <c r="AI66" i="29"/>
  <c r="AI65" i="29"/>
  <c r="AI64" i="29"/>
  <c r="AI63" i="29"/>
  <c r="AI62" i="29"/>
  <c r="AI61" i="29"/>
  <c r="AI60" i="29"/>
  <c r="AI59" i="29"/>
  <c r="AI58" i="29"/>
  <c r="AI57" i="29"/>
  <c r="AI56" i="29"/>
  <c r="AI55" i="29"/>
  <c r="AI54" i="29"/>
  <c r="AI53" i="29"/>
  <c r="AI52" i="29"/>
  <c r="AI51" i="29"/>
  <c r="AI50" i="29"/>
  <c r="AI49" i="29"/>
  <c r="AI48" i="29"/>
  <c r="AI47" i="29"/>
  <c r="AI46" i="29"/>
  <c r="AI45" i="29"/>
  <c r="AI44" i="29"/>
  <c r="AI43" i="29"/>
  <c r="AI42" i="29"/>
  <c r="AI41" i="29"/>
  <c r="AI40" i="29"/>
  <c r="AI39" i="29"/>
  <c r="AI38" i="29"/>
  <c r="AI37" i="29"/>
  <c r="AI36" i="29"/>
  <c r="AI35" i="29"/>
  <c r="AI34" i="29"/>
  <c r="AI33" i="29"/>
  <c r="AI32" i="29"/>
  <c r="AI31" i="29"/>
  <c r="AI30" i="29"/>
  <c r="AI29" i="29"/>
  <c r="AI28" i="29"/>
  <c r="AI27" i="29"/>
  <c r="AI26" i="29"/>
  <c r="AI25" i="29"/>
  <c r="AI24" i="29"/>
  <c r="AI23" i="29"/>
  <c r="AI22" i="29"/>
  <c r="AI21" i="29"/>
  <c r="AI20" i="29"/>
  <c r="AI19" i="29"/>
  <c r="AI18" i="29"/>
  <c r="AI17" i="29"/>
  <c r="AI16" i="29"/>
  <c r="AI15" i="29"/>
  <c r="AI14" i="29"/>
  <c r="AI13" i="29"/>
  <c r="AI12" i="29"/>
  <c r="AI11" i="29"/>
  <c r="AI10" i="29"/>
  <c r="AI9" i="29"/>
  <c r="AI8" i="29"/>
  <c r="AI7" i="29"/>
  <c r="AI6" i="29"/>
  <c r="AI5" i="29"/>
  <c r="AI4" i="29"/>
  <c r="AJ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H148" i="28"/>
  <c r="AH147" i="28"/>
  <c r="AH146" i="28"/>
  <c r="AH145" i="28"/>
  <c r="AH144" i="28"/>
  <c r="AH143" i="28"/>
  <c r="AH142" i="28"/>
  <c r="AH141" i="28"/>
  <c r="AH140" i="28"/>
  <c r="AI139" i="28"/>
  <c r="AH139" i="28"/>
  <c r="AI138" i="28"/>
  <c r="AH138" i="28"/>
  <c r="AI137" i="28"/>
  <c r="AH137" i="28"/>
  <c r="AI136" i="28"/>
  <c r="AH136" i="28"/>
  <c r="AI135" i="28"/>
  <c r="AH135" i="28"/>
  <c r="AI134" i="28"/>
  <c r="AH134" i="28"/>
  <c r="AI133" i="28"/>
  <c r="AH133" i="28"/>
  <c r="AI132" i="28"/>
  <c r="AH132" i="28"/>
  <c r="AI131" i="28"/>
  <c r="AH131" i="28"/>
  <c r="AI130" i="28"/>
  <c r="AH130" i="28"/>
  <c r="AI129" i="28"/>
  <c r="AH129" i="28"/>
  <c r="AI128" i="28"/>
  <c r="AH128" i="28"/>
  <c r="AI127" i="28"/>
  <c r="AH127" i="28"/>
  <c r="AI126" i="28"/>
  <c r="AH126" i="28"/>
  <c r="AI125" i="28"/>
  <c r="AH125" i="28"/>
  <c r="AI124" i="28"/>
  <c r="AH124" i="28"/>
  <c r="AI123" i="28"/>
  <c r="AH123" i="28"/>
  <c r="AI122" i="28"/>
  <c r="AH122" i="28"/>
  <c r="AI121" i="28"/>
  <c r="AH121" i="28"/>
  <c r="AI120" i="28"/>
  <c r="AH120" i="28"/>
  <c r="AI119" i="28"/>
  <c r="AH119" i="28"/>
  <c r="AI118" i="28"/>
  <c r="AH118" i="28"/>
  <c r="AI117" i="28"/>
  <c r="AH117" i="28"/>
  <c r="AI116" i="28"/>
  <c r="AH116" i="28"/>
  <c r="AI115" i="28"/>
  <c r="AH115" i="28"/>
  <c r="AH114" i="28"/>
  <c r="AH113" i="28"/>
  <c r="AH112" i="28"/>
  <c r="AI111" i="28"/>
  <c r="AH111" i="28"/>
  <c r="AI110" i="28"/>
  <c r="AH110" i="28"/>
  <c r="AI109" i="28"/>
  <c r="AH109" i="28"/>
  <c r="AI108" i="28"/>
  <c r="AH108" i="28"/>
  <c r="AI107" i="28"/>
  <c r="AH107" i="28"/>
  <c r="AI106" i="28"/>
  <c r="AH106" i="28"/>
  <c r="AI105" i="28"/>
  <c r="AH105" i="28"/>
  <c r="AI104" i="28"/>
  <c r="AH104" i="28"/>
  <c r="AI103" i="28"/>
  <c r="AH103" i="28"/>
  <c r="AI102" i="28"/>
  <c r="AH102" i="28"/>
  <c r="AI101" i="28"/>
  <c r="AH101" i="28"/>
  <c r="AI100" i="28"/>
  <c r="AH100" i="28"/>
  <c r="AI99" i="28"/>
  <c r="AH99" i="28"/>
  <c r="AI98" i="28"/>
  <c r="AH98" i="28"/>
  <c r="AI97" i="28"/>
  <c r="AH97" i="28"/>
  <c r="AI96" i="28"/>
  <c r="AH96" i="28"/>
  <c r="AI95" i="28"/>
  <c r="AH95" i="28"/>
  <c r="AI94" i="28"/>
  <c r="AH94" i="28"/>
  <c r="AI93" i="28"/>
  <c r="AH93" i="28"/>
  <c r="AI92" i="28"/>
  <c r="AH92" i="28"/>
  <c r="AH91" i="28"/>
  <c r="AH90" i="28"/>
  <c r="AH89" i="28"/>
  <c r="AI88" i="28"/>
  <c r="AH88" i="28"/>
  <c r="AI87" i="28"/>
  <c r="AH87" i="28"/>
  <c r="AI86" i="28"/>
  <c r="AH86" i="28"/>
  <c r="AI85" i="28"/>
  <c r="AH85" i="28"/>
  <c r="AI84" i="28"/>
  <c r="AH84" i="28"/>
  <c r="AI83" i="28"/>
  <c r="AH83" i="28"/>
  <c r="AI82" i="28"/>
  <c r="AH82" i="28"/>
  <c r="AI81" i="28"/>
  <c r="AH81" i="28"/>
  <c r="AI80" i="28"/>
  <c r="AH80" i="28"/>
  <c r="AI79" i="28"/>
  <c r="AH79" i="28"/>
  <c r="AI78" i="28"/>
  <c r="AH78" i="28"/>
  <c r="AI77" i="28"/>
  <c r="AH77" i="28"/>
  <c r="AI76" i="28"/>
  <c r="AH76" i="28"/>
  <c r="AI75" i="28"/>
  <c r="AH75" i="28"/>
  <c r="AI74" i="28"/>
  <c r="AH74" i="28"/>
  <c r="AI73" i="28"/>
  <c r="AH73" i="28"/>
  <c r="AI72" i="28"/>
  <c r="AH72" i="28"/>
  <c r="AI71" i="28"/>
  <c r="AH71" i="28"/>
  <c r="AI70" i="28"/>
  <c r="AH70" i="28"/>
  <c r="AI69" i="28"/>
  <c r="AH69" i="28"/>
  <c r="AI68" i="28"/>
  <c r="AH68" i="28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I10" i="28"/>
  <c r="AH10" i="28"/>
  <c r="AI9" i="28"/>
  <c r="AH9" i="28"/>
  <c r="AI8" i="28"/>
  <c r="AH8" i="28"/>
  <c r="AI7" i="28"/>
  <c r="AH7" i="28"/>
  <c r="AI6" i="28"/>
  <c r="AH6" i="28"/>
  <c r="AI5" i="28"/>
  <c r="AH5" i="28"/>
  <c r="AI4" i="28"/>
  <c r="AH4" i="28"/>
  <c r="AJ3" i="28" s="1"/>
  <c r="AF3" i="28"/>
  <c r="AE3" i="28"/>
  <c r="AD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E3" i="28"/>
  <c r="D3" i="28"/>
  <c r="C3" i="28"/>
  <c r="AG148" i="27"/>
  <c r="AJ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AJ3" i="26"/>
  <c r="AF3" i="26"/>
  <c r="AE3" i="26"/>
  <c r="AD3" i="26"/>
  <c r="AC3" i="26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C3" i="26"/>
  <c r="AI136" i="25"/>
  <c r="AH136" i="25"/>
  <c r="AG136" i="25"/>
  <c r="AI135" i="25"/>
  <c r="AH135" i="25"/>
  <c r="AG135" i="25"/>
  <c r="AI134" i="25"/>
  <c r="AG134" i="25"/>
  <c r="AH134" i="25" s="1"/>
  <c r="AI133" i="25"/>
  <c r="AG133" i="25"/>
  <c r="AH133" i="25" s="1"/>
  <c r="AI132" i="25"/>
  <c r="AG132" i="25"/>
  <c r="AH132" i="25" s="1"/>
  <c r="AI131" i="25"/>
  <c r="AG131" i="25"/>
  <c r="AH131" i="25" s="1"/>
  <c r="AI130" i="25"/>
  <c r="AH130" i="25"/>
  <c r="AG130" i="25"/>
  <c r="AI129" i="25"/>
  <c r="AH129" i="25"/>
  <c r="AG129" i="25"/>
  <c r="AI128" i="25"/>
  <c r="AG128" i="25"/>
  <c r="AH128" i="25" s="1"/>
  <c r="AI127" i="25"/>
  <c r="AH127" i="25"/>
  <c r="AG127" i="25"/>
  <c r="AI126" i="25"/>
  <c r="AH126" i="25"/>
  <c r="AG126" i="25"/>
  <c r="AI125" i="25"/>
  <c r="AG125" i="25"/>
  <c r="AH125" i="25" s="1"/>
  <c r="AI124" i="25"/>
  <c r="AH124" i="25"/>
  <c r="AG124" i="25"/>
  <c r="AI123" i="25"/>
  <c r="AH123" i="25"/>
  <c r="AG123" i="25"/>
  <c r="AI122" i="25"/>
  <c r="AG122" i="25"/>
  <c r="AH122" i="25" s="1"/>
  <c r="AI121" i="25"/>
  <c r="AH121" i="25"/>
  <c r="AG121" i="25"/>
  <c r="AI120" i="25"/>
  <c r="AH120" i="25"/>
  <c r="AG120" i="25"/>
  <c r="AI119" i="25"/>
  <c r="AG119" i="25"/>
  <c r="AH119" i="25" s="1"/>
  <c r="AI118" i="25"/>
  <c r="AH118" i="25"/>
  <c r="AG118" i="25"/>
  <c r="AI117" i="25"/>
  <c r="AH117" i="25"/>
  <c r="AG117" i="25"/>
  <c r="AI116" i="25"/>
  <c r="AG116" i="25"/>
  <c r="AH116" i="25" s="1"/>
  <c r="AI115" i="25"/>
  <c r="AH115" i="25"/>
  <c r="AG115" i="25"/>
  <c r="AI114" i="25"/>
  <c r="AH114" i="25"/>
  <c r="AG114" i="25"/>
  <c r="AI113" i="25"/>
  <c r="AG113" i="25"/>
  <c r="AH113" i="25" s="1"/>
  <c r="AI112" i="25"/>
  <c r="AH112" i="25"/>
  <c r="AG112" i="25"/>
  <c r="AI111" i="25"/>
  <c r="AH111" i="25"/>
  <c r="AG111" i="25"/>
  <c r="AI110" i="25"/>
  <c r="AG110" i="25"/>
  <c r="AH110" i="25" s="1"/>
  <c r="AI109" i="25"/>
  <c r="AH109" i="25"/>
  <c r="AG109" i="25"/>
  <c r="AI108" i="25"/>
  <c r="AH108" i="25"/>
  <c r="AG108" i="25"/>
  <c r="AI107" i="25"/>
  <c r="AG107" i="25"/>
  <c r="AH107" i="25" s="1"/>
  <c r="AI106" i="25"/>
  <c r="AH106" i="25"/>
  <c r="AG106" i="25"/>
  <c r="AI105" i="25"/>
  <c r="AH105" i="25"/>
  <c r="AG105" i="25"/>
  <c r="AI104" i="25"/>
  <c r="AG104" i="25"/>
  <c r="AH104" i="25" s="1"/>
  <c r="AI103" i="25"/>
  <c r="AH103" i="25"/>
  <c r="AG103" i="25"/>
  <c r="AI102" i="25"/>
  <c r="AH102" i="25"/>
  <c r="AG102" i="25"/>
  <c r="AI101" i="25"/>
  <c r="AG101" i="25"/>
  <c r="AH101" i="25" s="1"/>
  <c r="AI100" i="25"/>
  <c r="AH100" i="25"/>
  <c r="AG100" i="25"/>
  <c r="AI99" i="25"/>
  <c r="AH99" i="25"/>
  <c r="AG99" i="25"/>
  <c r="AI98" i="25"/>
  <c r="AG98" i="25"/>
  <c r="AH98" i="25" s="1"/>
  <c r="AI97" i="25"/>
  <c r="AH97" i="25"/>
  <c r="AG97" i="25"/>
  <c r="AI96" i="25"/>
  <c r="AH96" i="25"/>
  <c r="AG96" i="25"/>
  <c r="AI95" i="25"/>
  <c r="AG95" i="25"/>
  <c r="AH95" i="25" s="1"/>
  <c r="AI94" i="25"/>
  <c r="AH94" i="25"/>
  <c r="AG94" i="25"/>
  <c r="AI93" i="25"/>
  <c r="AH93" i="25"/>
  <c r="AG93" i="25"/>
  <c r="AI92" i="25"/>
  <c r="AG92" i="25"/>
  <c r="AH92" i="25" s="1"/>
  <c r="AG91" i="25"/>
  <c r="AH91" i="25" s="1"/>
  <c r="AG90" i="25"/>
  <c r="AH90" i="25" s="1"/>
  <c r="AH89" i="25"/>
  <c r="AG89" i="25"/>
  <c r="AI88" i="25"/>
  <c r="AG88" i="25"/>
  <c r="AH88" i="25" s="1"/>
  <c r="AI87" i="25"/>
  <c r="AH87" i="25"/>
  <c r="AG87" i="25"/>
  <c r="AI86" i="25"/>
  <c r="AH86" i="25"/>
  <c r="AG86" i="25"/>
  <c r="AI85" i="25"/>
  <c r="AG85" i="25"/>
  <c r="AH85" i="25" s="1"/>
  <c r="AI84" i="25"/>
  <c r="AH84" i="25"/>
  <c r="AG84" i="25"/>
  <c r="AI83" i="25"/>
  <c r="AH83" i="25"/>
  <c r="AG83" i="25"/>
  <c r="AI82" i="25"/>
  <c r="AG82" i="25"/>
  <c r="AH82" i="25" s="1"/>
  <c r="AI81" i="25"/>
  <c r="AH81" i="25"/>
  <c r="AG81" i="25"/>
  <c r="AI80" i="25"/>
  <c r="AH80" i="25"/>
  <c r="AG80" i="25"/>
  <c r="AI79" i="25"/>
  <c r="AG79" i="25"/>
  <c r="AH79" i="25" s="1"/>
  <c r="AI78" i="25"/>
  <c r="AH78" i="25"/>
  <c r="AG78" i="25"/>
  <c r="AI77" i="25"/>
  <c r="AH77" i="25"/>
  <c r="AG77" i="25"/>
  <c r="AI76" i="25"/>
  <c r="AG76" i="25"/>
  <c r="AH76" i="25" s="1"/>
  <c r="AI75" i="25"/>
  <c r="AH75" i="25"/>
  <c r="AG75" i="25"/>
  <c r="AI74" i="25"/>
  <c r="AH74" i="25"/>
  <c r="AG74" i="25"/>
  <c r="AI73" i="25"/>
  <c r="AG73" i="25"/>
  <c r="AH73" i="25" s="1"/>
  <c r="AI72" i="25"/>
  <c r="AG72" i="25"/>
  <c r="AH72" i="25" s="1"/>
  <c r="AI71" i="25"/>
  <c r="AH71" i="25"/>
  <c r="AG71" i="25"/>
  <c r="AI70" i="25"/>
  <c r="AG70" i="25"/>
  <c r="AH70" i="25" s="1"/>
  <c r="AI69" i="25"/>
  <c r="AH69" i="25"/>
  <c r="AG69" i="25"/>
  <c r="AI68" i="25"/>
  <c r="AH68" i="25"/>
  <c r="AG68" i="25"/>
  <c r="AI67" i="25"/>
  <c r="AG67" i="25"/>
  <c r="AH67" i="25" s="1"/>
  <c r="AI66" i="25"/>
  <c r="AG66" i="25"/>
  <c r="AH66" i="25" s="1"/>
  <c r="AI65" i="25"/>
  <c r="AH65" i="25"/>
  <c r="AG65" i="25"/>
  <c r="AI64" i="25"/>
  <c r="AG64" i="25"/>
  <c r="AH64" i="25" s="1"/>
  <c r="AI63" i="25"/>
  <c r="AH63" i="25"/>
  <c r="AG63" i="25"/>
  <c r="AI62" i="25"/>
  <c r="AH62" i="25"/>
  <c r="AG62" i="25"/>
  <c r="AI61" i="25"/>
  <c r="AG61" i="25"/>
  <c r="AH61" i="25" s="1"/>
  <c r="AI60" i="25"/>
  <c r="AH60" i="25"/>
  <c r="AG60" i="25"/>
  <c r="AI59" i="25"/>
  <c r="AH59" i="25"/>
  <c r="AG59" i="25"/>
  <c r="AI58" i="25"/>
  <c r="AG58" i="25"/>
  <c r="AH58" i="25" s="1"/>
  <c r="AI57" i="25"/>
  <c r="AH57" i="25"/>
  <c r="AG57" i="25"/>
  <c r="AI56" i="25"/>
  <c r="AH56" i="25"/>
  <c r="AG56" i="25"/>
  <c r="AI55" i="25"/>
  <c r="AG55" i="25"/>
  <c r="AH55" i="25" s="1"/>
  <c r="AI54" i="25"/>
  <c r="AH54" i="25"/>
  <c r="AG54" i="25"/>
  <c r="AI53" i="25"/>
  <c r="AH53" i="25"/>
  <c r="AG53" i="25"/>
  <c r="AI52" i="25"/>
  <c r="AG52" i="25"/>
  <c r="AH52" i="25" s="1"/>
  <c r="AI51" i="25"/>
  <c r="AH51" i="25"/>
  <c r="AG51" i="25"/>
  <c r="AI50" i="25"/>
  <c r="AH50" i="25"/>
  <c r="AG50" i="25"/>
  <c r="AI49" i="25"/>
  <c r="AG49" i="25"/>
  <c r="AH49" i="25" s="1"/>
  <c r="AI48" i="25"/>
  <c r="AH48" i="25"/>
  <c r="AG48" i="25"/>
  <c r="AI47" i="25"/>
  <c r="AH47" i="25"/>
  <c r="AG47" i="25"/>
  <c r="AI46" i="25"/>
  <c r="AG46" i="25"/>
  <c r="AH46" i="25" s="1"/>
  <c r="AI45" i="25"/>
  <c r="AH45" i="25"/>
  <c r="AG45" i="25"/>
  <c r="AI44" i="25"/>
  <c r="AH44" i="25"/>
  <c r="AG44" i="25"/>
  <c r="AI43" i="25"/>
  <c r="AG43" i="25"/>
  <c r="AH43" i="25" s="1"/>
  <c r="AI42" i="25"/>
  <c r="AG42" i="25"/>
  <c r="AH42" i="25" s="1"/>
  <c r="AI41" i="25"/>
  <c r="AH41" i="25"/>
  <c r="AG41" i="25"/>
  <c r="AI40" i="25"/>
  <c r="AG40" i="25"/>
  <c r="AH40" i="25" s="1"/>
  <c r="AI39" i="25"/>
  <c r="AH39" i="25"/>
  <c r="AG39" i="25"/>
  <c r="AI38" i="25"/>
  <c r="AH38" i="25"/>
  <c r="AG38" i="25"/>
  <c r="AI37" i="25"/>
  <c r="AG37" i="25"/>
  <c r="AH37" i="25" s="1"/>
  <c r="AI36" i="25"/>
  <c r="AH36" i="25"/>
  <c r="AG36" i="25"/>
  <c r="AI35" i="25"/>
  <c r="AH35" i="25"/>
  <c r="AG35" i="25"/>
  <c r="AI34" i="25"/>
  <c r="AG34" i="25"/>
  <c r="AH34" i="25" s="1"/>
  <c r="AI33" i="25"/>
  <c r="AH33" i="25"/>
  <c r="AG33" i="25"/>
  <c r="AI32" i="25"/>
  <c r="AH32" i="25"/>
  <c r="AG32" i="25"/>
  <c r="AI31" i="25"/>
  <c r="AG31" i="25"/>
  <c r="AH31" i="25" s="1"/>
  <c r="AI30" i="25"/>
  <c r="AH30" i="25"/>
  <c r="AG30" i="25"/>
  <c r="AI29" i="25"/>
  <c r="AH29" i="25"/>
  <c r="AG29" i="25"/>
  <c r="AI28" i="25"/>
  <c r="AG28" i="25"/>
  <c r="AH28" i="25" s="1"/>
  <c r="AI27" i="25"/>
  <c r="AH27" i="25"/>
  <c r="AG27" i="25"/>
  <c r="AI26" i="25"/>
  <c r="AH26" i="25"/>
  <c r="AG26" i="25"/>
  <c r="AI25" i="25"/>
  <c r="AG25" i="25"/>
  <c r="AH25" i="25" s="1"/>
  <c r="AI24" i="25"/>
  <c r="AH24" i="25"/>
  <c r="AG24" i="25"/>
  <c r="AI23" i="25"/>
  <c r="AH23" i="25"/>
  <c r="AG23" i="25"/>
  <c r="AI22" i="25"/>
  <c r="AG22" i="25"/>
  <c r="AH22" i="25" s="1"/>
  <c r="AI21" i="25"/>
  <c r="AH21" i="25"/>
  <c r="AG21" i="25"/>
  <c r="AI20" i="25"/>
  <c r="AH20" i="25"/>
  <c r="AG20" i="25"/>
  <c r="AI19" i="25"/>
  <c r="AG19" i="25"/>
  <c r="AH19" i="25" s="1"/>
  <c r="AI18" i="25"/>
  <c r="AG18" i="25"/>
  <c r="AH18" i="25" s="1"/>
  <c r="AI17" i="25"/>
  <c r="AH17" i="25"/>
  <c r="AG17" i="25"/>
  <c r="AI16" i="25"/>
  <c r="AG16" i="25"/>
  <c r="AH16" i="25" s="1"/>
  <c r="AI15" i="25"/>
  <c r="AH15" i="25"/>
  <c r="AG15" i="25"/>
  <c r="AI14" i="25"/>
  <c r="AH14" i="25"/>
  <c r="AG14" i="25"/>
  <c r="AI13" i="25"/>
  <c r="AG13" i="25"/>
  <c r="AH13" i="25" s="1"/>
  <c r="AI12" i="25"/>
  <c r="AG12" i="25"/>
  <c r="AH12" i="25" s="1"/>
  <c r="AI11" i="25"/>
  <c r="AH11" i="25"/>
  <c r="AG11" i="25"/>
  <c r="AI10" i="25"/>
  <c r="AG10" i="25"/>
  <c r="AH10" i="25" s="1"/>
  <c r="AI9" i="25"/>
  <c r="AH9" i="25"/>
  <c r="AG9" i="25"/>
  <c r="AI8" i="25"/>
  <c r="AH8" i="25"/>
  <c r="AG8" i="25"/>
  <c r="AI7" i="25"/>
  <c r="AG7" i="25"/>
  <c r="AH7" i="25" s="1"/>
  <c r="AI6" i="25"/>
  <c r="AH6" i="25"/>
  <c r="AG6" i="25"/>
  <c r="AI5" i="25"/>
  <c r="AG5" i="25"/>
  <c r="AI4" i="25"/>
  <c r="AH4" i="25"/>
  <c r="AJ3" i="25" s="1"/>
  <c r="AG4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AI140" i="24"/>
  <c r="AH140" i="24"/>
  <c r="AG140" i="24"/>
  <c r="AI139" i="24"/>
  <c r="AG139" i="24"/>
  <c r="AH139" i="24" s="1"/>
  <c r="AI138" i="24"/>
  <c r="AH138" i="24"/>
  <c r="AG138" i="24"/>
  <c r="AI137" i="24"/>
  <c r="AH137" i="24"/>
  <c r="AG137" i="24"/>
  <c r="AI136" i="24"/>
  <c r="AG136" i="24"/>
  <c r="AH136" i="24" s="1"/>
  <c r="AI135" i="24"/>
  <c r="AH135" i="24"/>
  <c r="AG135" i="24"/>
  <c r="AI134" i="24"/>
  <c r="AH134" i="24"/>
  <c r="AG134" i="24"/>
  <c r="AI133" i="24"/>
  <c r="AG133" i="24"/>
  <c r="AH133" i="24" s="1"/>
  <c r="AI132" i="24"/>
  <c r="AH132" i="24"/>
  <c r="AG132" i="24"/>
  <c r="AI131" i="24"/>
  <c r="AH131" i="24"/>
  <c r="AG131" i="24"/>
  <c r="AI130" i="24"/>
  <c r="AG130" i="24"/>
  <c r="AH130" i="24" s="1"/>
  <c r="AI129" i="24"/>
  <c r="AH129" i="24"/>
  <c r="AG129" i="24"/>
  <c r="AI128" i="24"/>
  <c r="AH128" i="24"/>
  <c r="AG128" i="24"/>
  <c r="AI127" i="24"/>
  <c r="AG127" i="24"/>
  <c r="AH127" i="24" s="1"/>
  <c r="AI126" i="24"/>
  <c r="AH126" i="24"/>
  <c r="AG126" i="24"/>
  <c r="AI125" i="24"/>
  <c r="AH125" i="24"/>
  <c r="AG125" i="24"/>
  <c r="AI124" i="24"/>
  <c r="AG124" i="24"/>
  <c r="AH124" i="24" s="1"/>
  <c r="AI123" i="24"/>
  <c r="AG123" i="24"/>
  <c r="AH123" i="24" s="1"/>
  <c r="AI122" i="24"/>
  <c r="AH122" i="24"/>
  <c r="AG122" i="24"/>
  <c r="AI121" i="24"/>
  <c r="AG121" i="24"/>
  <c r="AH121" i="24" s="1"/>
  <c r="AI120" i="24"/>
  <c r="AH120" i="24"/>
  <c r="AG120" i="24"/>
  <c r="AI119" i="24"/>
  <c r="AH119" i="24"/>
  <c r="AG119" i="24"/>
  <c r="AI118" i="24"/>
  <c r="AG118" i="24"/>
  <c r="AH118" i="24" s="1"/>
  <c r="AI117" i="24"/>
  <c r="AH117" i="24"/>
  <c r="AG117" i="24"/>
  <c r="AI116" i="24"/>
  <c r="AH116" i="24"/>
  <c r="AG116" i="24"/>
  <c r="AH115" i="24"/>
  <c r="AG115" i="24"/>
  <c r="AH114" i="24"/>
  <c r="AG114" i="24"/>
  <c r="AH113" i="24"/>
  <c r="AG113" i="24"/>
  <c r="AI112" i="24"/>
  <c r="AH112" i="24"/>
  <c r="AG112" i="24"/>
  <c r="AI111" i="24"/>
  <c r="AG111" i="24"/>
  <c r="AH111" i="24" s="1"/>
  <c r="AI110" i="24"/>
  <c r="AG110" i="24"/>
  <c r="AH110" i="24" s="1"/>
  <c r="AI109" i="24"/>
  <c r="AH109" i="24"/>
  <c r="AG109" i="24"/>
  <c r="AI108" i="24"/>
  <c r="AG108" i="24"/>
  <c r="AH108" i="24" s="1"/>
  <c r="AI107" i="24"/>
  <c r="AH107" i="24"/>
  <c r="AG107" i="24"/>
  <c r="AI106" i="24"/>
  <c r="AH106" i="24"/>
  <c r="AG106" i="24"/>
  <c r="AI105" i="24"/>
  <c r="AG105" i="24"/>
  <c r="AH105" i="24" s="1"/>
  <c r="AI104" i="24"/>
  <c r="AG104" i="24"/>
  <c r="AH104" i="24" s="1"/>
  <c r="AI103" i="24"/>
  <c r="AH103" i="24"/>
  <c r="AG103" i="24"/>
  <c r="AI102" i="24"/>
  <c r="AG102" i="24"/>
  <c r="AH102" i="24" s="1"/>
  <c r="AI101" i="24"/>
  <c r="AH101" i="24"/>
  <c r="AG101" i="24"/>
  <c r="AI100" i="24"/>
  <c r="AH100" i="24"/>
  <c r="AG100" i="24"/>
  <c r="AI99" i="24"/>
  <c r="AG99" i="24"/>
  <c r="AH99" i="24" s="1"/>
  <c r="AI98" i="24"/>
  <c r="AH98" i="24"/>
  <c r="AG98" i="24"/>
  <c r="AI97" i="24"/>
  <c r="AH97" i="24"/>
  <c r="AG97" i="24"/>
  <c r="AI96" i="24"/>
  <c r="AG96" i="24"/>
  <c r="AH96" i="24" s="1"/>
  <c r="AI95" i="24"/>
  <c r="AH95" i="24"/>
  <c r="AG95" i="24"/>
  <c r="AI94" i="24"/>
  <c r="AH94" i="24"/>
  <c r="AG94" i="24"/>
  <c r="AI93" i="24"/>
  <c r="AG93" i="24"/>
  <c r="AH93" i="24" s="1"/>
  <c r="AG90" i="24"/>
  <c r="AH90" i="24" s="1"/>
  <c r="AH89" i="24"/>
  <c r="AG89" i="24"/>
  <c r="AI88" i="24"/>
  <c r="AG88" i="24"/>
  <c r="AH88" i="24" s="1"/>
  <c r="AI87" i="24"/>
  <c r="AH87" i="24"/>
  <c r="AG87" i="24"/>
  <c r="AI86" i="24"/>
  <c r="AH86" i="24"/>
  <c r="AG86" i="24"/>
  <c r="AI85" i="24"/>
  <c r="AG85" i="24"/>
  <c r="AH85" i="24" s="1"/>
  <c r="AI84" i="24"/>
  <c r="AH84" i="24"/>
  <c r="AG84" i="24"/>
  <c r="AI83" i="24"/>
  <c r="AH83" i="24"/>
  <c r="AG83" i="24"/>
  <c r="AI82" i="24"/>
  <c r="AG82" i="24"/>
  <c r="AH82" i="24" s="1"/>
  <c r="AI81" i="24"/>
  <c r="AH81" i="24"/>
  <c r="AG81" i="24"/>
  <c r="AI80" i="24"/>
  <c r="AH80" i="24"/>
  <c r="AG80" i="24"/>
  <c r="AI79" i="24"/>
  <c r="AH79" i="24"/>
  <c r="AG79" i="24"/>
  <c r="AI78" i="24"/>
  <c r="AH78" i="24"/>
  <c r="AG78" i="24"/>
  <c r="AI77" i="24"/>
  <c r="AH77" i="24"/>
  <c r="AG77" i="24"/>
  <c r="AI76" i="24"/>
  <c r="AG76" i="24"/>
  <c r="AH76" i="24" s="1"/>
  <c r="AI75" i="24"/>
  <c r="AH75" i="24"/>
  <c r="AG75" i="24"/>
  <c r="AI74" i="24"/>
  <c r="AH74" i="24"/>
  <c r="AG74" i="24"/>
  <c r="AI73" i="24"/>
  <c r="AH73" i="24"/>
  <c r="AG73" i="24"/>
  <c r="AI72" i="24"/>
  <c r="AH72" i="24"/>
  <c r="AG72" i="24"/>
  <c r="AI71" i="24"/>
  <c r="AH71" i="24"/>
  <c r="AG71" i="24"/>
  <c r="AI70" i="24"/>
  <c r="AG70" i="24"/>
  <c r="AH70" i="24" s="1"/>
  <c r="AI69" i="24"/>
  <c r="AH69" i="24"/>
  <c r="AG69" i="24"/>
  <c r="AI68" i="24"/>
  <c r="AH68" i="24"/>
  <c r="AG68" i="24"/>
  <c r="AI67" i="24"/>
  <c r="AH67" i="24"/>
  <c r="AG67" i="24"/>
  <c r="AI66" i="24"/>
  <c r="AH66" i="24"/>
  <c r="AG66" i="24"/>
  <c r="AI65" i="24"/>
  <c r="AH65" i="24"/>
  <c r="AG65" i="24"/>
  <c r="AI64" i="24"/>
  <c r="AG64" i="24"/>
  <c r="AH64" i="24" s="1"/>
  <c r="AI63" i="24"/>
  <c r="AH63" i="24"/>
  <c r="AG63" i="24"/>
  <c r="AI62" i="24"/>
  <c r="AH62" i="24"/>
  <c r="AG62" i="24"/>
  <c r="AI61" i="24"/>
  <c r="AH61" i="24"/>
  <c r="AG61" i="24"/>
  <c r="AI60" i="24"/>
  <c r="AH60" i="24"/>
  <c r="AG60" i="24"/>
  <c r="AI59" i="24"/>
  <c r="AH59" i="24"/>
  <c r="AG59" i="24"/>
  <c r="AI58" i="24"/>
  <c r="AG58" i="24"/>
  <c r="AH58" i="24" s="1"/>
  <c r="AI57" i="24"/>
  <c r="AH57" i="24"/>
  <c r="AG57" i="24"/>
  <c r="AI56" i="24"/>
  <c r="AH56" i="24"/>
  <c r="AG56" i="24"/>
  <c r="AI55" i="24"/>
  <c r="AH55" i="24"/>
  <c r="AG55" i="24"/>
  <c r="AI54" i="24"/>
  <c r="AH54" i="24"/>
  <c r="AG54" i="24"/>
  <c r="AI53" i="24"/>
  <c r="AH53" i="24"/>
  <c r="AG53" i="24"/>
  <c r="AI52" i="24"/>
  <c r="AG52" i="24"/>
  <c r="AH52" i="24" s="1"/>
  <c r="AI51" i="24"/>
  <c r="AH51" i="24"/>
  <c r="AG51" i="24"/>
  <c r="AI50" i="24"/>
  <c r="AH50" i="24"/>
  <c r="AG50" i="24"/>
  <c r="AI49" i="24"/>
  <c r="AH49" i="24"/>
  <c r="AG49" i="24"/>
  <c r="AI48" i="24"/>
  <c r="AH48" i="24"/>
  <c r="AG48" i="24"/>
  <c r="AI47" i="24"/>
  <c r="AH47" i="24"/>
  <c r="AG47" i="24"/>
  <c r="AI46" i="24"/>
  <c r="AG46" i="24"/>
  <c r="AH46" i="24" s="1"/>
  <c r="AI45" i="24"/>
  <c r="AH45" i="24"/>
  <c r="AG45" i="24"/>
  <c r="AI44" i="24"/>
  <c r="AH44" i="24"/>
  <c r="AG44" i="24"/>
  <c r="AI43" i="24"/>
  <c r="AH43" i="24"/>
  <c r="AG43" i="24"/>
  <c r="AI42" i="24"/>
  <c r="AH42" i="24"/>
  <c r="AG42" i="24"/>
  <c r="AI41" i="24"/>
  <c r="AH41" i="24"/>
  <c r="AG41" i="24"/>
  <c r="AI40" i="24"/>
  <c r="AG40" i="24"/>
  <c r="AH40" i="24" s="1"/>
  <c r="AI39" i="24"/>
  <c r="AH39" i="24"/>
  <c r="AG39" i="24"/>
  <c r="AI38" i="24"/>
  <c r="AH38" i="24"/>
  <c r="AG38" i="24"/>
  <c r="AI37" i="24"/>
  <c r="AH37" i="24"/>
  <c r="AG37" i="24"/>
  <c r="AI36" i="24"/>
  <c r="AH36" i="24"/>
  <c r="AG36" i="24"/>
  <c r="AI35" i="24"/>
  <c r="AH35" i="24"/>
  <c r="AG35" i="24"/>
  <c r="AI34" i="24"/>
  <c r="AG34" i="24"/>
  <c r="AH34" i="24" s="1"/>
  <c r="AI33" i="24"/>
  <c r="AH33" i="24"/>
  <c r="AG33" i="24"/>
  <c r="AI32" i="24"/>
  <c r="AH32" i="24"/>
  <c r="AG32" i="24"/>
  <c r="AI31" i="24"/>
  <c r="AH31" i="24"/>
  <c r="AG31" i="24"/>
  <c r="AI30" i="24"/>
  <c r="AH30" i="24"/>
  <c r="AG30" i="24"/>
  <c r="AI29" i="24"/>
  <c r="AH29" i="24"/>
  <c r="AG29" i="24"/>
  <c r="AI28" i="24"/>
  <c r="AG28" i="24"/>
  <c r="AH28" i="24" s="1"/>
  <c r="AI27" i="24"/>
  <c r="AH27" i="24"/>
  <c r="AG27" i="24"/>
  <c r="AI26" i="24"/>
  <c r="AH26" i="24"/>
  <c r="AG26" i="24"/>
  <c r="AI25" i="24"/>
  <c r="AH25" i="24"/>
  <c r="AG25" i="24"/>
  <c r="AI24" i="24"/>
  <c r="AH24" i="24"/>
  <c r="AG24" i="24"/>
  <c r="AI23" i="24"/>
  <c r="AH23" i="24"/>
  <c r="AG23" i="24"/>
  <c r="AI22" i="24"/>
  <c r="AG22" i="24"/>
  <c r="AH22" i="24" s="1"/>
  <c r="AI21" i="24"/>
  <c r="AH21" i="24"/>
  <c r="AG21" i="24"/>
  <c r="AI20" i="24"/>
  <c r="AH20" i="24"/>
  <c r="AG20" i="24"/>
  <c r="AI19" i="24"/>
  <c r="AH19" i="24"/>
  <c r="AG19" i="24"/>
  <c r="AI18" i="24"/>
  <c r="AH18" i="24"/>
  <c r="AG18" i="24"/>
  <c r="AI17" i="24"/>
  <c r="AH17" i="24"/>
  <c r="AG17" i="24"/>
  <c r="AI16" i="24"/>
  <c r="AG16" i="24"/>
  <c r="AH16" i="24" s="1"/>
  <c r="AI15" i="24"/>
  <c r="AH15" i="24"/>
  <c r="AG15" i="24"/>
  <c r="AI14" i="24"/>
  <c r="AH14" i="24"/>
  <c r="AG14" i="24"/>
  <c r="AI13" i="24"/>
  <c r="AH13" i="24"/>
  <c r="AG13" i="24"/>
  <c r="AI12" i="24"/>
  <c r="AH12" i="24"/>
  <c r="AG12" i="24"/>
  <c r="AI11" i="24"/>
  <c r="AH11" i="24"/>
  <c r="AG11" i="24"/>
  <c r="AI10" i="24"/>
  <c r="AG10" i="24"/>
  <c r="AH10" i="24" s="1"/>
  <c r="AI9" i="24"/>
  <c r="AH9" i="24"/>
  <c r="AG9" i="24"/>
  <c r="AI8" i="24"/>
  <c r="AH8" i="24"/>
  <c r="AG8" i="24"/>
  <c r="AI7" i="24"/>
  <c r="AH7" i="24"/>
  <c r="AG7" i="24"/>
  <c r="AI6" i="24"/>
  <c r="AH6" i="24"/>
  <c r="AG6" i="24"/>
  <c r="AI5" i="24"/>
  <c r="AH5" i="24"/>
  <c r="AG5" i="24"/>
  <c r="AI4" i="24"/>
  <c r="AG4" i="24"/>
  <c r="AH4" i="24" s="1"/>
  <c r="AJ3" i="24" s="1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AI141" i="23"/>
  <c r="AH141" i="23"/>
  <c r="AI140" i="23"/>
  <c r="AH140" i="23"/>
  <c r="AI139" i="23"/>
  <c r="AH139" i="23"/>
  <c r="AI138" i="23"/>
  <c r="AH138" i="23"/>
  <c r="AI137" i="23"/>
  <c r="AH137" i="23"/>
  <c r="AI136" i="23"/>
  <c r="AH136" i="23"/>
  <c r="AI135" i="23"/>
  <c r="AH135" i="23"/>
  <c r="AI134" i="23"/>
  <c r="AH134" i="23"/>
  <c r="AI133" i="23"/>
  <c r="AH133" i="23"/>
  <c r="AI132" i="23"/>
  <c r="AH132" i="23"/>
  <c r="AI131" i="23"/>
  <c r="AH131" i="23"/>
  <c r="AI130" i="23"/>
  <c r="AH130" i="23"/>
  <c r="AI129" i="23"/>
  <c r="AH129" i="23"/>
  <c r="AI128" i="23"/>
  <c r="AH128" i="23"/>
  <c r="AI127" i="23"/>
  <c r="AH127" i="23"/>
  <c r="AI126" i="23"/>
  <c r="AH126" i="23"/>
  <c r="AI125" i="23"/>
  <c r="AH125" i="23"/>
  <c r="AI124" i="23"/>
  <c r="AH124" i="23"/>
  <c r="AI123" i="23"/>
  <c r="AH123" i="23"/>
  <c r="AI122" i="23"/>
  <c r="AH122" i="23"/>
  <c r="AI121" i="23"/>
  <c r="AH121" i="23"/>
  <c r="AI120" i="23"/>
  <c r="AH120" i="23"/>
  <c r="AI119" i="23"/>
  <c r="AH119" i="23"/>
  <c r="AI118" i="23"/>
  <c r="AH118" i="23"/>
  <c r="AI117" i="23"/>
  <c r="AH117" i="23"/>
  <c r="AH116" i="23"/>
  <c r="AH115" i="23"/>
  <c r="AH114" i="23"/>
  <c r="AI113" i="23"/>
  <c r="AH113" i="23"/>
  <c r="AI112" i="23"/>
  <c r="AH112" i="23"/>
  <c r="AI111" i="23"/>
  <c r="AH111" i="23"/>
  <c r="AI110" i="23"/>
  <c r="AH110" i="23"/>
  <c r="AI109" i="23"/>
  <c r="AH109" i="23"/>
  <c r="AI108" i="23"/>
  <c r="AH108" i="23"/>
  <c r="AI107" i="23"/>
  <c r="AH107" i="23"/>
  <c r="AI106" i="23"/>
  <c r="AH106" i="23"/>
  <c r="AI105" i="23"/>
  <c r="AH105" i="23"/>
  <c r="AI104" i="23"/>
  <c r="AH104" i="23"/>
  <c r="AI103" i="23"/>
  <c r="AH103" i="23"/>
  <c r="AI102" i="23"/>
  <c r="AH102" i="23"/>
  <c r="AI101" i="23"/>
  <c r="AH101" i="23"/>
  <c r="AI100" i="23"/>
  <c r="AH100" i="23"/>
  <c r="AI99" i="23"/>
  <c r="AH99" i="23"/>
  <c r="AI98" i="23"/>
  <c r="AH98" i="23"/>
  <c r="AI97" i="23"/>
  <c r="AH97" i="23"/>
  <c r="AI96" i="23"/>
  <c r="AH96" i="23"/>
  <c r="AI95" i="23"/>
  <c r="AH95" i="23"/>
  <c r="AI94" i="23"/>
  <c r="AH94" i="23"/>
  <c r="AH93" i="23"/>
  <c r="AH92" i="23"/>
  <c r="AH91" i="23"/>
  <c r="AH90" i="23"/>
  <c r="AH89" i="23"/>
  <c r="AI88" i="23"/>
  <c r="AH88" i="23"/>
  <c r="AI87" i="23"/>
  <c r="AH87" i="23"/>
  <c r="AI86" i="23"/>
  <c r="AH86" i="23"/>
  <c r="AI85" i="23"/>
  <c r="AH85" i="23"/>
  <c r="AI84" i="23"/>
  <c r="AH84" i="23"/>
  <c r="AI83" i="23"/>
  <c r="AH83" i="23"/>
  <c r="AI82" i="23"/>
  <c r="AH82" i="23"/>
  <c r="AI81" i="23"/>
  <c r="AH81" i="23"/>
  <c r="AI80" i="23"/>
  <c r="AH80" i="23"/>
  <c r="AI79" i="23"/>
  <c r="AH79" i="23"/>
  <c r="AI78" i="23"/>
  <c r="AH78" i="23"/>
  <c r="AI77" i="23"/>
  <c r="AH77" i="23"/>
  <c r="AI76" i="23"/>
  <c r="AH76" i="23"/>
  <c r="AI75" i="23"/>
  <c r="AH75" i="23"/>
  <c r="AI74" i="23"/>
  <c r="AH74" i="23"/>
  <c r="AI73" i="23"/>
  <c r="AH73" i="23"/>
  <c r="AI72" i="23"/>
  <c r="AH72" i="23"/>
  <c r="AI71" i="23"/>
  <c r="AH71" i="23"/>
  <c r="AI70" i="23"/>
  <c r="AH70" i="23"/>
  <c r="AI69" i="23"/>
  <c r="AH69" i="23"/>
  <c r="AI68" i="23"/>
  <c r="AH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I10" i="23"/>
  <c r="AH10" i="23"/>
  <c r="AI9" i="23"/>
  <c r="AH9" i="23"/>
  <c r="AI8" i="23"/>
  <c r="AH8" i="23"/>
  <c r="AI7" i="23"/>
  <c r="AH7" i="23"/>
  <c r="AI6" i="23"/>
  <c r="AH6" i="23"/>
  <c r="AI5" i="23"/>
  <c r="AH5" i="23"/>
  <c r="AI4" i="23"/>
  <c r="AH4" i="23"/>
  <c r="AJ3" i="23" s="1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AI141" i="22"/>
  <c r="AG141" i="22"/>
  <c r="AH141" i="22" s="1"/>
  <c r="AI140" i="22"/>
  <c r="AG140" i="22"/>
  <c r="AH140" i="22" s="1"/>
  <c r="AI139" i="22"/>
  <c r="AG139" i="22"/>
  <c r="AH139" i="22" s="1"/>
  <c r="AI138" i="22"/>
  <c r="AG138" i="22"/>
  <c r="AH138" i="22" s="1"/>
  <c r="AI137" i="22"/>
  <c r="AH137" i="22"/>
  <c r="AG137" i="22"/>
  <c r="AI136" i="22"/>
  <c r="AG136" i="22"/>
  <c r="AH136" i="22" s="1"/>
  <c r="AI135" i="22"/>
  <c r="AG135" i="22"/>
  <c r="AH135" i="22" s="1"/>
  <c r="AI134" i="22"/>
  <c r="AH134" i="22"/>
  <c r="AG134" i="22"/>
  <c r="AI133" i="22"/>
  <c r="AG133" i="22"/>
  <c r="AH133" i="22" s="1"/>
  <c r="AI132" i="22"/>
  <c r="AH132" i="22"/>
  <c r="AG132" i="22"/>
  <c r="AI131" i="22"/>
  <c r="AH131" i="22"/>
  <c r="AG131" i="22"/>
  <c r="AI130" i="22"/>
  <c r="AG130" i="22"/>
  <c r="AH130" i="22" s="1"/>
  <c r="AI129" i="22"/>
  <c r="AG129" i="22"/>
  <c r="AH129" i="22" s="1"/>
  <c r="AI128" i="22"/>
  <c r="AH128" i="22"/>
  <c r="AG128" i="22"/>
  <c r="AI127" i="22"/>
  <c r="AG127" i="22"/>
  <c r="AH127" i="22" s="1"/>
  <c r="AI126" i="22"/>
  <c r="AH126" i="22"/>
  <c r="AG126" i="22"/>
  <c r="AI125" i="22"/>
  <c r="AH125" i="22"/>
  <c r="AG125" i="22"/>
  <c r="AI124" i="22"/>
  <c r="AG124" i="22"/>
  <c r="AH124" i="22" s="1"/>
  <c r="AI123" i="22"/>
  <c r="AG123" i="22"/>
  <c r="AH123" i="22" s="1"/>
  <c r="AI122" i="22"/>
  <c r="AH122" i="22"/>
  <c r="AG122" i="22"/>
  <c r="AI121" i="22"/>
  <c r="AG121" i="22"/>
  <c r="AH121" i="22" s="1"/>
  <c r="AI120" i="22"/>
  <c r="AH120" i="22"/>
  <c r="AG120" i="22"/>
  <c r="AI119" i="22"/>
  <c r="AH119" i="22"/>
  <c r="AG119" i="22"/>
  <c r="AI118" i="22"/>
  <c r="AG118" i="22"/>
  <c r="AH118" i="22" s="1"/>
  <c r="AI117" i="22"/>
  <c r="AG117" i="22"/>
  <c r="AH117" i="22" s="1"/>
  <c r="AG115" i="22"/>
  <c r="AH115" i="22" s="1"/>
  <c r="AG114" i="22"/>
  <c r="AH114" i="22" s="1"/>
  <c r="AG113" i="22"/>
  <c r="AH113" i="22" s="1"/>
  <c r="AI112" i="22"/>
  <c r="AH112" i="22"/>
  <c r="AG112" i="22"/>
  <c r="AI111" i="22"/>
  <c r="AH111" i="22"/>
  <c r="AG111" i="22"/>
  <c r="AI110" i="22"/>
  <c r="AG110" i="22"/>
  <c r="AH110" i="22" s="1"/>
  <c r="AI109" i="22"/>
  <c r="AG109" i="22"/>
  <c r="AH109" i="22" s="1"/>
  <c r="AI108" i="22"/>
  <c r="AH108" i="22"/>
  <c r="AG108" i="22"/>
  <c r="AI107" i="22"/>
  <c r="AG107" i="22"/>
  <c r="AH107" i="22" s="1"/>
  <c r="AI106" i="22"/>
  <c r="AH106" i="22"/>
  <c r="AG106" i="22"/>
  <c r="AI105" i="22"/>
  <c r="AH105" i="22"/>
  <c r="AG105" i="22"/>
  <c r="AI104" i="22"/>
  <c r="AG104" i="22"/>
  <c r="AH104" i="22" s="1"/>
  <c r="AI103" i="22"/>
  <c r="AG103" i="22"/>
  <c r="AH103" i="22" s="1"/>
  <c r="AI102" i="22"/>
  <c r="AH102" i="22"/>
  <c r="AG102" i="22"/>
  <c r="AI101" i="22"/>
  <c r="AG101" i="22"/>
  <c r="AH101" i="22" s="1"/>
  <c r="AI100" i="22"/>
  <c r="AH100" i="22"/>
  <c r="AG100" i="22"/>
  <c r="AI99" i="22"/>
  <c r="AH99" i="22"/>
  <c r="AG99" i="22"/>
  <c r="AI98" i="22"/>
  <c r="AG98" i="22"/>
  <c r="AH98" i="22" s="1"/>
  <c r="AI97" i="22"/>
  <c r="AG97" i="22"/>
  <c r="AH97" i="22" s="1"/>
  <c r="AI96" i="22"/>
  <c r="AH96" i="22"/>
  <c r="AG96" i="22"/>
  <c r="AI95" i="22"/>
  <c r="AG95" i="22"/>
  <c r="AH95" i="22" s="1"/>
  <c r="AI94" i="22"/>
  <c r="AH94" i="22"/>
  <c r="AG94" i="22"/>
  <c r="AI93" i="22"/>
  <c r="AH93" i="22"/>
  <c r="AG93" i="22"/>
  <c r="AH90" i="22"/>
  <c r="AG90" i="22"/>
  <c r="AH89" i="22"/>
  <c r="AG89" i="22"/>
  <c r="AI88" i="22"/>
  <c r="AG88" i="22"/>
  <c r="AH88" i="22" s="1"/>
  <c r="AI87" i="22"/>
  <c r="AG87" i="22"/>
  <c r="AH87" i="22" s="1"/>
  <c r="AI86" i="22"/>
  <c r="AH86" i="22"/>
  <c r="AG86" i="22"/>
  <c r="AI85" i="22"/>
  <c r="AH85" i="22"/>
  <c r="AG85" i="22"/>
  <c r="AI84" i="22"/>
  <c r="AG84" i="22"/>
  <c r="AH84" i="22" s="1"/>
  <c r="AI83" i="22"/>
  <c r="AH83" i="22"/>
  <c r="AG83" i="22"/>
  <c r="AI82" i="22"/>
  <c r="AG82" i="22"/>
  <c r="AH82" i="22" s="1"/>
  <c r="AI81" i="22"/>
  <c r="AG81" i="22"/>
  <c r="AH81" i="22" s="1"/>
  <c r="AI80" i="22"/>
  <c r="AG80" i="22"/>
  <c r="AH80" i="22" s="1"/>
  <c r="AI79" i="22"/>
  <c r="AH79" i="22"/>
  <c r="AG79" i="22"/>
  <c r="AI78" i="22"/>
  <c r="AG78" i="22"/>
  <c r="AH78" i="22" s="1"/>
  <c r="AI77" i="22"/>
  <c r="AH77" i="22"/>
  <c r="AG77" i="22"/>
  <c r="AI76" i="22"/>
  <c r="AG76" i="22"/>
  <c r="AH76" i="22" s="1"/>
  <c r="AI75" i="22"/>
  <c r="AG75" i="22"/>
  <c r="AH75" i="22" s="1"/>
  <c r="AI74" i="22"/>
  <c r="AH74" i="22"/>
  <c r="AG74" i="22"/>
  <c r="AI73" i="22"/>
  <c r="AH73" i="22"/>
  <c r="AG73" i="22"/>
  <c r="AI72" i="22"/>
  <c r="AG72" i="22"/>
  <c r="AH72" i="22" s="1"/>
  <c r="AI71" i="22"/>
  <c r="AH71" i="22"/>
  <c r="AG71" i="22"/>
  <c r="AI70" i="22"/>
  <c r="AG70" i="22"/>
  <c r="AH70" i="22" s="1"/>
  <c r="AI69" i="22"/>
  <c r="AG69" i="22"/>
  <c r="AH69" i="22" s="1"/>
  <c r="AI68" i="22"/>
  <c r="AG68" i="22"/>
  <c r="AH68" i="22" s="1"/>
  <c r="AI67" i="22"/>
  <c r="AH67" i="22"/>
  <c r="AG67" i="22"/>
  <c r="AI66" i="22"/>
  <c r="AG66" i="22"/>
  <c r="AH66" i="22" s="1"/>
  <c r="AI65" i="22"/>
  <c r="AH65" i="22"/>
  <c r="AG65" i="22"/>
  <c r="AI64" i="22"/>
  <c r="AG64" i="22"/>
  <c r="AH64" i="22" s="1"/>
  <c r="AI63" i="22"/>
  <c r="AG63" i="22"/>
  <c r="AH63" i="22" s="1"/>
  <c r="AI62" i="22"/>
  <c r="AH62" i="22"/>
  <c r="AG62" i="22"/>
  <c r="AI61" i="22"/>
  <c r="AH61" i="22"/>
  <c r="AG61" i="22"/>
  <c r="AI60" i="22"/>
  <c r="AG60" i="22"/>
  <c r="AH60" i="22" s="1"/>
  <c r="AI59" i="22"/>
  <c r="AH59" i="22"/>
  <c r="AG59" i="22"/>
  <c r="AI58" i="22"/>
  <c r="AG58" i="22"/>
  <c r="AH58" i="22" s="1"/>
  <c r="AI57" i="22"/>
  <c r="AG57" i="22"/>
  <c r="AH57" i="22" s="1"/>
  <c r="AI56" i="22"/>
  <c r="AH56" i="22"/>
  <c r="AG56" i="22"/>
  <c r="AI55" i="22"/>
  <c r="AH55" i="22"/>
  <c r="AG55" i="22"/>
  <c r="AI54" i="22"/>
  <c r="AG54" i="22"/>
  <c r="AH54" i="22" s="1"/>
  <c r="AI53" i="22"/>
  <c r="AH53" i="22"/>
  <c r="AG53" i="22"/>
  <c r="AI52" i="22"/>
  <c r="AG52" i="22"/>
  <c r="AH52" i="22" s="1"/>
  <c r="AI51" i="22"/>
  <c r="AG51" i="22"/>
  <c r="AH51" i="22" s="1"/>
  <c r="AI50" i="22"/>
  <c r="AH50" i="22"/>
  <c r="AG50" i="22"/>
  <c r="AI49" i="22"/>
  <c r="AH49" i="22"/>
  <c r="AG49" i="22"/>
  <c r="AI48" i="22"/>
  <c r="AG48" i="22"/>
  <c r="AH48" i="22" s="1"/>
  <c r="AI47" i="22"/>
  <c r="AH47" i="22"/>
  <c r="AG47" i="22"/>
  <c r="AI46" i="22"/>
  <c r="AG46" i="22"/>
  <c r="AH46" i="22" s="1"/>
  <c r="AI45" i="22"/>
  <c r="AG45" i="22"/>
  <c r="AH45" i="22" s="1"/>
  <c r="AI44" i="22"/>
  <c r="AG44" i="22"/>
  <c r="AH44" i="22" s="1"/>
  <c r="AI43" i="22"/>
  <c r="AH43" i="22"/>
  <c r="AG43" i="22"/>
  <c r="AI42" i="22"/>
  <c r="AG42" i="22"/>
  <c r="AH42" i="22" s="1"/>
  <c r="AI41" i="22"/>
  <c r="AH41" i="22"/>
  <c r="AG41" i="22"/>
  <c r="AI40" i="22"/>
  <c r="AG40" i="22"/>
  <c r="AH40" i="22" s="1"/>
  <c r="AI39" i="22"/>
  <c r="AG39" i="22"/>
  <c r="AH39" i="22" s="1"/>
  <c r="AI38" i="22"/>
  <c r="AG38" i="22"/>
  <c r="AH38" i="22" s="1"/>
  <c r="AI37" i="22"/>
  <c r="AH37" i="22"/>
  <c r="AG37" i="22"/>
  <c r="AI36" i="22"/>
  <c r="AG36" i="22"/>
  <c r="AH36" i="22" s="1"/>
  <c r="AI35" i="22"/>
  <c r="AH35" i="22"/>
  <c r="AG35" i="22"/>
  <c r="AI34" i="22"/>
  <c r="AG34" i="22"/>
  <c r="AH34" i="22" s="1"/>
  <c r="AI33" i="22"/>
  <c r="AG33" i="22"/>
  <c r="AH33" i="22" s="1"/>
  <c r="AI32" i="22"/>
  <c r="AG32" i="22"/>
  <c r="AH32" i="22" s="1"/>
  <c r="AI31" i="22"/>
  <c r="AH31" i="22"/>
  <c r="AG31" i="22"/>
  <c r="AI30" i="22"/>
  <c r="AG30" i="22"/>
  <c r="AH30" i="22" s="1"/>
  <c r="AI29" i="22"/>
  <c r="AH29" i="22"/>
  <c r="AG29" i="22"/>
  <c r="AI28" i="22"/>
  <c r="AG28" i="22"/>
  <c r="AH28" i="22" s="1"/>
  <c r="AI27" i="22"/>
  <c r="AG27" i="22"/>
  <c r="AH27" i="22" s="1"/>
  <c r="AI26" i="22"/>
  <c r="AH26" i="22"/>
  <c r="AG26" i="22"/>
  <c r="AI25" i="22"/>
  <c r="AH25" i="22"/>
  <c r="AG25" i="22"/>
  <c r="AI24" i="22"/>
  <c r="AG24" i="22"/>
  <c r="AH24" i="22" s="1"/>
  <c r="AI23" i="22"/>
  <c r="AH23" i="22"/>
  <c r="AG23" i="22"/>
  <c r="AI22" i="22"/>
  <c r="AG22" i="22"/>
  <c r="AH22" i="22" s="1"/>
  <c r="AI21" i="22"/>
  <c r="AG21" i="22"/>
  <c r="AH21" i="22" s="1"/>
  <c r="AI20" i="22"/>
  <c r="AH20" i="22"/>
  <c r="AG20" i="22"/>
  <c r="AI19" i="22"/>
  <c r="AH19" i="22"/>
  <c r="AG19" i="22"/>
  <c r="AI18" i="22"/>
  <c r="AG18" i="22"/>
  <c r="AH18" i="22" s="1"/>
  <c r="AI17" i="22"/>
  <c r="AH17" i="22"/>
  <c r="AG17" i="22"/>
  <c r="AI16" i="22"/>
  <c r="AG16" i="22"/>
  <c r="AH16" i="22" s="1"/>
  <c r="AI15" i="22"/>
  <c r="AG15" i="22"/>
  <c r="AH15" i="22" s="1"/>
  <c r="AI14" i="22"/>
  <c r="AH14" i="22"/>
  <c r="AG14" i="22"/>
  <c r="AI13" i="22"/>
  <c r="AH13" i="22"/>
  <c r="AG13" i="22"/>
  <c r="AI12" i="22"/>
  <c r="AG12" i="22"/>
  <c r="AH12" i="22" s="1"/>
  <c r="AI11" i="22"/>
  <c r="AH11" i="22"/>
  <c r="AG11" i="22"/>
  <c r="AI10" i="22"/>
  <c r="AG10" i="22"/>
  <c r="AH10" i="22" s="1"/>
  <c r="AI9" i="22"/>
  <c r="AG9" i="22"/>
  <c r="AH9" i="22" s="1"/>
  <c r="AI8" i="22"/>
  <c r="AG8" i="22"/>
  <c r="AH8" i="22" s="1"/>
  <c r="AI7" i="22"/>
  <c r="AH7" i="22"/>
  <c r="AG7" i="22"/>
  <c r="AI6" i="22"/>
  <c r="AG6" i="22"/>
  <c r="AH6" i="22" s="1"/>
  <c r="AI5" i="22"/>
  <c r="AH5" i="22"/>
  <c r="AG5" i="22"/>
  <c r="AI4" i="22"/>
  <c r="AG4" i="22"/>
  <c r="AH4" i="22" s="1"/>
  <c r="AJ3" i="22" s="1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AI140" i="21"/>
  <c r="AG140" i="21"/>
  <c r="AH140" i="21" s="1"/>
  <c r="AI139" i="21"/>
  <c r="AG139" i="21"/>
  <c r="AH139" i="21" s="1"/>
  <c r="AI138" i="21"/>
  <c r="AH138" i="21"/>
  <c r="AG138" i="21"/>
  <c r="AI137" i="21"/>
  <c r="AG137" i="21"/>
  <c r="AH137" i="21" s="1"/>
  <c r="AI136" i="21"/>
  <c r="AH136" i="21"/>
  <c r="AG136" i="21"/>
  <c r="AI135" i="21"/>
  <c r="AH135" i="21"/>
  <c r="AG135" i="21"/>
  <c r="AI134" i="21"/>
  <c r="AG134" i="21"/>
  <c r="AH134" i="21" s="1"/>
  <c r="AI133" i="21"/>
  <c r="AG133" i="21"/>
  <c r="AH133" i="21" s="1"/>
  <c r="AI132" i="21"/>
  <c r="AH132" i="21"/>
  <c r="AG132" i="21"/>
  <c r="AI131" i="21"/>
  <c r="AG131" i="21"/>
  <c r="AH131" i="21" s="1"/>
  <c r="AI130" i="21"/>
  <c r="AH130" i="21"/>
  <c r="AG130" i="21"/>
  <c r="AI129" i="21"/>
  <c r="AH129" i="21"/>
  <c r="AG129" i="21"/>
  <c r="AI128" i="21"/>
  <c r="AG128" i="21"/>
  <c r="AH128" i="21" s="1"/>
  <c r="AI127" i="21"/>
  <c r="AG127" i="21"/>
  <c r="AH127" i="21" s="1"/>
  <c r="AI126" i="21"/>
  <c r="AH126" i="21"/>
  <c r="AG126" i="21"/>
  <c r="AI125" i="21"/>
  <c r="AG125" i="21"/>
  <c r="AH125" i="21" s="1"/>
  <c r="AI124" i="21"/>
  <c r="AH124" i="21"/>
  <c r="AG124" i="21"/>
  <c r="AI123" i="21"/>
  <c r="AH123" i="21"/>
  <c r="AG123" i="21"/>
  <c r="AI122" i="21"/>
  <c r="AG122" i="21"/>
  <c r="AH122" i="21" s="1"/>
  <c r="AI121" i="21"/>
  <c r="AG121" i="21"/>
  <c r="AH121" i="21" s="1"/>
  <c r="AI120" i="21"/>
  <c r="AH120" i="21"/>
  <c r="AG120" i="21"/>
  <c r="AI119" i="21"/>
  <c r="AG119" i="21"/>
  <c r="AH119" i="21" s="1"/>
  <c r="AI118" i="21"/>
  <c r="AH118" i="21"/>
  <c r="AG118" i="21"/>
  <c r="AI117" i="21"/>
  <c r="AH117" i="21"/>
  <c r="AG117" i="21"/>
  <c r="AI116" i="21"/>
  <c r="AG116" i="21"/>
  <c r="AH116" i="21" s="1"/>
  <c r="AH115" i="21"/>
  <c r="AG115" i="21"/>
  <c r="AG114" i="21"/>
  <c r="AH114" i="21" s="1"/>
  <c r="AH113" i="21"/>
  <c r="AG113" i="21"/>
  <c r="AI112" i="21"/>
  <c r="AG112" i="21"/>
  <c r="AH112" i="21" s="1"/>
  <c r="AI111" i="21"/>
  <c r="AH111" i="21"/>
  <c r="AG111" i="21"/>
  <c r="AI110" i="21"/>
  <c r="AH110" i="21"/>
  <c r="AG110" i="21"/>
  <c r="AI109" i="21"/>
  <c r="AG109" i="21"/>
  <c r="AH109" i="21" s="1"/>
  <c r="AI108" i="21"/>
  <c r="AG108" i="21"/>
  <c r="AH108" i="21" s="1"/>
  <c r="AI107" i="21"/>
  <c r="AH107" i="21"/>
  <c r="AG107" i="21"/>
  <c r="AI106" i="21"/>
  <c r="AG106" i="21"/>
  <c r="AH106" i="21" s="1"/>
  <c r="AI105" i="21"/>
  <c r="AH105" i="21"/>
  <c r="AG105" i="21"/>
  <c r="AI104" i="21"/>
  <c r="AH104" i="21"/>
  <c r="AG104" i="21"/>
  <c r="AI103" i="21"/>
  <c r="AG103" i="21"/>
  <c r="AH103" i="21" s="1"/>
  <c r="AI102" i="21"/>
  <c r="AG102" i="21"/>
  <c r="AH102" i="21" s="1"/>
  <c r="AI101" i="21"/>
  <c r="AH101" i="21"/>
  <c r="AG101" i="21"/>
  <c r="AI100" i="21"/>
  <c r="AG100" i="21"/>
  <c r="AH100" i="21" s="1"/>
  <c r="AI99" i="21"/>
  <c r="AH99" i="21"/>
  <c r="AG99" i="21"/>
  <c r="AI98" i="21"/>
  <c r="AH98" i="21"/>
  <c r="AG98" i="21"/>
  <c r="AI97" i="21"/>
  <c r="AG97" i="21"/>
  <c r="AH97" i="21" s="1"/>
  <c r="AI96" i="21"/>
  <c r="AG96" i="21"/>
  <c r="AH96" i="21" s="1"/>
  <c r="AI95" i="21"/>
  <c r="AH95" i="21"/>
  <c r="AG95" i="21"/>
  <c r="AI94" i="21"/>
  <c r="AG94" i="21"/>
  <c r="AH94" i="21" s="1"/>
  <c r="AI93" i="21"/>
  <c r="AH93" i="21"/>
  <c r="AG93" i="21"/>
  <c r="AG90" i="21"/>
  <c r="AH90" i="21" s="1"/>
  <c r="AG89" i="21"/>
  <c r="AH89" i="21" s="1"/>
  <c r="AI88" i="21"/>
  <c r="AH88" i="21"/>
  <c r="AG88" i="21"/>
  <c r="AI87" i="21"/>
  <c r="AG87" i="21"/>
  <c r="AH87" i="21" s="1"/>
  <c r="AI86" i="21"/>
  <c r="AG86" i="21"/>
  <c r="AH86" i="21" s="1"/>
  <c r="AI85" i="21"/>
  <c r="AH85" i="21"/>
  <c r="AG85" i="21"/>
  <c r="AI84" i="21"/>
  <c r="AH84" i="21"/>
  <c r="AG84" i="21"/>
  <c r="AI83" i="21"/>
  <c r="AG83" i="21"/>
  <c r="AH83" i="21" s="1"/>
  <c r="AI82" i="21"/>
  <c r="AH82" i="21"/>
  <c r="AG82" i="21"/>
  <c r="AI81" i="21"/>
  <c r="AG81" i="21"/>
  <c r="AH81" i="21" s="1"/>
  <c r="AI80" i="21"/>
  <c r="AG80" i="21"/>
  <c r="AH80" i="21" s="1"/>
  <c r="AI79" i="21"/>
  <c r="AH79" i="21"/>
  <c r="AG79" i="21"/>
  <c r="AI78" i="21"/>
  <c r="AH78" i="21"/>
  <c r="AG78" i="21"/>
  <c r="AI77" i="21"/>
  <c r="AG77" i="21"/>
  <c r="AH77" i="21" s="1"/>
  <c r="AI76" i="21"/>
  <c r="AH76" i="21"/>
  <c r="AG76" i="21"/>
  <c r="AI75" i="21"/>
  <c r="AG75" i="21"/>
  <c r="AH75" i="21" s="1"/>
  <c r="AI74" i="21"/>
  <c r="AG74" i="21"/>
  <c r="AH74" i="21" s="1"/>
  <c r="AI73" i="21"/>
  <c r="AG73" i="21"/>
  <c r="AH73" i="21" s="1"/>
  <c r="AI72" i="21"/>
  <c r="AH72" i="21"/>
  <c r="AG72" i="21"/>
  <c r="AI71" i="21"/>
  <c r="AG71" i="21"/>
  <c r="AH71" i="21" s="1"/>
  <c r="AI70" i="21"/>
  <c r="AH70" i="21"/>
  <c r="AG70" i="21"/>
  <c r="AI69" i="21"/>
  <c r="AG69" i="21"/>
  <c r="AH69" i="21" s="1"/>
  <c r="AI68" i="21"/>
  <c r="AG68" i="21"/>
  <c r="AH68" i="21" s="1"/>
  <c r="AI67" i="21"/>
  <c r="AG67" i="21"/>
  <c r="AH67" i="21" s="1"/>
  <c r="AI66" i="21"/>
  <c r="AH66" i="21"/>
  <c r="AG66" i="21"/>
  <c r="AI65" i="21"/>
  <c r="AG65" i="21"/>
  <c r="AH65" i="21" s="1"/>
  <c r="AI64" i="21"/>
  <c r="AH64" i="21"/>
  <c r="AG64" i="21"/>
  <c r="AI63" i="21"/>
  <c r="AG63" i="21"/>
  <c r="AH63" i="21" s="1"/>
  <c r="AI62" i="21"/>
  <c r="AG62" i="21"/>
  <c r="AH62" i="21" s="1"/>
  <c r="AI61" i="21"/>
  <c r="AG61" i="21"/>
  <c r="AH61" i="21" s="1"/>
  <c r="AI60" i="21"/>
  <c r="AH60" i="21"/>
  <c r="AG60" i="21"/>
  <c r="AI59" i="21"/>
  <c r="AG59" i="21"/>
  <c r="AH59" i="21" s="1"/>
  <c r="AI58" i="21"/>
  <c r="AH58" i="21"/>
  <c r="AG58" i="21"/>
  <c r="AI57" i="21"/>
  <c r="AG57" i="21"/>
  <c r="AH57" i="21" s="1"/>
  <c r="AI56" i="21"/>
  <c r="AG56" i="21"/>
  <c r="AH56" i="21" s="1"/>
  <c r="AI55" i="21"/>
  <c r="AH55" i="21"/>
  <c r="AG55" i="21"/>
  <c r="AI54" i="21"/>
  <c r="AH54" i="21"/>
  <c r="AG54" i="21"/>
  <c r="AI53" i="21"/>
  <c r="AG53" i="21"/>
  <c r="AH53" i="21" s="1"/>
  <c r="AI52" i="21"/>
  <c r="AH52" i="21"/>
  <c r="AG52" i="21"/>
  <c r="AI51" i="21"/>
  <c r="AG51" i="21"/>
  <c r="AH51" i="21" s="1"/>
  <c r="AI50" i="21"/>
  <c r="AG50" i="21"/>
  <c r="AH50" i="21" s="1"/>
  <c r="AI49" i="21"/>
  <c r="AH49" i="21"/>
  <c r="AG49" i="21"/>
  <c r="AI48" i="21"/>
  <c r="AH48" i="21"/>
  <c r="AG48" i="21"/>
  <c r="AI47" i="21"/>
  <c r="AG47" i="21"/>
  <c r="AH47" i="21" s="1"/>
  <c r="AI46" i="21"/>
  <c r="AH46" i="21"/>
  <c r="AG46" i="21"/>
  <c r="AI45" i="21"/>
  <c r="AG45" i="21"/>
  <c r="AH45" i="21" s="1"/>
  <c r="AI44" i="21"/>
  <c r="AG44" i="21"/>
  <c r="AH44" i="21" s="1"/>
  <c r="AI43" i="21"/>
  <c r="AH43" i="21"/>
  <c r="AG43" i="21"/>
  <c r="AI42" i="21"/>
  <c r="AH42" i="21"/>
  <c r="AG42" i="21"/>
  <c r="AI41" i="21"/>
  <c r="AG41" i="21"/>
  <c r="AH41" i="21" s="1"/>
  <c r="AI40" i="21"/>
  <c r="AH40" i="21"/>
  <c r="AG40" i="21"/>
  <c r="AI39" i="21"/>
  <c r="AG39" i="21"/>
  <c r="AH39" i="21" s="1"/>
  <c r="AI38" i="21"/>
  <c r="AG38" i="21"/>
  <c r="AH38" i="21" s="1"/>
  <c r="AI37" i="21"/>
  <c r="AG37" i="21"/>
  <c r="AH37" i="21" s="1"/>
  <c r="AI36" i="21"/>
  <c r="AH36" i="21"/>
  <c r="AG36" i="21"/>
  <c r="AI35" i="21"/>
  <c r="AG35" i="21"/>
  <c r="AH35" i="21" s="1"/>
  <c r="AI34" i="21"/>
  <c r="AH34" i="21"/>
  <c r="AG34" i="21"/>
  <c r="AI33" i="21"/>
  <c r="AG33" i="21"/>
  <c r="AH33" i="21" s="1"/>
  <c r="AI32" i="21"/>
  <c r="AG32" i="21"/>
  <c r="AH32" i="21" s="1"/>
  <c r="AI31" i="21"/>
  <c r="AG31" i="21"/>
  <c r="AH31" i="21" s="1"/>
  <c r="AI30" i="21"/>
  <c r="AH30" i="21"/>
  <c r="AG30" i="21"/>
  <c r="AI29" i="21"/>
  <c r="AG29" i="21"/>
  <c r="AH29" i="21" s="1"/>
  <c r="AI28" i="21"/>
  <c r="AH28" i="21"/>
  <c r="AG28" i="21"/>
  <c r="AI27" i="21"/>
  <c r="AG27" i="21"/>
  <c r="AH27" i="21" s="1"/>
  <c r="AI26" i="21"/>
  <c r="AG26" i="21"/>
  <c r="AH26" i="21" s="1"/>
  <c r="AI25" i="21"/>
  <c r="AG25" i="21"/>
  <c r="AH25" i="21" s="1"/>
  <c r="AI24" i="21"/>
  <c r="AH24" i="21"/>
  <c r="AG24" i="21"/>
  <c r="AI23" i="21"/>
  <c r="AG23" i="21"/>
  <c r="AH23" i="21" s="1"/>
  <c r="AI22" i="21"/>
  <c r="AH22" i="21"/>
  <c r="AG22" i="21"/>
  <c r="AI21" i="21"/>
  <c r="AG21" i="21"/>
  <c r="AH21" i="21" s="1"/>
  <c r="AI20" i="21"/>
  <c r="AG20" i="21"/>
  <c r="AH20" i="21" s="1"/>
  <c r="AI19" i="21"/>
  <c r="AH19" i="21"/>
  <c r="AG19" i="21"/>
  <c r="AI18" i="21"/>
  <c r="AH18" i="21"/>
  <c r="AG18" i="21"/>
  <c r="AI17" i="21"/>
  <c r="AG17" i="21"/>
  <c r="AH17" i="21" s="1"/>
  <c r="AI16" i="21"/>
  <c r="AH16" i="21"/>
  <c r="AG16" i="21"/>
  <c r="AI15" i="21"/>
  <c r="AG15" i="21"/>
  <c r="AH15" i="21" s="1"/>
  <c r="AI14" i="21"/>
  <c r="AG14" i="21"/>
  <c r="AH14" i="21" s="1"/>
  <c r="AI13" i="21"/>
  <c r="AH13" i="21"/>
  <c r="AG13" i="21"/>
  <c r="AI12" i="21"/>
  <c r="AH12" i="21"/>
  <c r="AG12" i="21"/>
  <c r="AI11" i="21"/>
  <c r="AG11" i="21"/>
  <c r="AH11" i="21" s="1"/>
  <c r="AI10" i="21"/>
  <c r="AH10" i="21"/>
  <c r="AG10" i="21"/>
  <c r="AI9" i="21"/>
  <c r="AG9" i="21"/>
  <c r="AH9" i="21" s="1"/>
  <c r="AI8" i="21"/>
  <c r="AG8" i="21"/>
  <c r="AH8" i="21" s="1"/>
  <c r="AI7" i="21"/>
  <c r="AH7" i="21"/>
  <c r="AG7" i="21"/>
  <c r="AI6" i="21"/>
  <c r="AH6" i="21"/>
  <c r="AG6" i="21"/>
  <c r="AI5" i="21"/>
  <c r="AG5" i="21"/>
  <c r="AH5" i="21" s="1"/>
  <c r="AI4" i="21"/>
  <c r="AH4" i="21"/>
  <c r="AJ3" i="21" s="1"/>
  <c r="AG4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AI65" i="20"/>
  <c r="AH65" i="20"/>
  <c r="AG65" i="20"/>
  <c r="AI64" i="20"/>
  <c r="AH64" i="20"/>
  <c r="AG64" i="20"/>
  <c r="AI63" i="20"/>
  <c r="AH63" i="20"/>
  <c r="AG63" i="20"/>
  <c r="AI62" i="20"/>
  <c r="AH62" i="20"/>
  <c r="AG62" i="20"/>
  <c r="AI61" i="20"/>
  <c r="AG61" i="20"/>
  <c r="AH61" i="20" s="1"/>
  <c r="AI60" i="20"/>
  <c r="AG60" i="20"/>
  <c r="AH60" i="20" s="1"/>
  <c r="AI59" i="20"/>
  <c r="AH59" i="20"/>
  <c r="AG59" i="20"/>
  <c r="AI58" i="20"/>
  <c r="AH58" i="20"/>
  <c r="AG58" i="20"/>
  <c r="AI57" i="20"/>
  <c r="AH57" i="20"/>
  <c r="AG57" i="20"/>
  <c r="AI56" i="20"/>
  <c r="AH56" i="20"/>
  <c r="AG56" i="20"/>
  <c r="AG55" i="20"/>
  <c r="AH55" i="20" s="1"/>
  <c r="AH54" i="20"/>
  <c r="AG54" i="20"/>
  <c r="AG53" i="20"/>
  <c r="AH53" i="20" s="1"/>
  <c r="AI52" i="20"/>
  <c r="AH52" i="20"/>
  <c r="AG52" i="20"/>
  <c r="AI51" i="20"/>
  <c r="AH51" i="20"/>
  <c r="AG51" i="20"/>
  <c r="AI50" i="20"/>
  <c r="AG50" i="20"/>
  <c r="AH50" i="20" s="1"/>
  <c r="AI49" i="20"/>
  <c r="AH49" i="20"/>
  <c r="AG49" i="20"/>
  <c r="AI48" i="20"/>
  <c r="AG48" i="20"/>
  <c r="AH48" i="20" s="1"/>
  <c r="AI47" i="20"/>
  <c r="AG47" i="20"/>
  <c r="AH47" i="20" s="1"/>
  <c r="AI46" i="20"/>
  <c r="AH46" i="20"/>
  <c r="AG46" i="20"/>
  <c r="AI45" i="20"/>
  <c r="AH45" i="20"/>
  <c r="AG45" i="20"/>
  <c r="AI44" i="20"/>
  <c r="AG44" i="20"/>
  <c r="AH44" i="20" s="1"/>
  <c r="AI43" i="20"/>
  <c r="AH43" i="20"/>
  <c r="AG43" i="20"/>
  <c r="AI42" i="20"/>
  <c r="AH42" i="20"/>
  <c r="AG42" i="20"/>
  <c r="AI41" i="20"/>
  <c r="AG41" i="20"/>
  <c r="AH41" i="20" s="1"/>
  <c r="AI40" i="20"/>
  <c r="AH40" i="20"/>
  <c r="AG40" i="20"/>
  <c r="AI39" i="20"/>
  <c r="AH39" i="20"/>
  <c r="AG39" i="20"/>
  <c r="AI38" i="20"/>
  <c r="AG38" i="20"/>
  <c r="AH38" i="20" s="1"/>
  <c r="AI37" i="20"/>
  <c r="AH37" i="20"/>
  <c r="AG37" i="20"/>
  <c r="AI36" i="20"/>
  <c r="AH36" i="20"/>
  <c r="AG36" i="20"/>
  <c r="AI35" i="20"/>
  <c r="AG35" i="20"/>
  <c r="AH35" i="20" s="1"/>
  <c r="AI34" i="20"/>
  <c r="AH34" i="20"/>
  <c r="AG34" i="20"/>
  <c r="AI33" i="20"/>
  <c r="AH33" i="20"/>
  <c r="AG33" i="20"/>
  <c r="AI32" i="20"/>
  <c r="AH32" i="20"/>
  <c r="AG32" i="20"/>
  <c r="AI31" i="20"/>
  <c r="AH31" i="20"/>
  <c r="AG31" i="20"/>
  <c r="AI30" i="20"/>
  <c r="AG30" i="20"/>
  <c r="AH30" i="20" s="1"/>
  <c r="AI29" i="20"/>
  <c r="AG29" i="20"/>
  <c r="AH29" i="20" s="1"/>
  <c r="AI28" i="20"/>
  <c r="AH28" i="20"/>
  <c r="AG28" i="20"/>
  <c r="AI27" i="20"/>
  <c r="AH27" i="20"/>
  <c r="AG27" i="20"/>
  <c r="AI26" i="20"/>
  <c r="AG26" i="20"/>
  <c r="AH26" i="20" s="1"/>
  <c r="AI25" i="20"/>
  <c r="AH25" i="20"/>
  <c r="AG25" i="20"/>
  <c r="AI24" i="20"/>
  <c r="AH24" i="20"/>
  <c r="AG24" i="20"/>
  <c r="AI23" i="20"/>
  <c r="AG23" i="20"/>
  <c r="AH23" i="20" s="1"/>
  <c r="AI22" i="20"/>
  <c r="AH22" i="20"/>
  <c r="AG22" i="20"/>
  <c r="AI21" i="20"/>
  <c r="AH21" i="20"/>
  <c r="AG21" i="20"/>
  <c r="AI20" i="20"/>
  <c r="AG20" i="20"/>
  <c r="AH20" i="20" s="1"/>
  <c r="AI19" i="20"/>
  <c r="AH19" i="20"/>
  <c r="AG19" i="20"/>
  <c r="AI18" i="20"/>
  <c r="AH18" i="20"/>
  <c r="AG18" i="20"/>
  <c r="AI17" i="20"/>
  <c r="AG17" i="20"/>
  <c r="AH17" i="20" s="1"/>
  <c r="AI16" i="20"/>
  <c r="AH16" i="20"/>
  <c r="AG16" i="20"/>
  <c r="AI15" i="20"/>
  <c r="AH15" i="20"/>
  <c r="AG15" i="20"/>
  <c r="AI14" i="20"/>
  <c r="AH14" i="20"/>
  <c r="AG14" i="20"/>
  <c r="AI13" i="20"/>
  <c r="AH13" i="20"/>
  <c r="AG13" i="20"/>
  <c r="AI12" i="20"/>
  <c r="AG12" i="20"/>
  <c r="AH12" i="20" s="1"/>
  <c r="AI11" i="20"/>
  <c r="AG11" i="20"/>
  <c r="AH11" i="20" s="1"/>
  <c r="AI10" i="20"/>
  <c r="AH10" i="20"/>
  <c r="AG10" i="20"/>
  <c r="AI9" i="20"/>
  <c r="AH9" i="20"/>
  <c r="AG9" i="20"/>
  <c r="AI8" i="20"/>
  <c r="AG8" i="20"/>
  <c r="AH8" i="20" s="1"/>
  <c r="AI7" i="20"/>
  <c r="AH7" i="20"/>
  <c r="AG7" i="20"/>
  <c r="AI6" i="20"/>
  <c r="AG6" i="20"/>
  <c r="AH6" i="20" s="1"/>
  <c r="AI5" i="20"/>
  <c r="AG5" i="20"/>
  <c r="AH5" i="20" s="1"/>
  <c r="AI4" i="20"/>
  <c r="AH4" i="20"/>
  <c r="AJ3" i="20" s="1"/>
  <c r="AG4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AI61" i="19"/>
  <c r="AG61" i="19"/>
  <c r="AH61" i="19" s="1"/>
  <c r="AI60" i="19"/>
  <c r="AH60" i="19"/>
  <c r="AG60" i="19"/>
  <c r="AI59" i="19"/>
  <c r="AG59" i="19"/>
  <c r="AH59" i="19" s="1"/>
  <c r="AI58" i="19"/>
  <c r="AG58" i="19"/>
  <c r="AH58" i="19" s="1"/>
  <c r="AI57" i="19"/>
  <c r="AG57" i="19"/>
  <c r="AH57" i="19" s="1"/>
  <c r="AI56" i="19"/>
  <c r="AH56" i="19"/>
  <c r="AG56" i="19"/>
  <c r="AI55" i="19"/>
  <c r="AG55" i="19"/>
  <c r="AH55" i="19" s="1"/>
  <c r="AI54" i="19"/>
  <c r="AG54" i="19"/>
  <c r="AH54" i="19" s="1"/>
  <c r="AG53" i="19"/>
  <c r="AH53" i="19" s="1"/>
  <c r="AH52" i="19"/>
  <c r="AG52" i="19"/>
  <c r="AG51" i="19"/>
  <c r="AH51" i="19" s="1"/>
  <c r="AI50" i="19"/>
  <c r="AG50" i="19"/>
  <c r="AH50" i="19" s="1"/>
  <c r="AI49" i="19"/>
  <c r="AH49" i="19"/>
  <c r="AG49" i="19"/>
  <c r="AI48" i="19"/>
  <c r="AG48" i="19"/>
  <c r="AH48" i="19" s="1"/>
  <c r="AI47" i="19"/>
  <c r="AG47" i="19"/>
  <c r="AH47" i="19" s="1"/>
  <c r="AI46" i="19"/>
  <c r="AG46" i="19"/>
  <c r="AH46" i="19" s="1"/>
  <c r="AI45" i="19"/>
  <c r="AG45" i="19"/>
  <c r="AH45" i="19" s="1"/>
  <c r="AI44" i="19"/>
  <c r="AH44" i="19"/>
  <c r="AG44" i="19"/>
  <c r="AI43" i="19"/>
  <c r="AH43" i="19"/>
  <c r="AG43" i="19"/>
  <c r="AI42" i="19"/>
  <c r="AG42" i="19"/>
  <c r="AH42" i="19" s="1"/>
  <c r="AI41" i="19"/>
  <c r="AG41" i="19"/>
  <c r="AH41" i="19" s="1"/>
  <c r="AI40" i="19"/>
  <c r="AG40" i="19"/>
  <c r="AH40" i="19" s="1"/>
  <c r="AI39" i="19"/>
  <c r="AG39" i="19"/>
  <c r="AH39" i="19" s="1"/>
  <c r="AI38" i="19"/>
  <c r="AG38" i="19"/>
  <c r="AH38" i="19" s="1"/>
  <c r="AI37" i="19"/>
  <c r="AH37" i="19"/>
  <c r="AG37" i="19"/>
  <c r="AI36" i="19"/>
  <c r="AG36" i="19"/>
  <c r="AH36" i="19" s="1"/>
  <c r="AI35" i="19"/>
  <c r="AG35" i="19"/>
  <c r="AH35" i="19" s="1"/>
  <c r="AI34" i="19"/>
  <c r="AG34" i="19"/>
  <c r="AH34" i="19" s="1"/>
  <c r="AI33" i="19"/>
  <c r="AG33" i="19"/>
  <c r="AH33" i="19" s="1"/>
  <c r="AI32" i="19"/>
  <c r="AG32" i="19"/>
  <c r="AH32" i="19" s="1"/>
  <c r="AI31" i="19"/>
  <c r="AH31" i="19"/>
  <c r="AG31" i="19"/>
  <c r="AI30" i="19"/>
  <c r="AG30" i="19"/>
  <c r="AH30" i="19" s="1"/>
  <c r="AI29" i="19"/>
  <c r="AH29" i="19"/>
  <c r="AG29" i="19"/>
  <c r="AI28" i="19"/>
  <c r="AG28" i="19"/>
  <c r="AH28" i="19" s="1"/>
  <c r="AI27" i="19"/>
  <c r="AG27" i="19"/>
  <c r="AH27" i="19" s="1"/>
  <c r="AI26" i="19"/>
  <c r="AG26" i="19"/>
  <c r="AH26" i="19" s="1"/>
  <c r="AI25" i="19"/>
  <c r="AH25" i="19"/>
  <c r="AG25" i="19"/>
  <c r="AI24" i="19"/>
  <c r="AG24" i="19"/>
  <c r="AH24" i="19" s="1"/>
  <c r="AI23" i="19"/>
  <c r="AH23" i="19"/>
  <c r="AG23" i="19"/>
  <c r="AI22" i="19"/>
  <c r="AG22" i="19"/>
  <c r="AH22" i="19" s="1"/>
  <c r="AI21" i="19"/>
  <c r="AG21" i="19"/>
  <c r="AH21" i="19" s="1"/>
  <c r="AI20" i="19"/>
  <c r="AG20" i="19"/>
  <c r="AH20" i="19" s="1"/>
  <c r="AI19" i="19"/>
  <c r="AH19" i="19"/>
  <c r="AG19" i="19"/>
  <c r="AI18" i="19"/>
  <c r="AG18" i="19"/>
  <c r="AH18" i="19" s="1"/>
  <c r="AI17" i="19"/>
  <c r="AH17" i="19"/>
  <c r="AG17" i="19"/>
  <c r="AI16" i="19"/>
  <c r="AG16" i="19"/>
  <c r="AH16" i="19" s="1"/>
  <c r="AI15" i="19"/>
  <c r="AG15" i="19"/>
  <c r="AH15" i="19" s="1"/>
  <c r="AI14" i="19"/>
  <c r="AG14" i="19"/>
  <c r="AH14" i="19" s="1"/>
  <c r="AI13" i="19"/>
  <c r="AH13" i="19"/>
  <c r="AG13" i="19"/>
  <c r="AI12" i="19"/>
  <c r="AG12" i="19"/>
  <c r="AH12" i="19" s="1"/>
  <c r="AI11" i="19"/>
  <c r="AG11" i="19"/>
  <c r="AH11" i="19" s="1"/>
  <c r="AI10" i="19"/>
  <c r="AG10" i="19"/>
  <c r="AH10" i="19" s="1"/>
  <c r="AI9" i="19"/>
  <c r="AG9" i="19"/>
  <c r="AH9" i="19" s="1"/>
  <c r="AI8" i="19"/>
  <c r="AH8" i="19"/>
  <c r="AG8" i="19"/>
  <c r="AI7" i="19"/>
  <c r="AH7" i="19"/>
  <c r="AG7" i="19"/>
  <c r="AI6" i="19"/>
  <c r="AG6" i="19"/>
  <c r="AH6" i="19" s="1"/>
  <c r="AI5" i="19"/>
  <c r="AG5" i="19"/>
  <c r="AH5" i="19" s="1"/>
  <c r="AI4" i="19"/>
  <c r="AG4" i="19"/>
  <c r="AH4" i="19" s="1"/>
  <c r="AH62" i="19" s="1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AI135" i="18"/>
  <c r="AG135" i="18"/>
  <c r="AH135" i="18" s="1"/>
  <c r="AI134" i="18"/>
  <c r="AH134" i="18"/>
  <c r="AG134" i="18"/>
  <c r="AI133" i="18"/>
  <c r="AG133" i="18"/>
  <c r="AH133" i="18" s="1"/>
  <c r="AI132" i="18"/>
  <c r="AH132" i="18"/>
  <c r="AG132" i="18"/>
  <c r="AI131" i="18"/>
  <c r="AH131" i="18"/>
  <c r="AG131" i="18"/>
  <c r="AI130" i="18"/>
  <c r="AG130" i="18"/>
  <c r="AH130" i="18" s="1"/>
  <c r="AI129" i="18"/>
  <c r="AG129" i="18"/>
  <c r="AH129" i="18" s="1"/>
  <c r="AI128" i="18"/>
  <c r="AH128" i="18"/>
  <c r="AG128" i="18"/>
  <c r="AI127" i="18"/>
  <c r="AG127" i="18"/>
  <c r="AH127" i="18" s="1"/>
  <c r="AI126" i="18"/>
  <c r="AH126" i="18"/>
  <c r="AG126" i="18"/>
  <c r="AI125" i="18"/>
  <c r="AH125" i="18"/>
  <c r="AG125" i="18"/>
  <c r="AI124" i="18"/>
  <c r="AG124" i="18"/>
  <c r="AH124" i="18" s="1"/>
  <c r="AI123" i="18"/>
  <c r="AG123" i="18"/>
  <c r="AH123" i="18" s="1"/>
  <c r="AI122" i="18"/>
  <c r="AH122" i="18"/>
  <c r="AG122" i="18"/>
  <c r="AI121" i="18"/>
  <c r="AG121" i="18"/>
  <c r="AH121" i="18" s="1"/>
  <c r="AI120" i="18"/>
  <c r="AH120" i="18"/>
  <c r="AG120" i="18"/>
  <c r="AI119" i="18"/>
  <c r="AH119" i="18"/>
  <c r="AG119" i="18"/>
  <c r="AI118" i="18"/>
  <c r="AG118" i="18"/>
  <c r="AH118" i="18" s="1"/>
  <c r="AI117" i="18"/>
  <c r="AG117" i="18"/>
  <c r="AH117" i="18" s="1"/>
  <c r="AI116" i="18"/>
  <c r="AH116" i="18"/>
  <c r="AG116" i="18"/>
  <c r="AI115" i="18"/>
  <c r="AG115" i="18"/>
  <c r="AH115" i="18" s="1"/>
  <c r="AI114" i="18"/>
  <c r="AH114" i="18"/>
  <c r="AG114" i="18"/>
  <c r="AI113" i="18"/>
  <c r="AH113" i="18"/>
  <c r="AG113" i="18"/>
  <c r="AI112" i="18"/>
  <c r="AG112" i="18"/>
  <c r="AH112" i="18" s="1"/>
  <c r="AI111" i="18"/>
  <c r="AG111" i="18"/>
  <c r="AH111" i="18" s="1"/>
  <c r="AI110" i="18"/>
  <c r="AH110" i="18"/>
  <c r="AG110" i="18"/>
  <c r="AI109" i="18"/>
  <c r="AG109" i="18"/>
  <c r="AH109" i="18" s="1"/>
  <c r="AI108" i="18"/>
  <c r="AH108" i="18"/>
  <c r="AG108" i="18"/>
  <c r="AI107" i="18"/>
  <c r="AH107" i="18"/>
  <c r="AG107" i="18"/>
  <c r="AI106" i="18"/>
  <c r="AG106" i="18"/>
  <c r="AH106" i="18" s="1"/>
  <c r="AI105" i="18"/>
  <c r="AG105" i="18"/>
  <c r="AH105" i="18" s="1"/>
  <c r="AI104" i="18"/>
  <c r="AH104" i="18"/>
  <c r="AG104" i="18"/>
  <c r="AI103" i="18"/>
  <c r="AG103" i="18"/>
  <c r="AH103" i="18" s="1"/>
  <c r="AI102" i="18"/>
  <c r="AH102" i="18"/>
  <c r="AG102" i="18"/>
  <c r="AI101" i="18"/>
  <c r="AH101" i="18"/>
  <c r="AG101" i="18"/>
  <c r="AI100" i="18"/>
  <c r="AG100" i="18"/>
  <c r="AH100" i="18" s="1"/>
  <c r="AI99" i="18"/>
  <c r="AG99" i="18"/>
  <c r="AH99" i="18" s="1"/>
  <c r="AI98" i="18"/>
  <c r="AH98" i="18"/>
  <c r="AG98" i="18"/>
  <c r="AI97" i="18"/>
  <c r="AG97" i="18"/>
  <c r="AH97" i="18" s="1"/>
  <c r="AI96" i="18"/>
  <c r="AH96" i="18"/>
  <c r="AG96" i="18"/>
  <c r="AI95" i="18"/>
  <c r="AH95" i="18"/>
  <c r="AG95" i="18"/>
  <c r="AI94" i="18"/>
  <c r="AG94" i="18"/>
  <c r="AH94" i="18" s="1"/>
  <c r="AI93" i="18"/>
  <c r="AG93" i="18"/>
  <c r="AH93" i="18" s="1"/>
  <c r="AI92" i="18"/>
  <c r="AH92" i="18"/>
  <c r="AG92" i="18"/>
  <c r="AI91" i="18"/>
  <c r="AG91" i="18"/>
  <c r="AH91" i="18" s="1"/>
  <c r="AH90" i="18"/>
  <c r="AG90" i="18"/>
  <c r="AH89" i="18"/>
  <c r="AG89" i="18"/>
  <c r="AI88" i="18"/>
  <c r="AG88" i="18"/>
  <c r="AH88" i="18" s="1"/>
  <c r="AI87" i="18"/>
  <c r="AG87" i="18"/>
  <c r="AH87" i="18" s="1"/>
  <c r="AI86" i="18"/>
  <c r="AG86" i="18"/>
  <c r="AH86" i="18" s="1"/>
  <c r="AI85" i="18"/>
  <c r="AG85" i="18"/>
  <c r="AH85" i="18" s="1"/>
  <c r="AI84" i="18"/>
  <c r="AH84" i="18"/>
  <c r="AG84" i="18"/>
  <c r="AI83" i="18"/>
  <c r="AH83" i="18"/>
  <c r="AG83" i="18"/>
  <c r="AI82" i="18"/>
  <c r="AG82" i="18"/>
  <c r="AH82" i="18" s="1"/>
  <c r="AI81" i="18"/>
  <c r="AG81" i="18"/>
  <c r="AH81" i="18" s="1"/>
  <c r="AI80" i="18"/>
  <c r="AG80" i="18"/>
  <c r="AH80" i="18" s="1"/>
  <c r="AI79" i="18"/>
  <c r="AG79" i="18"/>
  <c r="AH79" i="18" s="1"/>
  <c r="AI78" i="18"/>
  <c r="AG78" i="18"/>
  <c r="AH78" i="18" s="1"/>
  <c r="AI77" i="18"/>
  <c r="AH77" i="18"/>
  <c r="AG77" i="18"/>
  <c r="AI76" i="18"/>
  <c r="AG76" i="18"/>
  <c r="AH76" i="18" s="1"/>
  <c r="AI75" i="18"/>
  <c r="AG75" i="18"/>
  <c r="AH75" i="18" s="1"/>
  <c r="AI74" i="18"/>
  <c r="AG74" i="18"/>
  <c r="AH74" i="18" s="1"/>
  <c r="AI73" i="18"/>
  <c r="AG73" i="18"/>
  <c r="AH73" i="18" s="1"/>
  <c r="AI72" i="18"/>
  <c r="AH72" i="18"/>
  <c r="AG72" i="18"/>
  <c r="AI71" i="18"/>
  <c r="AH71" i="18"/>
  <c r="AG71" i="18"/>
  <c r="AI70" i="18"/>
  <c r="AG70" i="18"/>
  <c r="AH70" i="18" s="1"/>
  <c r="AI69" i="18"/>
  <c r="AH69" i="18"/>
  <c r="AG69" i="18"/>
  <c r="AI68" i="18"/>
  <c r="AG68" i="18"/>
  <c r="AH68" i="18" s="1"/>
  <c r="AI67" i="18"/>
  <c r="AG67" i="18"/>
  <c r="AH67" i="18" s="1"/>
  <c r="AI66" i="18"/>
  <c r="AH66" i="18"/>
  <c r="AG66" i="18"/>
  <c r="AI65" i="18"/>
  <c r="AH65" i="18"/>
  <c r="AG65" i="18"/>
  <c r="AI64" i="18"/>
  <c r="AG64" i="18"/>
  <c r="AH64" i="18" s="1"/>
  <c r="AI63" i="18"/>
  <c r="AH63" i="18"/>
  <c r="AG63" i="18"/>
  <c r="AI62" i="18"/>
  <c r="AG62" i="18"/>
  <c r="AH62" i="18" s="1"/>
  <c r="AI61" i="18"/>
  <c r="AG61" i="18"/>
  <c r="AH61" i="18" s="1"/>
  <c r="AI60" i="18"/>
  <c r="AH60" i="18"/>
  <c r="AG60" i="18"/>
  <c r="AI59" i="18"/>
  <c r="AH59" i="18"/>
  <c r="AG59" i="18"/>
  <c r="AI58" i="18"/>
  <c r="AG58" i="18"/>
  <c r="AH58" i="18" s="1"/>
  <c r="AI57" i="18"/>
  <c r="AG57" i="18"/>
  <c r="AH57" i="18" s="1"/>
  <c r="AI56" i="18"/>
  <c r="AG56" i="18"/>
  <c r="AH56" i="18" s="1"/>
  <c r="AI55" i="18"/>
  <c r="AG55" i="18"/>
  <c r="AH55" i="18" s="1"/>
  <c r="AI54" i="18"/>
  <c r="AG54" i="18"/>
  <c r="AH54" i="18" s="1"/>
  <c r="AI53" i="18"/>
  <c r="AH53" i="18"/>
  <c r="AG53" i="18"/>
  <c r="AI52" i="18"/>
  <c r="AG52" i="18"/>
  <c r="AH52" i="18" s="1"/>
  <c r="AI51" i="18"/>
  <c r="AH51" i="18"/>
  <c r="AG51" i="18"/>
  <c r="AI50" i="18"/>
  <c r="AH50" i="18"/>
  <c r="AG50" i="18"/>
  <c r="AI49" i="18"/>
  <c r="AG49" i="18"/>
  <c r="AH49" i="18" s="1"/>
  <c r="AI48" i="18"/>
  <c r="AH48" i="18"/>
  <c r="AG48" i="18"/>
  <c r="AI47" i="18"/>
  <c r="AH47" i="18"/>
  <c r="AG47" i="18"/>
  <c r="AI46" i="18"/>
  <c r="AG46" i="18"/>
  <c r="AH46" i="18" s="1"/>
  <c r="AI45" i="18"/>
  <c r="AH45" i="18"/>
  <c r="AG45" i="18"/>
  <c r="AI44" i="18"/>
  <c r="AG44" i="18"/>
  <c r="AH44" i="18" s="1"/>
  <c r="AI43" i="18"/>
  <c r="AG43" i="18"/>
  <c r="AH43" i="18" s="1"/>
  <c r="AI42" i="18"/>
  <c r="AH42" i="18"/>
  <c r="AG42" i="18"/>
  <c r="AI41" i="18"/>
  <c r="AH41" i="18"/>
  <c r="AG41" i="18"/>
  <c r="AI40" i="18"/>
  <c r="AG40" i="18"/>
  <c r="AH40" i="18" s="1"/>
  <c r="AI39" i="18"/>
  <c r="AH39" i="18"/>
  <c r="AG39" i="18"/>
  <c r="AI38" i="18"/>
  <c r="AG38" i="18"/>
  <c r="AH38" i="18" s="1"/>
  <c r="AI37" i="18"/>
  <c r="AG37" i="18"/>
  <c r="AH37" i="18" s="1"/>
  <c r="AI36" i="18"/>
  <c r="AH36" i="18"/>
  <c r="AG36" i="18"/>
  <c r="AI35" i="18"/>
  <c r="AH35" i="18"/>
  <c r="AG35" i="18"/>
  <c r="AI34" i="18"/>
  <c r="AG34" i="18"/>
  <c r="AH34" i="18" s="1"/>
  <c r="AI33" i="18"/>
  <c r="AG33" i="18"/>
  <c r="AH33" i="18" s="1"/>
  <c r="AI32" i="18"/>
  <c r="AG32" i="18"/>
  <c r="AH32" i="18" s="1"/>
  <c r="AI31" i="18"/>
  <c r="AG31" i="18"/>
  <c r="AH31" i="18" s="1"/>
  <c r="AI30" i="18"/>
  <c r="AG30" i="18"/>
  <c r="AH30" i="18" s="1"/>
  <c r="AI29" i="18"/>
  <c r="AH29" i="18"/>
  <c r="AG29" i="18"/>
  <c r="AI28" i="18"/>
  <c r="AG28" i="18"/>
  <c r="AH28" i="18" s="1"/>
  <c r="AI27" i="18"/>
  <c r="AH27" i="18"/>
  <c r="AG27" i="18"/>
  <c r="AI26" i="18"/>
  <c r="AH26" i="18"/>
  <c r="AG26" i="18"/>
  <c r="AI25" i="18"/>
  <c r="AG25" i="18"/>
  <c r="AH25" i="18" s="1"/>
  <c r="AI24" i="18"/>
  <c r="AH24" i="18"/>
  <c r="AG24" i="18"/>
  <c r="AI23" i="18"/>
  <c r="AH23" i="18"/>
  <c r="AG23" i="18"/>
  <c r="AI22" i="18"/>
  <c r="AG22" i="18"/>
  <c r="AH22" i="18" s="1"/>
  <c r="AI21" i="18"/>
  <c r="AH21" i="18"/>
  <c r="AG21" i="18"/>
  <c r="AI20" i="18"/>
  <c r="AG20" i="18"/>
  <c r="AH20" i="18" s="1"/>
  <c r="AI19" i="18"/>
  <c r="AG19" i="18"/>
  <c r="AH19" i="18" s="1"/>
  <c r="AI18" i="18"/>
  <c r="AH18" i="18"/>
  <c r="AG18" i="18"/>
  <c r="AI17" i="18"/>
  <c r="AH17" i="18"/>
  <c r="AG17" i="18"/>
  <c r="AI16" i="18"/>
  <c r="AG16" i="18"/>
  <c r="AH16" i="18" s="1"/>
  <c r="AI15" i="18"/>
  <c r="AH15" i="18"/>
  <c r="AG15" i="18"/>
  <c r="AI14" i="18"/>
  <c r="AG14" i="18"/>
  <c r="AH14" i="18" s="1"/>
  <c r="AI13" i="18"/>
  <c r="AG13" i="18"/>
  <c r="AH13" i="18" s="1"/>
  <c r="AI12" i="18"/>
  <c r="AH12" i="18"/>
  <c r="AG12" i="18"/>
  <c r="AI11" i="18"/>
  <c r="AH11" i="18"/>
  <c r="AG11" i="18"/>
  <c r="AI10" i="18"/>
  <c r="AG10" i="18"/>
  <c r="AH10" i="18" s="1"/>
  <c r="AI9" i="18"/>
  <c r="AH9" i="18"/>
  <c r="AG9" i="18"/>
  <c r="AI8" i="18"/>
  <c r="AG8" i="18"/>
  <c r="AH8" i="18" s="1"/>
  <c r="AI7" i="18"/>
  <c r="AG7" i="18"/>
  <c r="AH7" i="18" s="1"/>
  <c r="AI6" i="18"/>
  <c r="AH6" i="18"/>
  <c r="AG6" i="18"/>
  <c r="AI5" i="18"/>
  <c r="AH5" i="18"/>
  <c r="AG5" i="18"/>
  <c r="AI4" i="18"/>
  <c r="AG4" i="18"/>
  <c r="AH4" i="18" s="1"/>
  <c r="AJ3" i="18" s="1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AJ135" i="17"/>
  <c r="AH135" i="17"/>
  <c r="AI135" i="17" s="1"/>
  <c r="AJ134" i="17"/>
  <c r="AI134" i="17"/>
  <c r="AH134" i="17"/>
  <c r="AJ133" i="17"/>
  <c r="AI133" i="17"/>
  <c r="AH133" i="17"/>
  <c r="AJ132" i="17"/>
  <c r="AI132" i="17"/>
  <c r="AH132" i="17"/>
  <c r="AJ131" i="17"/>
  <c r="AI131" i="17"/>
  <c r="AH131" i="17"/>
  <c r="AJ130" i="17"/>
  <c r="AH130" i="17"/>
  <c r="AI130" i="17" s="1"/>
  <c r="AJ129" i="17"/>
  <c r="AH129" i="17"/>
  <c r="AI129" i="17" s="1"/>
  <c r="AJ128" i="17"/>
  <c r="AI128" i="17"/>
  <c r="AH128" i="17"/>
  <c r="AJ127" i="17"/>
  <c r="AI127" i="17"/>
  <c r="AH127" i="17"/>
  <c r="AJ126" i="17"/>
  <c r="AI126" i="17"/>
  <c r="AH126" i="17"/>
  <c r="AJ125" i="17"/>
  <c r="AI125" i="17"/>
  <c r="AH125" i="17"/>
  <c r="AJ124" i="17"/>
  <c r="AH124" i="17"/>
  <c r="AI124" i="17" s="1"/>
  <c r="AJ123" i="17"/>
  <c r="AH123" i="17"/>
  <c r="AI123" i="17" s="1"/>
  <c r="AJ122" i="17"/>
  <c r="AI122" i="17"/>
  <c r="AH122" i="17"/>
  <c r="AJ121" i="17"/>
  <c r="AI121" i="17"/>
  <c r="AH121" i="17"/>
  <c r="AJ120" i="17"/>
  <c r="AH120" i="17"/>
  <c r="AI120" i="17" s="1"/>
  <c r="AJ119" i="17"/>
  <c r="AI119" i="17"/>
  <c r="AH119" i="17"/>
  <c r="AJ118" i="17"/>
  <c r="AI118" i="17"/>
  <c r="AH118" i="17"/>
  <c r="AJ117" i="17"/>
  <c r="AH117" i="17"/>
  <c r="AI117" i="17" s="1"/>
  <c r="AJ116" i="17"/>
  <c r="AI116" i="17"/>
  <c r="AH116" i="17"/>
  <c r="AJ115" i="17"/>
  <c r="AI115" i="17"/>
  <c r="AH115" i="17"/>
  <c r="AJ114" i="17"/>
  <c r="AH114" i="17"/>
  <c r="AI114" i="17" s="1"/>
  <c r="AJ113" i="17"/>
  <c r="AI113" i="17"/>
  <c r="AH113" i="17"/>
  <c r="AJ112" i="17"/>
  <c r="AH112" i="17"/>
  <c r="AI112" i="17" s="1"/>
  <c r="AJ111" i="17"/>
  <c r="AH111" i="17"/>
  <c r="AI111" i="17" s="1"/>
  <c r="AJ110" i="17"/>
  <c r="AI110" i="17"/>
  <c r="AH110" i="17"/>
  <c r="AJ109" i="17"/>
  <c r="AI109" i="17"/>
  <c r="AH109" i="17"/>
  <c r="AJ108" i="17"/>
  <c r="AI108" i="17"/>
  <c r="AH108" i="17"/>
  <c r="AJ107" i="17"/>
  <c r="AI107" i="17"/>
  <c r="AH107" i="17"/>
  <c r="AJ106" i="17"/>
  <c r="AI106" i="17"/>
  <c r="AH106" i="17"/>
  <c r="AJ105" i="17"/>
  <c r="AH105" i="17"/>
  <c r="AI105" i="17" s="1"/>
  <c r="AJ104" i="17"/>
  <c r="AI104" i="17"/>
  <c r="AH104" i="17"/>
  <c r="AJ103" i="17"/>
  <c r="AI103" i="17"/>
  <c r="AH103" i="17"/>
  <c r="AJ102" i="17"/>
  <c r="AH102" i="17"/>
  <c r="AI102" i="17" s="1"/>
  <c r="AJ101" i="17"/>
  <c r="AI101" i="17"/>
  <c r="AH101" i="17"/>
  <c r="AJ100" i="17"/>
  <c r="AH100" i="17"/>
  <c r="AI100" i="17" s="1"/>
  <c r="AJ99" i="17"/>
  <c r="AH99" i="17"/>
  <c r="AI99" i="17" s="1"/>
  <c r="AJ98" i="17"/>
  <c r="AI98" i="17"/>
  <c r="AH98" i="17"/>
  <c r="AJ97" i="17"/>
  <c r="AI97" i="17"/>
  <c r="AH97" i="17"/>
  <c r="AJ96" i="17"/>
  <c r="AI96" i="17"/>
  <c r="AH96" i="17"/>
  <c r="AJ95" i="17"/>
  <c r="AI95" i="17"/>
  <c r="AH95" i="17"/>
  <c r="AJ94" i="17"/>
  <c r="AI94" i="17"/>
  <c r="AH94" i="17"/>
  <c r="AJ93" i="17"/>
  <c r="AH93" i="17"/>
  <c r="AI93" i="17" s="1"/>
  <c r="AJ92" i="17"/>
  <c r="AI92" i="17"/>
  <c r="AH92" i="17"/>
  <c r="AJ91" i="17"/>
  <c r="AI91" i="17"/>
  <c r="AH91" i="17"/>
  <c r="AJ90" i="17"/>
  <c r="AH90" i="17"/>
  <c r="AI90" i="17" s="1"/>
  <c r="AJ89" i="17"/>
  <c r="AI89" i="17"/>
  <c r="AH89" i="17"/>
  <c r="AJ88" i="17"/>
  <c r="AI88" i="17"/>
  <c r="AH88" i="17"/>
  <c r="AJ87" i="17"/>
  <c r="AH87" i="17"/>
  <c r="AI87" i="17" s="1"/>
  <c r="AJ86" i="17"/>
  <c r="AI86" i="17"/>
  <c r="AH86" i="17"/>
  <c r="AJ85" i="17"/>
  <c r="AI85" i="17"/>
  <c r="AH85" i="17"/>
  <c r="AJ84" i="17"/>
  <c r="AI84" i="17"/>
  <c r="AH84" i="17"/>
  <c r="AJ83" i="17"/>
  <c r="AI83" i="17"/>
  <c r="AH83" i="17"/>
  <c r="AJ82" i="17"/>
  <c r="AH82" i="17"/>
  <c r="AI82" i="17" s="1"/>
  <c r="AJ81" i="17"/>
  <c r="AH81" i="17"/>
  <c r="AI81" i="17" s="1"/>
  <c r="AJ80" i="17"/>
  <c r="AI80" i="17"/>
  <c r="AH80" i="17"/>
  <c r="AJ79" i="17"/>
  <c r="AI79" i="17"/>
  <c r="AH79" i="17"/>
  <c r="AJ78" i="17"/>
  <c r="AI78" i="17"/>
  <c r="AH78" i="17"/>
  <c r="AJ77" i="17"/>
  <c r="AI77" i="17"/>
  <c r="AH77" i="17"/>
  <c r="AJ76" i="17"/>
  <c r="AH76" i="17"/>
  <c r="AI76" i="17" s="1"/>
  <c r="AJ75" i="17"/>
  <c r="AH75" i="17"/>
  <c r="AI75" i="17" s="1"/>
  <c r="AJ74" i="17"/>
  <c r="AI74" i="17"/>
  <c r="AH74" i="17"/>
  <c r="AJ73" i="17"/>
  <c r="AH73" i="17"/>
  <c r="AI73" i="17" s="1"/>
  <c r="AJ72" i="17"/>
  <c r="AI72" i="17"/>
  <c r="AH72" i="17"/>
  <c r="AJ71" i="17"/>
  <c r="AI71" i="17"/>
  <c r="AH71" i="17"/>
  <c r="AJ70" i="17"/>
  <c r="AI70" i="17"/>
  <c r="AH70" i="17"/>
  <c r="AJ69" i="17"/>
  <c r="AH69" i="17"/>
  <c r="AI69" i="17" s="1"/>
  <c r="AJ68" i="17"/>
  <c r="AI68" i="17"/>
  <c r="AH68" i="17"/>
  <c r="AJ67" i="17"/>
  <c r="AI67" i="17"/>
  <c r="AH67" i="17"/>
  <c r="AJ66" i="17"/>
  <c r="AH66" i="17"/>
  <c r="AI66" i="17" s="1"/>
  <c r="AJ65" i="17"/>
  <c r="AI65" i="17"/>
  <c r="AH65" i="17"/>
  <c r="AJ64" i="17"/>
  <c r="AH64" i="17"/>
  <c r="AI64" i="17" s="1"/>
  <c r="AJ63" i="17"/>
  <c r="AH63" i="17"/>
  <c r="AI63" i="17" s="1"/>
  <c r="AJ62" i="17"/>
  <c r="AI62" i="17"/>
  <c r="AH62" i="17"/>
  <c r="AJ61" i="17"/>
  <c r="AH61" i="17"/>
  <c r="AI61" i="17" s="1"/>
  <c r="AJ60" i="17"/>
  <c r="AH60" i="17"/>
  <c r="AI60" i="17" s="1"/>
  <c r="AJ59" i="17"/>
  <c r="AI59" i="17"/>
  <c r="AH59" i="17"/>
  <c r="AJ58" i="17"/>
  <c r="AI58" i="17"/>
  <c r="AH58" i="17"/>
  <c r="AJ57" i="17"/>
  <c r="AH57" i="17"/>
  <c r="AI57" i="17" s="1"/>
  <c r="AJ56" i="17"/>
  <c r="AI56" i="17"/>
  <c r="AH56" i="17"/>
  <c r="AJ55" i="17"/>
  <c r="AI55" i="17"/>
  <c r="AH55" i="17"/>
  <c r="AJ54" i="17"/>
  <c r="AH54" i="17"/>
  <c r="AI54" i="17" s="1"/>
  <c r="AJ53" i="17"/>
  <c r="AI53" i="17"/>
  <c r="AH53" i="17"/>
  <c r="AJ52" i="17"/>
  <c r="AH52" i="17"/>
  <c r="AI52" i="17" s="1"/>
  <c r="AJ51" i="17"/>
  <c r="AH51" i="17"/>
  <c r="AI51" i="17" s="1"/>
  <c r="AJ50" i="17"/>
  <c r="AI50" i="17"/>
  <c r="AH50" i="17"/>
  <c r="AJ49" i="17"/>
  <c r="AH49" i="17"/>
  <c r="AI49" i="17" s="1"/>
  <c r="AJ48" i="17"/>
  <c r="AI48" i="17"/>
  <c r="AH48" i="17"/>
  <c r="AJ47" i="17"/>
  <c r="AI47" i="17"/>
  <c r="AH47" i="17"/>
  <c r="AJ46" i="17"/>
  <c r="AI46" i="17"/>
  <c r="AH46" i="17"/>
  <c r="AI45" i="17"/>
  <c r="AH45" i="17"/>
  <c r="AJ44" i="17"/>
  <c r="AH44" i="17"/>
  <c r="AI44" i="17" s="1"/>
  <c r="AJ43" i="17"/>
  <c r="AI43" i="17"/>
  <c r="AH43" i="17"/>
  <c r="AJ42" i="17"/>
  <c r="AH42" i="17"/>
  <c r="AI42" i="17" s="1"/>
  <c r="AJ41" i="17"/>
  <c r="AH41" i="17"/>
  <c r="AI41" i="17" s="1"/>
  <c r="AH40" i="17"/>
  <c r="AI40" i="17" s="1"/>
  <c r="AJ39" i="17"/>
  <c r="AI39" i="17"/>
  <c r="AH39" i="17"/>
  <c r="AJ38" i="17"/>
  <c r="AI38" i="17"/>
  <c r="AH38" i="17"/>
  <c r="AJ37" i="17"/>
  <c r="AH37" i="17"/>
  <c r="AI37" i="17" s="1"/>
  <c r="AJ36" i="17"/>
  <c r="AI36" i="17"/>
  <c r="AH36" i="17"/>
  <c r="AJ35" i="17"/>
  <c r="AI35" i="17"/>
  <c r="AH35" i="17"/>
  <c r="AJ34" i="17"/>
  <c r="AH34" i="17"/>
  <c r="AI34" i="17" s="1"/>
  <c r="AJ33" i="17"/>
  <c r="AI33" i="17"/>
  <c r="AH33" i="17"/>
  <c r="AJ32" i="17"/>
  <c r="AI32" i="17"/>
  <c r="AH32" i="17"/>
  <c r="AJ31" i="17"/>
  <c r="AH31" i="17"/>
  <c r="AI31" i="17" s="1"/>
  <c r="AJ30" i="17"/>
  <c r="AH30" i="17"/>
  <c r="AI30" i="17" s="1"/>
  <c r="AJ29" i="17"/>
  <c r="AI29" i="17"/>
  <c r="AH29" i="17"/>
  <c r="AJ28" i="17"/>
  <c r="AH28" i="17"/>
  <c r="AI28" i="17" s="1"/>
  <c r="AJ27" i="17"/>
  <c r="AH27" i="17"/>
  <c r="AI27" i="17" s="1"/>
  <c r="AJ26" i="17"/>
  <c r="AI26" i="17"/>
  <c r="AH26" i="17"/>
  <c r="AJ25" i="17"/>
  <c r="AH25" i="17"/>
  <c r="AI25" i="17" s="1"/>
  <c r="AJ24" i="17"/>
  <c r="AH24" i="17"/>
  <c r="AI24" i="17" s="1"/>
  <c r="AJ23" i="17"/>
  <c r="AI23" i="17"/>
  <c r="AH23" i="17"/>
  <c r="AJ22" i="17"/>
  <c r="AH22" i="17"/>
  <c r="AI22" i="17" s="1"/>
  <c r="AJ21" i="17"/>
  <c r="AH21" i="17"/>
  <c r="AI21" i="17" s="1"/>
  <c r="AJ20" i="17"/>
  <c r="AH20" i="17"/>
  <c r="AI20" i="17" s="1"/>
  <c r="AJ19" i="17"/>
  <c r="AH19" i="17"/>
  <c r="AI19" i="17" s="1"/>
  <c r="AJ18" i="17"/>
  <c r="AH18" i="17"/>
  <c r="AI18" i="17" s="1"/>
  <c r="AJ17" i="17"/>
  <c r="AI17" i="17"/>
  <c r="AH17" i="17"/>
  <c r="AJ16" i="17"/>
  <c r="AH16" i="17"/>
  <c r="AI16" i="17" s="1"/>
  <c r="AJ15" i="17"/>
  <c r="AH15" i="17"/>
  <c r="AI15" i="17" s="1"/>
  <c r="AJ14" i="17"/>
  <c r="AI14" i="17"/>
  <c r="AH14" i="17"/>
  <c r="AJ13" i="17"/>
  <c r="AH13" i="17"/>
  <c r="AI13" i="17" s="1"/>
  <c r="AJ12" i="17"/>
  <c r="AI12" i="17"/>
  <c r="AH12" i="17"/>
  <c r="AJ11" i="17"/>
  <c r="AI11" i="17"/>
  <c r="AH11" i="17"/>
  <c r="AJ10" i="17"/>
  <c r="AH10" i="17"/>
  <c r="AI10" i="17" s="1"/>
  <c r="AJ9" i="17"/>
  <c r="AI9" i="17"/>
  <c r="AH9" i="17"/>
  <c r="AJ8" i="17"/>
  <c r="AI8" i="17"/>
  <c r="AH8" i="17"/>
  <c r="AJ7" i="17"/>
  <c r="AH7" i="17"/>
  <c r="AI7" i="17" s="1"/>
  <c r="AJ6" i="17"/>
  <c r="AH6" i="17"/>
  <c r="AI6" i="17" s="1"/>
  <c r="AJ5" i="17"/>
  <c r="AI5" i="17"/>
  <c r="AH5" i="17"/>
  <c r="AJ4" i="17"/>
  <c r="AH4" i="17"/>
  <c r="AI4" i="17" s="1"/>
  <c r="AK3" i="17" s="1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AJ133" i="16"/>
  <c r="AI133" i="16"/>
  <c r="AH133" i="16"/>
  <c r="AJ132" i="16"/>
  <c r="AI132" i="16"/>
  <c r="AH132" i="16"/>
  <c r="AJ131" i="16"/>
  <c r="AH131" i="16"/>
  <c r="AI131" i="16" s="1"/>
  <c r="AJ130" i="16"/>
  <c r="AI130" i="16"/>
  <c r="AH130" i="16"/>
  <c r="AJ129" i="16"/>
  <c r="AI129" i="16"/>
  <c r="AH129" i="16"/>
  <c r="AJ128" i="16"/>
  <c r="AH128" i="16"/>
  <c r="AI128" i="16" s="1"/>
  <c r="AJ127" i="16"/>
  <c r="AI127" i="16"/>
  <c r="AH127" i="16"/>
  <c r="AJ126" i="16"/>
  <c r="AH126" i="16"/>
  <c r="AI126" i="16" s="1"/>
  <c r="AJ125" i="16"/>
  <c r="AH125" i="16"/>
  <c r="AI125" i="16" s="1"/>
  <c r="AJ124" i="16"/>
  <c r="AI124" i="16"/>
  <c r="AH124" i="16"/>
  <c r="AJ123" i="16"/>
  <c r="AH123" i="16"/>
  <c r="AI123" i="16" s="1"/>
  <c r="AJ122" i="16"/>
  <c r="AH122" i="16"/>
  <c r="AI122" i="16" s="1"/>
  <c r="AJ121" i="16"/>
  <c r="AI121" i="16"/>
  <c r="AH121" i="16"/>
  <c r="AJ120" i="16"/>
  <c r="AI120" i="16"/>
  <c r="AH120" i="16"/>
  <c r="AJ119" i="16"/>
  <c r="AH119" i="16"/>
  <c r="AI119" i="16" s="1"/>
  <c r="AJ118" i="16"/>
  <c r="AI118" i="16"/>
  <c r="AH118" i="16"/>
  <c r="AJ117" i="16"/>
  <c r="AI117" i="16"/>
  <c r="AH117" i="16"/>
  <c r="AJ116" i="16"/>
  <c r="AH116" i="16"/>
  <c r="AI116" i="16" s="1"/>
  <c r="AJ115" i="16"/>
  <c r="AI115" i="16"/>
  <c r="AH115" i="16"/>
  <c r="AJ114" i="16"/>
  <c r="AH114" i="16"/>
  <c r="AI114" i="16" s="1"/>
  <c r="AJ113" i="16"/>
  <c r="AH113" i="16"/>
  <c r="AI113" i="16" s="1"/>
  <c r="AJ112" i="16"/>
  <c r="AI112" i="16"/>
  <c r="AH112" i="16"/>
  <c r="AJ111" i="16"/>
  <c r="AH111" i="16"/>
  <c r="AI111" i="16" s="1"/>
  <c r="AJ110" i="16"/>
  <c r="AI110" i="16"/>
  <c r="AH110" i="16"/>
  <c r="AJ109" i="16"/>
  <c r="AH109" i="16"/>
  <c r="AI109" i="16" s="1"/>
  <c r="AJ108" i="16"/>
  <c r="AI108" i="16"/>
  <c r="AH108" i="16"/>
  <c r="AJ107" i="16"/>
  <c r="AH107" i="16"/>
  <c r="AI107" i="16" s="1"/>
  <c r="AJ106" i="16"/>
  <c r="AI106" i="16"/>
  <c r="AH106" i="16"/>
  <c r="AJ105" i="16"/>
  <c r="AI105" i="16"/>
  <c r="AH105" i="16"/>
  <c r="AJ104" i="16"/>
  <c r="AH104" i="16"/>
  <c r="AI104" i="16" s="1"/>
  <c r="AJ103" i="16"/>
  <c r="AI103" i="16"/>
  <c r="AH103" i="16"/>
  <c r="AJ102" i="16"/>
  <c r="AI102" i="16"/>
  <c r="AH102" i="16"/>
  <c r="AJ101" i="16"/>
  <c r="AH101" i="16"/>
  <c r="AI101" i="16" s="1"/>
  <c r="AJ100" i="16"/>
  <c r="AI100" i="16"/>
  <c r="AH100" i="16"/>
  <c r="AJ99" i="16"/>
  <c r="AI99" i="16"/>
  <c r="AH99" i="16"/>
  <c r="AJ98" i="16"/>
  <c r="AI98" i="16"/>
  <c r="AH98" i="16"/>
  <c r="AJ97" i="16"/>
  <c r="AH97" i="16"/>
  <c r="AI97" i="16" s="1"/>
  <c r="AJ96" i="16"/>
  <c r="AH96" i="16"/>
  <c r="AI96" i="16" s="1"/>
  <c r="AJ95" i="16"/>
  <c r="AH95" i="16"/>
  <c r="AI95" i="16" s="1"/>
  <c r="AJ94" i="16"/>
  <c r="AI94" i="16"/>
  <c r="AH94" i="16"/>
  <c r="AJ93" i="16"/>
  <c r="AH93" i="16"/>
  <c r="AI93" i="16" s="1"/>
  <c r="AJ92" i="16"/>
  <c r="AH92" i="16"/>
  <c r="AI92" i="16" s="1"/>
  <c r="AJ91" i="16"/>
  <c r="AI91" i="16"/>
  <c r="AH91" i="16"/>
  <c r="AJ90" i="16"/>
  <c r="AH90" i="16"/>
  <c r="AI90" i="16" s="1"/>
  <c r="AJ89" i="16"/>
  <c r="AH89" i="16"/>
  <c r="AI89" i="16" s="1"/>
  <c r="AJ88" i="16"/>
  <c r="AI88" i="16"/>
  <c r="AH88" i="16"/>
  <c r="AJ87" i="16"/>
  <c r="AH87" i="16"/>
  <c r="AI87" i="16" s="1"/>
  <c r="AJ86" i="16"/>
  <c r="AI86" i="16"/>
  <c r="AH86" i="16"/>
  <c r="AJ85" i="16"/>
  <c r="AH85" i="16"/>
  <c r="AI85" i="16" s="1"/>
  <c r="AJ84" i="16"/>
  <c r="AI84" i="16"/>
  <c r="AH84" i="16"/>
  <c r="AJ83" i="16"/>
  <c r="AH83" i="16"/>
  <c r="AI83" i="16" s="1"/>
  <c r="AJ82" i="16"/>
  <c r="AI82" i="16"/>
  <c r="AH82" i="16"/>
  <c r="AJ81" i="16"/>
  <c r="AI81" i="16"/>
  <c r="AH81" i="16"/>
  <c r="AJ80" i="16"/>
  <c r="AI80" i="16"/>
  <c r="AH80" i="16"/>
  <c r="AJ79" i="16"/>
  <c r="AI79" i="16"/>
  <c r="AH79" i="16"/>
  <c r="AJ78" i="16"/>
  <c r="AH78" i="16"/>
  <c r="AI78" i="16" s="1"/>
  <c r="AJ77" i="16"/>
  <c r="AH77" i="16"/>
  <c r="AI77" i="16" s="1"/>
  <c r="AJ76" i="16"/>
  <c r="AI76" i="16"/>
  <c r="AH76" i="16"/>
  <c r="AJ75" i="16"/>
  <c r="AH75" i="16"/>
  <c r="AI75" i="16" s="1"/>
  <c r="AJ74" i="16"/>
  <c r="AH74" i="16"/>
  <c r="AI74" i="16" s="1"/>
  <c r="AJ73" i="16"/>
  <c r="AH73" i="16"/>
  <c r="AI73" i="16" s="1"/>
  <c r="AJ72" i="16"/>
  <c r="AI72" i="16"/>
  <c r="AH72" i="16"/>
  <c r="AJ71" i="16"/>
  <c r="AH71" i="16"/>
  <c r="AI71" i="16" s="1"/>
  <c r="AJ70" i="16"/>
  <c r="AI70" i="16"/>
  <c r="AH70" i="16"/>
  <c r="AJ69" i="16"/>
  <c r="AI69" i="16"/>
  <c r="AH69" i="16"/>
  <c r="AJ68" i="16"/>
  <c r="AH68" i="16"/>
  <c r="AI68" i="16" s="1"/>
  <c r="AJ67" i="16"/>
  <c r="AI67" i="16"/>
  <c r="AH67" i="16"/>
  <c r="AJ66" i="16"/>
  <c r="AH66" i="16"/>
  <c r="AI66" i="16" s="1"/>
  <c r="AJ65" i="16"/>
  <c r="AH65" i="16"/>
  <c r="AI65" i="16" s="1"/>
  <c r="AJ64" i="16"/>
  <c r="AI64" i="16"/>
  <c r="AH64" i="16"/>
  <c r="AJ63" i="16"/>
  <c r="AH63" i="16"/>
  <c r="AI63" i="16" s="1"/>
  <c r="AJ62" i="16"/>
  <c r="AI62" i="16"/>
  <c r="AH62" i="16"/>
  <c r="AJ61" i="16"/>
  <c r="AI61" i="16"/>
  <c r="AH61" i="16"/>
  <c r="AJ60" i="16"/>
  <c r="AI60" i="16"/>
  <c r="AH60" i="16"/>
  <c r="AJ59" i="16"/>
  <c r="AH59" i="16"/>
  <c r="AI59" i="16" s="1"/>
  <c r="AJ58" i="16"/>
  <c r="AI58" i="16"/>
  <c r="AH58" i="16"/>
  <c r="AJ57" i="16"/>
  <c r="AI57" i="16"/>
  <c r="AH57" i="16"/>
  <c r="AJ56" i="16"/>
  <c r="AH56" i="16"/>
  <c r="AI56" i="16" s="1"/>
  <c r="AJ55" i="16"/>
  <c r="AH55" i="16"/>
  <c r="AI55" i="16" s="1"/>
  <c r="AJ54" i="16"/>
  <c r="AH54" i="16"/>
  <c r="AI54" i="16" s="1"/>
  <c r="AJ53" i="16"/>
  <c r="AH53" i="16"/>
  <c r="AI53" i="16" s="1"/>
  <c r="AJ52" i="16"/>
  <c r="AI52" i="16"/>
  <c r="AH52" i="16"/>
  <c r="AJ51" i="16"/>
  <c r="AI51" i="16"/>
  <c r="AH51" i="16"/>
  <c r="AJ50" i="16"/>
  <c r="AI50" i="16"/>
  <c r="AH50" i="16"/>
  <c r="AJ49" i="16"/>
  <c r="AH49" i="16"/>
  <c r="AI49" i="16" s="1"/>
  <c r="AJ48" i="16"/>
  <c r="AI48" i="16"/>
  <c r="AH48" i="16"/>
  <c r="AJ47" i="16"/>
  <c r="AH47" i="16"/>
  <c r="AI47" i="16" s="1"/>
  <c r="AJ46" i="16"/>
  <c r="AI46" i="16"/>
  <c r="AH46" i="16"/>
  <c r="AJ45" i="16"/>
  <c r="AH45" i="16"/>
  <c r="AI45" i="16" s="1"/>
  <c r="AJ44" i="16"/>
  <c r="AH44" i="16"/>
  <c r="AI44" i="16" s="1"/>
  <c r="AJ43" i="16"/>
  <c r="AI43" i="16"/>
  <c r="AH43" i="16"/>
  <c r="AJ42" i="16"/>
  <c r="AI42" i="16"/>
  <c r="AH42" i="16"/>
  <c r="AJ41" i="16"/>
  <c r="AH41" i="16"/>
  <c r="AI41" i="16" s="1"/>
  <c r="AJ40" i="16"/>
  <c r="AI40" i="16"/>
  <c r="AH40" i="16"/>
  <c r="AJ39" i="16"/>
  <c r="AH39" i="16"/>
  <c r="AI39" i="16" s="1"/>
  <c r="AJ38" i="16"/>
  <c r="AI38" i="16"/>
  <c r="AH38" i="16"/>
  <c r="AJ37" i="16"/>
  <c r="AH37" i="16"/>
  <c r="AI37" i="16" s="1"/>
  <c r="AJ36" i="16"/>
  <c r="AH36" i="16"/>
  <c r="AI36" i="16" s="1"/>
  <c r="AJ35" i="16"/>
  <c r="AH35" i="16"/>
  <c r="AI35" i="16" s="1"/>
  <c r="AJ34" i="16"/>
  <c r="AI34" i="16"/>
  <c r="AH34" i="16"/>
  <c r="AJ33" i="16"/>
  <c r="AH33" i="16"/>
  <c r="AI33" i="16" s="1"/>
  <c r="AJ32" i="16"/>
  <c r="AI32" i="16"/>
  <c r="AH32" i="16"/>
  <c r="AJ31" i="16"/>
  <c r="AI31" i="16"/>
  <c r="AH31" i="16"/>
  <c r="AJ30" i="16"/>
  <c r="AH30" i="16"/>
  <c r="AI30" i="16" s="1"/>
  <c r="AJ29" i="16"/>
  <c r="AH29" i="16"/>
  <c r="AI29" i="16" s="1"/>
  <c r="AJ28" i="16"/>
  <c r="AI28" i="16"/>
  <c r="AH28" i="16"/>
  <c r="AJ27" i="16"/>
  <c r="AH27" i="16"/>
  <c r="AI27" i="16" s="1"/>
  <c r="AJ26" i="16"/>
  <c r="AH26" i="16"/>
  <c r="AI26" i="16" s="1"/>
  <c r="AJ25" i="16"/>
  <c r="AH25" i="16"/>
  <c r="AI25" i="16" s="1"/>
  <c r="AJ24" i="16"/>
  <c r="AI24" i="16"/>
  <c r="AH24" i="16"/>
  <c r="AJ23" i="16"/>
  <c r="AH23" i="16"/>
  <c r="AI23" i="16" s="1"/>
  <c r="AJ22" i="16"/>
  <c r="AI22" i="16"/>
  <c r="AH22" i="16"/>
  <c r="AJ21" i="16"/>
  <c r="AI21" i="16"/>
  <c r="AH21" i="16"/>
  <c r="AJ20" i="16"/>
  <c r="AI20" i="16"/>
  <c r="AH20" i="16"/>
  <c r="AJ19" i="16"/>
  <c r="AI19" i="16"/>
  <c r="AH19" i="16"/>
  <c r="AJ18" i="16"/>
  <c r="AH18" i="16"/>
  <c r="AI18" i="16" s="1"/>
  <c r="AJ17" i="16"/>
  <c r="AH17" i="16"/>
  <c r="AI17" i="16" s="1"/>
  <c r="AJ16" i="16"/>
  <c r="AI16" i="16"/>
  <c r="AH16" i="16"/>
  <c r="AJ15" i="16"/>
  <c r="AH15" i="16"/>
  <c r="AI15" i="16" s="1"/>
  <c r="AJ14" i="16"/>
  <c r="AI14" i="16"/>
  <c r="AH14" i="16"/>
  <c r="AJ13" i="16"/>
  <c r="AI13" i="16"/>
  <c r="AH13" i="16"/>
  <c r="AJ12" i="16"/>
  <c r="AI12" i="16"/>
  <c r="AH12" i="16"/>
  <c r="AJ11" i="16"/>
  <c r="AH11" i="16"/>
  <c r="AI11" i="16" s="1"/>
  <c r="AJ10" i="16"/>
  <c r="AI10" i="16"/>
  <c r="AH10" i="16"/>
  <c r="AJ9" i="16"/>
  <c r="AI9" i="16"/>
  <c r="AH9" i="16"/>
  <c r="AJ8" i="16"/>
  <c r="AH8" i="16"/>
  <c r="AI8" i="16" s="1"/>
  <c r="AJ7" i="16"/>
  <c r="AI7" i="16"/>
  <c r="AH7" i="16"/>
  <c r="AJ6" i="16"/>
  <c r="AH6" i="16"/>
  <c r="AI6" i="16" s="1"/>
  <c r="AJ5" i="16"/>
  <c r="AH5" i="16"/>
  <c r="AI5" i="16" s="1"/>
  <c r="AJ4" i="16"/>
  <c r="AI4" i="16"/>
  <c r="AK3" i="16" s="1"/>
  <c r="AH4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AI133" i="15"/>
  <c r="AG133" i="15"/>
  <c r="AH133" i="15" s="1"/>
  <c r="AI132" i="15"/>
  <c r="AH132" i="15"/>
  <c r="AG132" i="15"/>
  <c r="AI131" i="15"/>
  <c r="AG131" i="15"/>
  <c r="AH131" i="15" s="1"/>
  <c r="AI130" i="15"/>
  <c r="AG130" i="15"/>
  <c r="AH130" i="15" s="1"/>
  <c r="AI129" i="15"/>
  <c r="AG129" i="15"/>
  <c r="AH129" i="15" s="1"/>
  <c r="AI128" i="15"/>
  <c r="AH128" i="15"/>
  <c r="AG128" i="15"/>
  <c r="AI127" i="15"/>
  <c r="AH127" i="15"/>
  <c r="AG127" i="15"/>
  <c r="AI126" i="15"/>
  <c r="AH126" i="15"/>
  <c r="AG126" i="15"/>
  <c r="AI125" i="15"/>
  <c r="AH125" i="15"/>
  <c r="AG125" i="15"/>
  <c r="AI124" i="15"/>
  <c r="AG124" i="15"/>
  <c r="AH124" i="15" s="1"/>
  <c r="AI123" i="15"/>
  <c r="AH123" i="15"/>
  <c r="AG123" i="15"/>
  <c r="AI122" i="15"/>
  <c r="AH122" i="15"/>
  <c r="AG122" i="15"/>
  <c r="AI121" i="15"/>
  <c r="AG121" i="15"/>
  <c r="AH121" i="15" s="1"/>
  <c r="AI120" i="15"/>
  <c r="AG120" i="15"/>
  <c r="AH120" i="15" s="1"/>
  <c r="AI119" i="15"/>
  <c r="AG119" i="15"/>
  <c r="AH119" i="15" s="1"/>
  <c r="AI118" i="15"/>
  <c r="AH118" i="15"/>
  <c r="AG118" i="15"/>
  <c r="AI117" i="15"/>
  <c r="AH117" i="15"/>
  <c r="AG117" i="15"/>
  <c r="AI116" i="15"/>
  <c r="AH116" i="15"/>
  <c r="AG116" i="15"/>
  <c r="AI115" i="15"/>
  <c r="AG115" i="15"/>
  <c r="AH115" i="15" s="1"/>
  <c r="AI114" i="15"/>
  <c r="AG114" i="15"/>
  <c r="AH114" i="15" s="1"/>
  <c r="AI113" i="15"/>
  <c r="AG113" i="15"/>
  <c r="AH113" i="15" s="1"/>
  <c r="AI112" i="15"/>
  <c r="AH112" i="15"/>
  <c r="AG112" i="15"/>
  <c r="AI111" i="15"/>
  <c r="AG111" i="15"/>
  <c r="AH111" i="15" s="1"/>
  <c r="AI110" i="15"/>
  <c r="AH110" i="15"/>
  <c r="AG110" i="15"/>
  <c r="AI109" i="15"/>
  <c r="AG109" i="15"/>
  <c r="AH109" i="15" s="1"/>
  <c r="AI108" i="15"/>
  <c r="AG108" i="15"/>
  <c r="AH108" i="15" s="1"/>
  <c r="AI107" i="15"/>
  <c r="AG107" i="15"/>
  <c r="AH107" i="15" s="1"/>
  <c r="AI106" i="15"/>
  <c r="AH106" i="15"/>
  <c r="AG106" i="15"/>
  <c r="AI105" i="15"/>
  <c r="AG105" i="15"/>
  <c r="AH105" i="15" s="1"/>
  <c r="AI104" i="15"/>
  <c r="AH104" i="15"/>
  <c r="AG104" i="15"/>
  <c r="AI103" i="15"/>
  <c r="AG103" i="15"/>
  <c r="AH103" i="15" s="1"/>
  <c r="AI102" i="15"/>
  <c r="AG102" i="15"/>
  <c r="AH102" i="15" s="1"/>
  <c r="AI101" i="15"/>
  <c r="AG101" i="15"/>
  <c r="AH101" i="15" s="1"/>
  <c r="AI100" i="15"/>
  <c r="AH100" i="15"/>
  <c r="AG100" i="15"/>
  <c r="AI99" i="15"/>
  <c r="AG99" i="15"/>
  <c r="AH99" i="15" s="1"/>
  <c r="AI98" i="15"/>
  <c r="AH98" i="15"/>
  <c r="AG98" i="15"/>
  <c r="AI97" i="15"/>
  <c r="AG97" i="15"/>
  <c r="AH97" i="15" s="1"/>
  <c r="AI96" i="15"/>
  <c r="AG96" i="15"/>
  <c r="AH96" i="15" s="1"/>
  <c r="AI95" i="15"/>
  <c r="AG95" i="15"/>
  <c r="AH95" i="15" s="1"/>
  <c r="AI94" i="15"/>
  <c r="AH94" i="15"/>
  <c r="AG94" i="15"/>
  <c r="AI93" i="15"/>
  <c r="AG93" i="15"/>
  <c r="AH93" i="15" s="1"/>
  <c r="AI92" i="15"/>
  <c r="AH92" i="15"/>
  <c r="AG92" i="15"/>
  <c r="AI91" i="15"/>
  <c r="AG91" i="15"/>
  <c r="AH91" i="15" s="1"/>
  <c r="AI90" i="15"/>
  <c r="AG90" i="15"/>
  <c r="AH90" i="15" s="1"/>
  <c r="AI89" i="15"/>
  <c r="AG89" i="15"/>
  <c r="AH89" i="15" s="1"/>
  <c r="AI88" i="15"/>
  <c r="AH88" i="15"/>
  <c r="AG88" i="15"/>
  <c r="AI87" i="15"/>
  <c r="AH87" i="15"/>
  <c r="AG87" i="15"/>
  <c r="AI86" i="15"/>
  <c r="AH86" i="15"/>
  <c r="AG86" i="15"/>
  <c r="AI85" i="15"/>
  <c r="AG85" i="15"/>
  <c r="AH85" i="15" s="1"/>
  <c r="AI84" i="15"/>
  <c r="AG84" i="15"/>
  <c r="AH84" i="15" s="1"/>
  <c r="AI83" i="15"/>
  <c r="AG83" i="15"/>
  <c r="AH83" i="15" s="1"/>
  <c r="AI82" i="15"/>
  <c r="AH82" i="15"/>
  <c r="AG82" i="15"/>
  <c r="AI81" i="15"/>
  <c r="AH81" i="15"/>
  <c r="AG81" i="15"/>
  <c r="AI80" i="15"/>
  <c r="AH80" i="15"/>
  <c r="AG80" i="15"/>
  <c r="AI79" i="15"/>
  <c r="AG79" i="15"/>
  <c r="AH79" i="15" s="1"/>
  <c r="AI78" i="15"/>
  <c r="AG78" i="15"/>
  <c r="AH78" i="15" s="1"/>
  <c r="AI77" i="15"/>
  <c r="AG77" i="15"/>
  <c r="AH77" i="15" s="1"/>
  <c r="AI76" i="15"/>
  <c r="AH76" i="15"/>
  <c r="AG76" i="15"/>
  <c r="AI75" i="15"/>
  <c r="AG75" i="15"/>
  <c r="AH75" i="15" s="1"/>
  <c r="AI74" i="15"/>
  <c r="AH74" i="15"/>
  <c r="AG74" i="15"/>
  <c r="AI73" i="15"/>
  <c r="AG73" i="15"/>
  <c r="AH73" i="15" s="1"/>
  <c r="AI72" i="15"/>
  <c r="AG72" i="15"/>
  <c r="AH72" i="15" s="1"/>
  <c r="AI71" i="15"/>
  <c r="AG71" i="15"/>
  <c r="AH71" i="15" s="1"/>
  <c r="AI70" i="15"/>
  <c r="AH70" i="15"/>
  <c r="AG70" i="15"/>
  <c r="AI69" i="15"/>
  <c r="AG69" i="15"/>
  <c r="AH69" i="15" s="1"/>
  <c r="AI68" i="15"/>
  <c r="AH68" i="15"/>
  <c r="AG68" i="15"/>
  <c r="AI67" i="15"/>
  <c r="AG67" i="15"/>
  <c r="AH67" i="15" s="1"/>
  <c r="AI66" i="15"/>
  <c r="AG66" i="15"/>
  <c r="AH66" i="15" s="1"/>
  <c r="AI65" i="15"/>
  <c r="AG65" i="15"/>
  <c r="AH65" i="15" s="1"/>
  <c r="AI64" i="15"/>
  <c r="AH64" i="15"/>
  <c r="AG64" i="15"/>
  <c r="AI63" i="15"/>
  <c r="AG63" i="15"/>
  <c r="AH63" i="15" s="1"/>
  <c r="AI62" i="15"/>
  <c r="AH62" i="15"/>
  <c r="AG62" i="15"/>
  <c r="AI61" i="15"/>
  <c r="AG61" i="15"/>
  <c r="AH61" i="15" s="1"/>
  <c r="AI60" i="15"/>
  <c r="AG60" i="15"/>
  <c r="AH60" i="15" s="1"/>
  <c r="AI59" i="15"/>
  <c r="AG59" i="15"/>
  <c r="AH59" i="15" s="1"/>
  <c r="AI58" i="15"/>
  <c r="AH58" i="15"/>
  <c r="AG58" i="15"/>
  <c r="AI57" i="15"/>
  <c r="AG57" i="15"/>
  <c r="AH57" i="15" s="1"/>
  <c r="AI56" i="15"/>
  <c r="AH56" i="15"/>
  <c r="AG56" i="15"/>
  <c r="AI55" i="15"/>
  <c r="AG55" i="15"/>
  <c r="AH55" i="15" s="1"/>
  <c r="AI54" i="15"/>
  <c r="AG54" i="15"/>
  <c r="AH54" i="15" s="1"/>
  <c r="AI53" i="15"/>
  <c r="AG53" i="15"/>
  <c r="AH53" i="15" s="1"/>
  <c r="AI52" i="15"/>
  <c r="AH52" i="15"/>
  <c r="AG52" i="15"/>
  <c r="AI51" i="15"/>
  <c r="AG51" i="15"/>
  <c r="AH51" i="15" s="1"/>
  <c r="AI50" i="15"/>
  <c r="AH50" i="15"/>
  <c r="AG50" i="15"/>
  <c r="AI49" i="15"/>
  <c r="AG49" i="15"/>
  <c r="AH49" i="15" s="1"/>
  <c r="AI48" i="15"/>
  <c r="AG48" i="15"/>
  <c r="AH48" i="15" s="1"/>
  <c r="AI47" i="15"/>
  <c r="AG47" i="15"/>
  <c r="AH47" i="15" s="1"/>
  <c r="AI46" i="15"/>
  <c r="AH46" i="15"/>
  <c r="AG46" i="15"/>
  <c r="AI45" i="15"/>
  <c r="AH45" i="15"/>
  <c r="AG45" i="15"/>
  <c r="AI44" i="15"/>
  <c r="AH44" i="15"/>
  <c r="AG44" i="15"/>
  <c r="AI43" i="15"/>
  <c r="AG43" i="15"/>
  <c r="AH43" i="15" s="1"/>
  <c r="AI42" i="15"/>
  <c r="AG42" i="15"/>
  <c r="AH42" i="15" s="1"/>
  <c r="AI41" i="15"/>
  <c r="AG41" i="15"/>
  <c r="AH41" i="15" s="1"/>
  <c r="AI40" i="15"/>
  <c r="AH40" i="15"/>
  <c r="AG40" i="15"/>
  <c r="AI39" i="15"/>
  <c r="AG39" i="15"/>
  <c r="AH39" i="15" s="1"/>
  <c r="AI38" i="15"/>
  <c r="AH38" i="15"/>
  <c r="AG38" i="15"/>
  <c r="AI37" i="15"/>
  <c r="AG37" i="15"/>
  <c r="AH37" i="15" s="1"/>
  <c r="AI36" i="15"/>
  <c r="AG36" i="15"/>
  <c r="AH36" i="15" s="1"/>
  <c r="AI35" i="15"/>
  <c r="AG35" i="15"/>
  <c r="AH35" i="15" s="1"/>
  <c r="AI34" i="15"/>
  <c r="AH34" i="15"/>
  <c r="AG34" i="15"/>
  <c r="AI33" i="15"/>
  <c r="AG33" i="15"/>
  <c r="AH33" i="15" s="1"/>
  <c r="AI32" i="15"/>
  <c r="AH32" i="15"/>
  <c r="AG32" i="15"/>
  <c r="AI31" i="15"/>
  <c r="AG31" i="15"/>
  <c r="AH31" i="15" s="1"/>
  <c r="AI30" i="15"/>
  <c r="AG30" i="15"/>
  <c r="AH30" i="15" s="1"/>
  <c r="AI29" i="15"/>
  <c r="AG29" i="15"/>
  <c r="AH29" i="15" s="1"/>
  <c r="AI28" i="15"/>
  <c r="AH28" i="15"/>
  <c r="AG28" i="15"/>
  <c r="AI27" i="15"/>
  <c r="AG27" i="15"/>
  <c r="AH27" i="15" s="1"/>
  <c r="AI26" i="15"/>
  <c r="AH26" i="15"/>
  <c r="AG26" i="15"/>
  <c r="AI25" i="15"/>
  <c r="AG25" i="15"/>
  <c r="AH25" i="15" s="1"/>
  <c r="AI24" i="15"/>
  <c r="AG24" i="15"/>
  <c r="AH24" i="15" s="1"/>
  <c r="AI23" i="15"/>
  <c r="AG23" i="15"/>
  <c r="AH23" i="15" s="1"/>
  <c r="AI22" i="15"/>
  <c r="AH22" i="15"/>
  <c r="AG22" i="15"/>
  <c r="AI21" i="15"/>
  <c r="AG21" i="15"/>
  <c r="AH21" i="15" s="1"/>
  <c r="AI20" i="15"/>
  <c r="AH20" i="15"/>
  <c r="AG20" i="15"/>
  <c r="AI19" i="15"/>
  <c r="AG19" i="15"/>
  <c r="AH19" i="15" s="1"/>
  <c r="AI18" i="15"/>
  <c r="AG18" i="15"/>
  <c r="AH18" i="15" s="1"/>
  <c r="AI17" i="15"/>
  <c r="AG17" i="15"/>
  <c r="AH17" i="15" s="1"/>
  <c r="AI16" i="15"/>
  <c r="AH16" i="15"/>
  <c r="AG16" i="15"/>
  <c r="AI15" i="15"/>
  <c r="AG15" i="15"/>
  <c r="AH15" i="15" s="1"/>
  <c r="AI14" i="15"/>
  <c r="AH14" i="15"/>
  <c r="AG14" i="15"/>
  <c r="AI13" i="15"/>
  <c r="AG13" i="15"/>
  <c r="AH13" i="15" s="1"/>
  <c r="AI12" i="15"/>
  <c r="AG12" i="15"/>
  <c r="AH12" i="15" s="1"/>
  <c r="AI11" i="15"/>
  <c r="AG11" i="15"/>
  <c r="AH11" i="15" s="1"/>
  <c r="AI10" i="15"/>
  <c r="AH10" i="15"/>
  <c r="AG10" i="15"/>
  <c r="AI9" i="15"/>
  <c r="AH9" i="15"/>
  <c r="AG9" i="15"/>
  <c r="AI8" i="15"/>
  <c r="AH8" i="15"/>
  <c r="AG8" i="15"/>
  <c r="AI7" i="15"/>
  <c r="AG7" i="15"/>
  <c r="AH7" i="15" s="1"/>
  <c r="AI6" i="15"/>
  <c r="AG6" i="15"/>
  <c r="AH6" i="15" s="1"/>
  <c r="AI5" i="15"/>
  <c r="AG5" i="15"/>
  <c r="AH5" i="15" s="1"/>
  <c r="AI4" i="15"/>
  <c r="AH4" i="15"/>
  <c r="AJ3" i="15" s="1"/>
  <c r="AG4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AJ133" i="14"/>
  <c r="AH133" i="14"/>
  <c r="AI133" i="14" s="1"/>
  <c r="AJ132" i="14"/>
  <c r="AH132" i="14"/>
  <c r="AI132" i="14" s="1"/>
  <c r="AJ131" i="14"/>
  <c r="AH131" i="14"/>
  <c r="AI131" i="14" s="1"/>
  <c r="AJ130" i="14"/>
  <c r="AH130" i="14"/>
  <c r="AI130" i="14" s="1"/>
  <c r="AJ129" i="14"/>
  <c r="AI129" i="14"/>
  <c r="AH129" i="14"/>
  <c r="AJ128" i="14"/>
  <c r="AH128" i="14"/>
  <c r="AI128" i="14" s="1"/>
  <c r="AJ127" i="14"/>
  <c r="AH127" i="14"/>
  <c r="AI127" i="14" s="1"/>
  <c r="AJ126" i="14"/>
  <c r="AI126" i="14"/>
  <c r="AH126" i="14"/>
  <c r="AJ125" i="14"/>
  <c r="AH125" i="14"/>
  <c r="AI125" i="14" s="1"/>
  <c r="AJ124" i="14"/>
  <c r="AH124" i="14"/>
  <c r="AI124" i="14" s="1"/>
  <c r="AJ123" i="14"/>
  <c r="AI123" i="14"/>
  <c r="AH123" i="14"/>
  <c r="AJ122" i="14"/>
  <c r="AH122" i="14"/>
  <c r="AI122" i="14" s="1"/>
  <c r="AJ121" i="14"/>
  <c r="AH121" i="14"/>
  <c r="AI121" i="14" s="1"/>
  <c r="AJ120" i="14"/>
  <c r="AH120" i="14"/>
  <c r="AI120" i="14" s="1"/>
  <c r="AJ119" i="14"/>
  <c r="AH119" i="14"/>
  <c r="AI119" i="14" s="1"/>
  <c r="AJ118" i="14"/>
  <c r="AH118" i="14"/>
  <c r="AI118" i="14" s="1"/>
  <c r="AJ117" i="14"/>
  <c r="AI117" i="14"/>
  <c r="AH117" i="14"/>
  <c r="AJ116" i="14"/>
  <c r="AI116" i="14"/>
  <c r="AH116" i="14"/>
  <c r="AJ115" i="14"/>
  <c r="AI115" i="14"/>
  <c r="AH115" i="14"/>
  <c r="AJ114" i="14"/>
  <c r="AH114" i="14"/>
  <c r="AI114" i="14" s="1"/>
  <c r="AJ113" i="14"/>
  <c r="AH113" i="14"/>
  <c r="AI113" i="14" s="1"/>
  <c r="AJ112" i="14"/>
  <c r="AH112" i="14"/>
  <c r="AI112" i="14" s="1"/>
  <c r="AJ111" i="14"/>
  <c r="AI111" i="14"/>
  <c r="AH111" i="14"/>
  <c r="AJ110" i="14"/>
  <c r="AH110" i="14"/>
  <c r="AI110" i="14" s="1"/>
  <c r="AJ109" i="14"/>
  <c r="AH109" i="14"/>
  <c r="AI109" i="14" s="1"/>
  <c r="AJ108" i="14"/>
  <c r="AH108" i="14"/>
  <c r="AI108" i="14" s="1"/>
  <c r="AJ107" i="14"/>
  <c r="AI107" i="14"/>
  <c r="AH107" i="14"/>
  <c r="AJ106" i="14"/>
  <c r="AH106" i="14"/>
  <c r="AI106" i="14" s="1"/>
  <c r="AJ105" i="14"/>
  <c r="AI105" i="14"/>
  <c r="AH105" i="14"/>
  <c r="AJ104" i="14"/>
  <c r="AI104" i="14"/>
  <c r="AH104" i="14"/>
  <c r="AJ103" i="14"/>
  <c r="AH103" i="14"/>
  <c r="AI103" i="14" s="1"/>
  <c r="AJ102" i="14"/>
  <c r="AI102" i="14"/>
  <c r="AH102" i="14"/>
  <c r="AJ101" i="14"/>
  <c r="AH101" i="14"/>
  <c r="AI101" i="14" s="1"/>
  <c r="AJ100" i="14"/>
  <c r="AH100" i="14"/>
  <c r="AI100" i="14" s="1"/>
  <c r="AJ99" i="14"/>
  <c r="AI99" i="14"/>
  <c r="AH99" i="14"/>
  <c r="AJ98" i="14"/>
  <c r="AH98" i="14"/>
  <c r="AI98" i="14" s="1"/>
  <c r="AJ97" i="14"/>
  <c r="AI97" i="14"/>
  <c r="AH97" i="14"/>
  <c r="AJ96" i="14"/>
  <c r="AI96" i="14"/>
  <c r="AH96" i="14"/>
  <c r="AJ95" i="14"/>
  <c r="AH95" i="14"/>
  <c r="AI95" i="14" s="1"/>
  <c r="AJ94" i="14"/>
  <c r="AH94" i="14"/>
  <c r="AI94" i="14" s="1"/>
  <c r="AJ93" i="14"/>
  <c r="AI93" i="14"/>
  <c r="AH93" i="14"/>
  <c r="AJ92" i="14"/>
  <c r="AI92" i="14"/>
  <c r="AH92" i="14"/>
  <c r="AJ91" i="14"/>
  <c r="AH91" i="14"/>
  <c r="AI91" i="14" s="1"/>
  <c r="AJ90" i="14"/>
  <c r="AH90" i="14"/>
  <c r="AI90" i="14" s="1"/>
  <c r="AJ89" i="14"/>
  <c r="AH89" i="14"/>
  <c r="AI89" i="14" s="1"/>
  <c r="AJ88" i="14"/>
  <c r="AH88" i="14"/>
  <c r="AI88" i="14" s="1"/>
  <c r="AJ87" i="14"/>
  <c r="AI87" i="14"/>
  <c r="AH87" i="14"/>
  <c r="AJ86" i="14"/>
  <c r="AI86" i="14"/>
  <c r="AH86" i="14"/>
  <c r="AJ85" i="14"/>
  <c r="AI85" i="14"/>
  <c r="AH85" i="14"/>
  <c r="AJ84" i="14"/>
  <c r="AH84" i="14"/>
  <c r="AI84" i="14" s="1"/>
  <c r="AJ83" i="14"/>
  <c r="AH83" i="14"/>
  <c r="AI83" i="14" s="1"/>
  <c r="AJ82" i="14"/>
  <c r="AH82" i="14"/>
  <c r="AI82" i="14" s="1"/>
  <c r="AJ81" i="14"/>
  <c r="AH81" i="14"/>
  <c r="AI81" i="14" s="1"/>
  <c r="AJ80" i="14"/>
  <c r="AH80" i="14"/>
  <c r="AI80" i="14" s="1"/>
  <c r="AJ79" i="14"/>
  <c r="AH79" i="14"/>
  <c r="AI79" i="14" s="1"/>
  <c r="AJ78" i="14"/>
  <c r="AI78" i="14"/>
  <c r="AH78" i="14"/>
  <c r="AJ77" i="14"/>
  <c r="AI77" i="14"/>
  <c r="AH77" i="14"/>
  <c r="AJ76" i="14"/>
  <c r="AH76" i="14"/>
  <c r="AI76" i="14" s="1"/>
  <c r="AJ75" i="14"/>
  <c r="AI75" i="14"/>
  <c r="AH75" i="14"/>
  <c r="AJ74" i="14"/>
  <c r="AI74" i="14"/>
  <c r="AH74" i="14"/>
  <c r="AJ73" i="14"/>
  <c r="AI73" i="14"/>
  <c r="AH73" i="14"/>
  <c r="AJ72" i="14"/>
  <c r="AH72" i="14"/>
  <c r="AI72" i="14" s="1"/>
  <c r="AJ71" i="14"/>
  <c r="AH71" i="14"/>
  <c r="AI71" i="14" s="1"/>
  <c r="AJ70" i="14"/>
  <c r="AH70" i="14"/>
  <c r="AI70" i="14" s="1"/>
  <c r="AJ69" i="14"/>
  <c r="AH69" i="14"/>
  <c r="AI69" i="14" s="1"/>
  <c r="AJ68" i="14"/>
  <c r="AH68" i="14"/>
  <c r="AI68" i="14" s="1"/>
  <c r="AJ67" i="14"/>
  <c r="AI67" i="14"/>
  <c r="AH67" i="14"/>
  <c r="AJ66" i="14"/>
  <c r="AI66" i="14"/>
  <c r="AH66" i="14"/>
  <c r="AJ65" i="14"/>
  <c r="AH65" i="14"/>
  <c r="AI65" i="14" s="1"/>
  <c r="AJ64" i="14"/>
  <c r="AH64" i="14"/>
  <c r="AI64" i="14" s="1"/>
  <c r="AJ63" i="14"/>
  <c r="AI63" i="14"/>
  <c r="AH63" i="14"/>
  <c r="AJ62" i="14"/>
  <c r="AH62" i="14"/>
  <c r="AI62" i="14" s="1"/>
  <c r="AJ61" i="14"/>
  <c r="AH61" i="14"/>
  <c r="AI61" i="14" s="1"/>
  <c r="AJ60" i="14"/>
  <c r="AH60" i="14"/>
  <c r="AI60" i="14" s="1"/>
  <c r="AJ59" i="14"/>
  <c r="AI59" i="14"/>
  <c r="AH59" i="14"/>
  <c r="AJ58" i="14"/>
  <c r="AH58" i="14"/>
  <c r="AI58" i="14" s="1"/>
  <c r="AJ57" i="14"/>
  <c r="AH57" i="14"/>
  <c r="AI57" i="14" s="1"/>
  <c r="AJ56" i="14"/>
  <c r="AI56" i="14"/>
  <c r="AH56" i="14"/>
  <c r="AJ55" i="14"/>
  <c r="AI55" i="14"/>
  <c r="AH55" i="14"/>
  <c r="AJ54" i="14"/>
  <c r="AI54" i="14"/>
  <c r="AH54" i="14"/>
  <c r="AJ53" i="14"/>
  <c r="AH53" i="14"/>
  <c r="AI53" i="14" s="1"/>
  <c r="AJ52" i="14"/>
  <c r="AH52" i="14"/>
  <c r="AI52" i="14" s="1"/>
  <c r="AJ51" i="14"/>
  <c r="AI51" i="14"/>
  <c r="AH51" i="14"/>
  <c r="AJ50" i="14"/>
  <c r="AH50" i="14"/>
  <c r="AI50" i="14" s="1"/>
  <c r="AJ49" i="14"/>
  <c r="AI49" i="14"/>
  <c r="AH49" i="14"/>
  <c r="AJ48" i="14"/>
  <c r="AI48" i="14"/>
  <c r="AH48" i="14"/>
  <c r="AJ47" i="14"/>
  <c r="AI47" i="14"/>
  <c r="AH47" i="14"/>
  <c r="AJ46" i="14"/>
  <c r="AH46" i="14"/>
  <c r="AI46" i="14" s="1"/>
  <c r="AJ45" i="14"/>
  <c r="AI45" i="14"/>
  <c r="AH45" i="14"/>
  <c r="AJ44" i="14"/>
  <c r="AI44" i="14"/>
  <c r="AH44" i="14"/>
  <c r="AJ43" i="14"/>
  <c r="AH43" i="14"/>
  <c r="AI43" i="14" s="1"/>
  <c r="AJ42" i="14"/>
  <c r="AH42" i="14"/>
  <c r="AJ41" i="14"/>
  <c r="AI41" i="14"/>
  <c r="AH41" i="14"/>
  <c r="AJ40" i="14"/>
  <c r="AI40" i="14"/>
  <c r="AH40" i="14"/>
  <c r="AJ39" i="14"/>
  <c r="AH39" i="14"/>
  <c r="AI39" i="14" s="1"/>
  <c r="AJ38" i="14"/>
  <c r="AH38" i="14"/>
  <c r="AI38" i="14" s="1"/>
  <c r="AJ37" i="14"/>
  <c r="AI37" i="14"/>
  <c r="AH37" i="14"/>
  <c r="AJ36" i="14"/>
  <c r="AI36" i="14"/>
  <c r="AH36" i="14"/>
  <c r="AJ35" i="14"/>
  <c r="AI35" i="14"/>
  <c r="AH35" i="14"/>
  <c r="AJ34" i="14"/>
  <c r="AI34" i="14"/>
  <c r="AH34" i="14"/>
  <c r="AJ33" i="14"/>
  <c r="AH33" i="14"/>
  <c r="AI33" i="14" s="1"/>
  <c r="AJ32" i="14"/>
  <c r="AH32" i="14"/>
  <c r="AI32" i="14" s="1"/>
  <c r="AJ31" i="14"/>
  <c r="AI31" i="14"/>
  <c r="AH31" i="14"/>
  <c r="AJ30" i="14"/>
  <c r="AH30" i="14"/>
  <c r="AI30" i="14" s="1"/>
  <c r="AJ29" i="14"/>
  <c r="AI29" i="14"/>
  <c r="AH29" i="14"/>
  <c r="AJ28" i="14"/>
  <c r="AI28" i="14"/>
  <c r="AH28" i="14"/>
  <c r="AJ27" i="14"/>
  <c r="AH27" i="14"/>
  <c r="AI27" i="14" s="1"/>
  <c r="AJ26" i="14"/>
  <c r="AH26" i="14"/>
  <c r="AJ25" i="14"/>
  <c r="AH25" i="14"/>
  <c r="AI25" i="14" s="1"/>
  <c r="AJ24" i="14"/>
  <c r="AH24" i="14"/>
  <c r="AI24" i="14" s="1"/>
  <c r="AJ23" i="14"/>
  <c r="AI23" i="14"/>
  <c r="AH23" i="14"/>
  <c r="AJ22" i="14"/>
  <c r="AI22" i="14"/>
  <c r="AH22" i="14"/>
  <c r="AJ21" i="14"/>
  <c r="AH21" i="14"/>
  <c r="AI21" i="14" s="1"/>
  <c r="AJ20" i="14"/>
  <c r="AH20" i="14"/>
  <c r="AJ19" i="14"/>
  <c r="AH19" i="14"/>
  <c r="AI19" i="14" s="1"/>
  <c r="AJ18" i="14"/>
  <c r="AH18" i="14"/>
  <c r="AI18" i="14" s="1"/>
  <c r="AJ17" i="14"/>
  <c r="AI17" i="14"/>
  <c r="AH17" i="14"/>
  <c r="AJ16" i="14"/>
  <c r="AH16" i="14"/>
  <c r="AI16" i="14" s="1"/>
  <c r="AJ15" i="14"/>
  <c r="AH15" i="14"/>
  <c r="AJ14" i="14"/>
  <c r="AH14" i="14"/>
  <c r="AI14" i="14" s="1"/>
  <c r="AJ13" i="14"/>
  <c r="AH13" i="14"/>
  <c r="AI13" i="14" s="1"/>
  <c r="AJ12" i="14"/>
  <c r="AI12" i="14"/>
  <c r="AH12" i="14"/>
  <c r="AJ11" i="14"/>
  <c r="AH11" i="14"/>
  <c r="AI11" i="14" s="1"/>
  <c r="AJ10" i="14"/>
  <c r="AI10" i="14"/>
  <c r="AH10" i="14"/>
  <c r="AJ9" i="14"/>
  <c r="AI9" i="14"/>
  <c r="AH9" i="14"/>
  <c r="AJ8" i="14"/>
  <c r="AH8" i="14"/>
  <c r="AJ7" i="14"/>
  <c r="AH7" i="14"/>
  <c r="AI7" i="14" s="1"/>
  <c r="AJ6" i="14"/>
  <c r="AH6" i="14"/>
  <c r="AI6" i="14" s="1"/>
  <c r="AJ5" i="14"/>
  <c r="AI5" i="14"/>
  <c r="AH5" i="14"/>
  <c r="AJ4" i="14"/>
  <c r="AI4" i="14"/>
  <c r="AK3" i="14" s="1"/>
  <c r="AH4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I133" i="13"/>
  <c r="AG133" i="13"/>
  <c r="AH133" i="13" s="1"/>
  <c r="AI132" i="13"/>
  <c r="AG132" i="13"/>
  <c r="AH132" i="13" s="1"/>
  <c r="AI131" i="13"/>
  <c r="AH131" i="13"/>
  <c r="AG131" i="13"/>
  <c r="AI130" i="13"/>
  <c r="AH130" i="13"/>
  <c r="AG130" i="13"/>
  <c r="AI129" i="13"/>
  <c r="AG129" i="13"/>
  <c r="AH129" i="13" s="1"/>
  <c r="AI128" i="13"/>
  <c r="AG128" i="13"/>
  <c r="AH128" i="13" s="1"/>
  <c r="AI127" i="13"/>
  <c r="AG127" i="13"/>
  <c r="AH127" i="13" s="1"/>
  <c r="AI126" i="13"/>
  <c r="AG126" i="13"/>
  <c r="AH126" i="13" s="1"/>
  <c r="AI125" i="13"/>
  <c r="AH125" i="13"/>
  <c r="AG125" i="13"/>
  <c r="AI124" i="13"/>
  <c r="AH124" i="13"/>
  <c r="AG124" i="13"/>
  <c r="AI123" i="13"/>
  <c r="AG123" i="13"/>
  <c r="AH123" i="13" s="1"/>
  <c r="AI122" i="13"/>
  <c r="AG122" i="13"/>
  <c r="AH122" i="13" s="1"/>
  <c r="AI121" i="13"/>
  <c r="AH121" i="13"/>
  <c r="AG121" i="13"/>
  <c r="AI120" i="13"/>
  <c r="AG120" i="13"/>
  <c r="AH120" i="13" s="1"/>
  <c r="AI119" i="13"/>
  <c r="AH119" i="13"/>
  <c r="AG119" i="13"/>
  <c r="AI118" i="13"/>
  <c r="AH118" i="13"/>
  <c r="AG118" i="13"/>
  <c r="AI117" i="13"/>
  <c r="AG117" i="13"/>
  <c r="AH117" i="13" s="1"/>
  <c r="AI116" i="13"/>
  <c r="AG116" i="13"/>
  <c r="AH116" i="13" s="1"/>
  <c r="AI115" i="13"/>
  <c r="AH115" i="13"/>
  <c r="AG115" i="13"/>
  <c r="AI114" i="13"/>
  <c r="AG114" i="13"/>
  <c r="AH114" i="13" s="1"/>
  <c r="AI113" i="13"/>
  <c r="AH113" i="13"/>
  <c r="AG113" i="13"/>
  <c r="AI112" i="13"/>
  <c r="AH112" i="13"/>
  <c r="AG112" i="13"/>
  <c r="AI111" i="13"/>
  <c r="AG111" i="13"/>
  <c r="AH111" i="13" s="1"/>
  <c r="AI110" i="13"/>
  <c r="AG110" i="13"/>
  <c r="AH110" i="13" s="1"/>
  <c r="AI109" i="13"/>
  <c r="AH109" i="13"/>
  <c r="AG109" i="13"/>
  <c r="AI108" i="13"/>
  <c r="AG108" i="13"/>
  <c r="AH108" i="13" s="1"/>
  <c r="AI107" i="13"/>
  <c r="AH107" i="13"/>
  <c r="AG107" i="13"/>
  <c r="AI106" i="13"/>
  <c r="AH106" i="13"/>
  <c r="AG106" i="13"/>
  <c r="AI105" i="13"/>
  <c r="AG105" i="13"/>
  <c r="AH105" i="13" s="1"/>
  <c r="AI104" i="13"/>
  <c r="AG104" i="13"/>
  <c r="AH104" i="13" s="1"/>
  <c r="AI103" i="13"/>
  <c r="AG103" i="13"/>
  <c r="AH103" i="13" s="1"/>
  <c r="AI102" i="13"/>
  <c r="AG102" i="13"/>
  <c r="AH102" i="13" s="1"/>
  <c r="AI101" i="13"/>
  <c r="AH101" i="13"/>
  <c r="AG101" i="13"/>
  <c r="AI100" i="13"/>
  <c r="AH100" i="13"/>
  <c r="AG100" i="13"/>
  <c r="AI99" i="13"/>
  <c r="AG99" i="13"/>
  <c r="AH99" i="13" s="1"/>
  <c r="AI98" i="13"/>
  <c r="AG98" i="13"/>
  <c r="AH98" i="13" s="1"/>
  <c r="AI97" i="13"/>
  <c r="AH97" i="13"/>
  <c r="AG97" i="13"/>
  <c r="AI96" i="13"/>
  <c r="AG96" i="13"/>
  <c r="AH96" i="13" s="1"/>
  <c r="AI95" i="13"/>
  <c r="AH95" i="13"/>
  <c r="AG95" i="13"/>
  <c r="AI94" i="13"/>
  <c r="AH94" i="13"/>
  <c r="AG94" i="13"/>
  <c r="AI93" i="13"/>
  <c r="AG93" i="13"/>
  <c r="AH93" i="13" s="1"/>
  <c r="AI92" i="13"/>
  <c r="AG92" i="13"/>
  <c r="AH92" i="13" s="1"/>
  <c r="AI91" i="13"/>
  <c r="AG91" i="13"/>
  <c r="AH91" i="13" s="1"/>
  <c r="AI90" i="13"/>
  <c r="AG90" i="13"/>
  <c r="AH90" i="13" s="1"/>
  <c r="AI89" i="13"/>
  <c r="AH89" i="13"/>
  <c r="AG89" i="13"/>
  <c r="AI88" i="13"/>
  <c r="AH88" i="13"/>
  <c r="AG88" i="13"/>
  <c r="AI87" i="13"/>
  <c r="AG87" i="13"/>
  <c r="AH87" i="13" s="1"/>
  <c r="AI86" i="13"/>
  <c r="AG86" i="13"/>
  <c r="AH86" i="13" s="1"/>
  <c r="AI85" i="13"/>
  <c r="AH85" i="13"/>
  <c r="AG85" i="13"/>
  <c r="AI84" i="13"/>
  <c r="AG84" i="13"/>
  <c r="AH84" i="13" s="1"/>
  <c r="AI83" i="13"/>
  <c r="AH83" i="13"/>
  <c r="AG83" i="13"/>
  <c r="AI82" i="13"/>
  <c r="AH82" i="13"/>
  <c r="AG82" i="13"/>
  <c r="AI81" i="13"/>
  <c r="AG81" i="13"/>
  <c r="AH81" i="13" s="1"/>
  <c r="AI80" i="13"/>
  <c r="AG80" i="13"/>
  <c r="AH80" i="13" s="1"/>
  <c r="AI79" i="13"/>
  <c r="AH79" i="13"/>
  <c r="AG79" i="13"/>
  <c r="AI78" i="13"/>
  <c r="AG78" i="13"/>
  <c r="AH78" i="13" s="1"/>
  <c r="AI77" i="13"/>
  <c r="AH77" i="13"/>
  <c r="AG77" i="13"/>
  <c r="AI76" i="13"/>
  <c r="AH76" i="13"/>
  <c r="AG76" i="13"/>
  <c r="AI75" i="13"/>
  <c r="AG75" i="13"/>
  <c r="AH75" i="13" s="1"/>
  <c r="AI74" i="13"/>
  <c r="AG74" i="13"/>
  <c r="AH74" i="13" s="1"/>
  <c r="AI73" i="13"/>
  <c r="AH73" i="13"/>
  <c r="AG73" i="13"/>
  <c r="AI72" i="13"/>
  <c r="AG72" i="13"/>
  <c r="AH72" i="13" s="1"/>
  <c r="AI71" i="13"/>
  <c r="AH71" i="13"/>
  <c r="AG71" i="13"/>
  <c r="AI70" i="13"/>
  <c r="AH70" i="13"/>
  <c r="AG70" i="13"/>
  <c r="AI69" i="13"/>
  <c r="AG69" i="13"/>
  <c r="AH69" i="13" s="1"/>
  <c r="AI68" i="13"/>
  <c r="AG68" i="13"/>
  <c r="AH68" i="13" s="1"/>
  <c r="AI67" i="13"/>
  <c r="AG67" i="13"/>
  <c r="AH67" i="13" s="1"/>
  <c r="AI66" i="13"/>
  <c r="AG66" i="13"/>
  <c r="AH66" i="13" s="1"/>
  <c r="AI65" i="13"/>
  <c r="AH65" i="13"/>
  <c r="AG65" i="13"/>
  <c r="AI64" i="13"/>
  <c r="AH64" i="13"/>
  <c r="AG64" i="13"/>
  <c r="AI63" i="13"/>
  <c r="AG63" i="13"/>
  <c r="AH63" i="13" s="1"/>
  <c r="AI62" i="13"/>
  <c r="AG62" i="13"/>
  <c r="AH62" i="13" s="1"/>
  <c r="AI61" i="13"/>
  <c r="AH61" i="13"/>
  <c r="AG61" i="13"/>
  <c r="AI60" i="13"/>
  <c r="AG60" i="13"/>
  <c r="AH60" i="13" s="1"/>
  <c r="AI59" i="13"/>
  <c r="AH59" i="13"/>
  <c r="AG59" i="13"/>
  <c r="AI58" i="13"/>
  <c r="AH58" i="13"/>
  <c r="AG58" i="13"/>
  <c r="AI57" i="13"/>
  <c r="AG57" i="13"/>
  <c r="AH57" i="13" s="1"/>
  <c r="AI56" i="13"/>
  <c r="AG56" i="13"/>
  <c r="AH56" i="13" s="1"/>
  <c r="AI55" i="13"/>
  <c r="AG55" i="13"/>
  <c r="AH55" i="13" s="1"/>
  <c r="AI54" i="13"/>
  <c r="AG54" i="13"/>
  <c r="AH54" i="13" s="1"/>
  <c r="AI53" i="13"/>
  <c r="AH53" i="13"/>
  <c r="AG53" i="13"/>
  <c r="AI52" i="13"/>
  <c r="AH52" i="13"/>
  <c r="AG52" i="13"/>
  <c r="AI51" i="13"/>
  <c r="AG51" i="13"/>
  <c r="AH51" i="13" s="1"/>
  <c r="AI50" i="13"/>
  <c r="AG50" i="13"/>
  <c r="AH50" i="13" s="1"/>
  <c r="AI49" i="13"/>
  <c r="AH49" i="13"/>
  <c r="AG49" i="13"/>
  <c r="AI48" i="13"/>
  <c r="AG48" i="13"/>
  <c r="AH48" i="13" s="1"/>
  <c r="AI47" i="13"/>
  <c r="AH47" i="13"/>
  <c r="AG47" i="13"/>
  <c r="AI46" i="13"/>
  <c r="AH46" i="13"/>
  <c r="AG46" i="13"/>
  <c r="AI45" i="13"/>
  <c r="AG45" i="13"/>
  <c r="AH45" i="13" s="1"/>
  <c r="AI44" i="13"/>
  <c r="AG44" i="13"/>
  <c r="AH44" i="13" s="1"/>
  <c r="AI43" i="13"/>
  <c r="AH43" i="13"/>
  <c r="AG43" i="13"/>
  <c r="AI42" i="13"/>
  <c r="AG42" i="13"/>
  <c r="AH42" i="13" s="1"/>
  <c r="AI41" i="13"/>
  <c r="AH41" i="13"/>
  <c r="AG41" i="13"/>
  <c r="AI40" i="13"/>
  <c r="AH40" i="13"/>
  <c r="AG40" i="13"/>
  <c r="AI39" i="13"/>
  <c r="AG39" i="13"/>
  <c r="AH39" i="13" s="1"/>
  <c r="AI38" i="13"/>
  <c r="AG38" i="13"/>
  <c r="AH38" i="13" s="1"/>
  <c r="AI37" i="13"/>
  <c r="AH37" i="13"/>
  <c r="AG37" i="13"/>
  <c r="AI36" i="13"/>
  <c r="AG36" i="13"/>
  <c r="AH36" i="13" s="1"/>
  <c r="AI35" i="13"/>
  <c r="AH35" i="13"/>
  <c r="AG35" i="13"/>
  <c r="AI34" i="13"/>
  <c r="AH34" i="13"/>
  <c r="AG34" i="13"/>
  <c r="AI33" i="13"/>
  <c r="AG33" i="13"/>
  <c r="AH33" i="13" s="1"/>
  <c r="AI32" i="13"/>
  <c r="AG32" i="13"/>
  <c r="AH32" i="13" s="1"/>
  <c r="AI31" i="13"/>
  <c r="AG31" i="13"/>
  <c r="AH31" i="13" s="1"/>
  <c r="AI30" i="13"/>
  <c r="AG30" i="13"/>
  <c r="AH30" i="13" s="1"/>
  <c r="AI29" i="13"/>
  <c r="AH29" i="13"/>
  <c r="AG29" i="13"/>
  <c r="AI28" i="13"/>
  <c r="AH28" i="13"/>
  <c r="AG28" i="13"/>
  <c r="AI27" i="13"/>
  <c r="AG27" i="13"/>
  <c r="AH27" i="13" s="1"/>
  <c r="AI26" i="13"/>
  <c r="AG26" i="13"/>
  <c r="AH26" i="13" s="1"/>
  <c r="AI25" i="13"/>
  <c r="AG25" i="13"/>
  <c r="AH25" i="13" s="1"/>
  <c r="AI24" i="13"/>
  <c r="AG24" i="13"/>
  <c r="AH24" i="13" s="1"/>
  <c r="AI23" i="13"/>
  <c r="AH23" i="13"/>
  <c r="AG23" i="13"/>
  <c r="AI22" i="13"/>
  <c r="AH22" i="13"/>
  <c r="AG22" i="13"/>
  <c r="AI21" i="13"/>
  <c r="AG21" i="13"/>
  <c r="AH21" i="13" s="1"/>
  <c r="AI20" i="13"/>
  <c r="AG20" i="13"/>
  <c r="AH20" i="13" s="1"/>
  <c r="AI19" i="13"/>
  <c r="AG19" i="13"/>
  <c r="AH19" i="13" s="1"/>
  <c r="AI18" i="13"/>
  <c r="AG18" i="13"/>
  <c r="AH18" i="13" s="1"/>
  <c r="AI17" i="13"/>
  <c r="AH17" i="13"/>
  <c r="AG17" i="13"/>
  <c r="AI16" i="13"/>
  <c r="AH16" i="13"/>
  <c r="AG16" i="13"/>
  <c r="AI15" i="13"/>
  <c r="AG15" i="13"/>
  <c r="AH15" i="13" s="1"/>
  <c r="AI14" i="13"/>
  <c r="AG14" i="13"/>
  <c r="AH14" i="13" s="1"/>
  <c r="AI13" i="13"/>
  <c r="AH13" i="13"/>
  <c r="AG13" i="13"/>
  <c r="AI12" i="13"/>
  <c r="AG12" i="13"/>
  <c r="AH12" i="13" s="1"/>
  <c r="AI11" i="13"/>
  <c r="AH11" i="13"/>
  <c r="AG11" i="13"/>
  <c r="AI10" i="13"/>
  <c r="AH10" i="13"/>
  <c r="AG10" i="13"/>
  <c r="AI9" i="13"/>
  <c r="AG9" i="13"/>
  <c r="AH9" i="13" s="1"/>
  <c r="AI8" i="13"/>
  <c r="AG8" i="13"/>
  <c r="AH8" i="13" s="1"/>
  <c r="AI7" i="13"/>
  <c r="AH7" i="13"/>
  <c r="AG7" i="13"/>
  <c r="AI6" i="13"/>
  <c r="AG6" i="13"/>
  <c r="AH6" i="13" s="1"/>
  <c r="AI5" i="13"/>
  <c r="AH5" i="13"/>
  <c r="AG5" i="13"/>
  <c r="AI4" i="13"/>
  <c r="AH4" i="13"/>
  <c r="AJ3" i="13" s="1"/>
  <c r="AG4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AJ134" i="12"/>
  <c r="AH134" i="12"/>
  <c r="AI134" i="12" s="1"/>
  <c r="AJ133" i="12"/>
  <c r="AH133" i="12"/>
  <c r="AJ132" i="12"/>
  <c r="AH132" i="12"/>
  <c r="AI132" i="12" s="1"/>
  <c r="AJ131" i="12"/>
  <c r="AH131" i="12"/>
  <c r="AI131" i="12" s="1"/>
  <c r="AJ130" i="12"/>
  <c r="AI130" i="12"/>
  <c r="AH130" i="12"/>
  <c r="AJ129" i="12"/>
  <c r="AH129" i="12"/>
  <c r="AI129" i="12" s="1"/>
  <c r="AJ128" i="12"/>
  <c r="AI128" i="12"/>
  <c r="AH128" i="12"/>
  <c r="AJ127" i="12"/>
  <c r="AI127" i="12"/>
  <c r="AH127" i="12"/>
  <c r="AJ126" i="12"/>
  <c r="AH126" i="12"/>
  <c r="AI126" i="12" s="1"/>
  <c r="AJ125" i="12"/>
  <c r="AH125" i="12"/>
  <c r="AI125" i="12" s="1"/>
  <c r="AJ124" i="12"/>
  <c r="AI124" i="12"/>
  <c r="AH124" i="12"/>
  <c r="AJ123" i="12"/>
  <c r="AH123" i="12"/>
  <c r="AI123" i="12" s="1"/>
  <c r="AJ122" i="12"/>
  <c r="AI122" i="12"/>
  <c r="AH122" i="12"/>
  <c r="AJ121" i="12"/>
  <c r="AI121" i="12"/>
  <c r="AH121" i="12"/>
  <c r="AJ120" i="12"/>
  <c r="AH120" i="12"/>
  <c r="AI120" i="12" s="1"/>
  <c r="AJ119" i="12"/>
  <c r="AH119" i="12"/>
  <c r="AI119" i="12" s="1"/>
  <c r="AJ118" i="12"/>
  <c r="AH118" i="12"/>
  <c r="AI118" i="12" s="1"/>
  <c r="AJ117" i="12"/>
  <c r="AH117" i="12"/>
  <c r="AI117" i="12" s="1"/>
  <c r="AJ116" i="12"/>
  <c r="AI116" i="12"/>
  <c r="AH116" i="12"/>
  <c r="AJ115" i="12"/>
  <c r="AI115" i="12"/>
  <c r="AH115" i="12"/>
  <c r="AJ114" i="12"/>
  <c r="AH114" i="12"/>
  <c r="AI114" i="12" s="1"/>
  <c r="AJ113" i="12"/>
  <c r="AH113" i="12"/>
  <c r="AI113" i="12" s="1"/>
  <c r="AJ112" i="12"/>
  <c r="AH112" i="12"/>
  <c r="AI112" i="12" s="1"/>
  <c r="AJ111" i="12"/>
  <c r="AH111" i="12"/>
  <c r="AI111" i="12" s="1"/>
  <c r="AJ110" i="12"/>
  <c r="AI110" i="12"/>
  <c r="AH110" i="12"/>
  <c r="AJ109" i="12"/>
  <c r="AI109" i="12"/>
  <c r="AH109" i="12"/>
  <c r="AJ108" i="12"/>
  <c r="AH108" i="12"/>
  <c r="AI108" i="12" s="1"/>
  <c r="AJ107" i="12"/>
  <c r="AH107" i="12"/>
  <c r="AI107" i="12" s="1"/>
  <c r="AJ106" i="12"/>
  <c r="AH106" i="12"/>
  <c r="AI106" i="12" s="1"/>
  <c r="AJ105" i="12"/>
  <c r="AH105" i="12"/>
  <c r="AI105" i="12" s="1"/>
  <c r="AJ104" i="12"/>
  <c r="AI104" i="12"/>
  <c r="AH104" i="12"/>
  <c r="AJ103" i="12"/>
  <c r="AI103" i="12"/>
  <c r="AH103" i="12"/>
  <c r="AJ102" i="12"/>
  <c r="AH102" i="12"/>
  <c r="AI102" i="12" s="1"/>
  <c r="AJ101" i="12"/>
  <c r="AH101" i="12"/>
  <c r="AI101" i="12" s="1"/>
  <c r="AJ100" i="12"/>
  <c r="AH100" i="12"/>
  <c r="AI100" i="12" s="1"/>
  <c r="AJ99" i="12"/>
  <c r="AH99" i="12"/>
  <c r="AI99" i="12" s="1"/>
  <c r="AJ98" i="12"/>
  <c r="AI98" i="12"/>
  <c r="AH98" i="12"/>
  <c r="AJ97" i="12"/>
  <c r="AI97" i="12"/>
  <c r="AH97" i="12"/>
  <c r="AJ96" i="12"/>
  <c r="AH96" i="12"/>
  <c r="AI96" i="12" s="1"/>
  <c r="AJ95" i="12"/>
  <c r="AH95" i="12"/>
  <c r="AI95" i="12" s="1"/>
  <c r="AJ94" i="12"/>
  <c r="AI94" i="12"/>
  <c r="AH94" i="12"/>
  <c r="AJ93" i="12"/>
  <c r="AH93" i="12"/>
  <c r="AI93" i="12" s="1"/>
  <c r="AJ92" i="12"/>
  <c r="AI92" i="12"/>
  <c r="AH92" i="12"/>
  <c r="AJ91" i="12"/>
  <c r="AH91" i="12"/>
  <c r="AJ90" i="12"/>
  <c r="AH90" i="12"/>
  <c r="AJ89" i="12"/>
  <c r="AI89" i="12"/>
  <c r="AH89" i="12"/>
  <c r="AJ88" i="12"/>
  <c r="AI88" i="12"/>
  <c r="AH88" i="12"/>
  <c r="AJ87" i="12"/>
  <c r="AI87" i="12"/>
  <c r="AH87" i="12"/>
  <c r="AJ86" i="12"/>
  <c r="AI86" i="12"/>
  <c r="AH86" i="12"/>
  <c r="AJ85" i="12"/>
  <c r="AH85" i="12"/>
  <c r="AI85" i="12" s="1"/>
  <c r="AJ84" i="12"/>
  <c r="AH84" i="12"/>
  <c r="AI84" i="12" s="1"/>
  <c r="AJ83" i="12"/>
  <c r="AI83" i="12"/>
  <c r="AH83" i="12"/>
  <c r="AJ82" i="12"/>
  <c r="AI82" i="12"/>
  <c r="AH82" i="12"/>
  <c r="AJ81" i="12"/>
  <c r="AI81" i="12"/>
  <c r="AH81" i="12"/>
  <c r="AJ80" i="12"/>
  <c r="AI80" i="12"/>
  <c r="AH80" i="12"/>
  <c r="AJ79" i="12"/>
  <c r="AH79" i="12"/>
  <c r="AI79" i="12" s="1"/>
  <c r="AJ78" i="12"/>
  <c r="AH78" i="12"/>
  <c r="AI78" i="12" s="1"/>
  <c r="AJ77" i="12"/>
  <c r="AI77" i="12"/>
  <c r="AH77" i="12"/>
  <c r="AJ76" i="12"/>
  <c r="AH76" i="12"/>
  <c r="AI76" i="12" s="1"/>
  <c r="AJ75" i="12"/>
  <c r="AI75" i="12"/>
  <c r="AH75" i="12"/>
  <c r="AJ74" i="12"/>
  <c r="AI74" i="12"/>
  <c r="AH74" i="12"/>
  <c r="AJ73" i="12"/>
  <c r="AH73" i="12"/>
  <c r="AI73" i="12" s="1"/>
  <c r="AJ72" i="12"/>
  <c r="AH72" i="12"/>
  <c r="AI72" i="12" s="1"/>
  <c r="AJ71" i="12"/>
  <c r="AI71" i="12"/>
  <c r="AH71" i="12"/>
  <c r="AJ70" i="12"/>
  <c r="AH70" i="12"/>
  <c r="AI70" i="12" s="1"/>
  <c r="AJ69" i="12"/>
  <c r="AI69" i="12"/>
  <c r="AH69" i="12"/>
  <c r="AJ68" i="12"/>
  <c r="AI68" i="12"/>
  <c r="AH68" i="12"/>
  <c r="AJ67" i="12"/>
  <c r="AH67" i="12"/>
  <c r="AI67" i="12" s="1"/>
  <c r="AJ66" i="12"/>
  <c r="AH66" i="12"/>
  <c r="AJ65" i="12"/>
  <c r="AH65" i="12"/>
  <c r="AI65" i="12" s="1"/>
  <c r="AJ64" i="12"/>
  <c r="AH64" i="12"/>
  <c r="AI64" i="12" s="1"/>
  <c r="AJ63" i="12"/>
  <c r="AI63" i="12"/>
  <c r="AH63" i="12"/>
  <c r="AJ62" i="12"/>
  <c r="AH62" i="12"/>
  <c r="AI62" i="12" s="1"/>
  <c r="AJ61" i="12"/>
  <c r="AI61" i="12"/>
  <c r="AH61" i="12"/>
  <c r="AJ60" i="12"/>
  <c r="AI60" i="12"/>
  <c r="AH60" i="12"/>
  <c r="AJ59" i="12"/>
  <c r="AH59" i="12"/>
  <c r="AI59" i="12" s="1"/>
  <c r="AJ58" i="12"/>
  <c r="AH58" i="12"/>
  <c r="AI58" i="12" s="1"/>
  <c r="AJ57" i="12"/>
  <c r="AI57" i="12"/>
  <c r="AH57" i="12"/>
  <c r="AJ56" i="12"/>
  <c r="AH56" i="12"/>
  <c r="AI56" i="12" s="1"/>
  <c r="AJ55" i="12"/>
  <c r="AI55" i="12"/>
  <c r="AH55" i="12"/>
  <c r="AJ54" i="12"/>
  <c r="AI54" i="12"/>
  <c r="AH54" i="12"/>
  <c r="AJ53" i="12"/>
  <c r="AH53" i="12"/>
  <c r="AI53" i="12" s="1"/>
  <c r="AJ52" i="12"/>
  <c r="AH52" i="12"/>
  <c r="AI52" i="12" s="1"/>
  <c r="AJ51" i="12"/>
  <c r="AH51" i="12"/>
  <c r="AI51" i="12" s="1"/>
  <c r="AJ50" i="12"/>
  <c r="AH50" i="12"/>
  <c r="AI50" i="12" s="1"/>
  <c r="AJ49" i="12"/>
  <c r="AI49" i="12"/>
  <c r="AH49" i="12"/>
  <c r="AJ48" i="12"/>
  <c r="AI48" i="12"/>
  <c r="AH48" i="12"/>
  <c r="AJ47" i="12"/>
  <c r="AH47" i="12"/>
  <c r="AI47" i="12" s="1"/>
  <c r="AJ46" i="12"/>
  <c r="AH46" i="12"/>
  <c r="AI46" i="12" s="1"/>
  <c r="AJ45" i="12"/>
  <c r="AH45" i="12"/>
  <c r="AI45" i="12" s="1"/>
  <c r="AJ44" i="12"/>
  <c r="AH44" i="12"/>
  <c r="AI44" i="12" s="1"/>
  <c r="AJ43" i="12"/>
  <c r="AI43" i="12"/>
  <c r="AH43" i="12"/>
  <c r="AJ42" i="12"/>
  <c r="AI42" i="12"/>
  <c r="AH42" i="12"/>
  <c r="AJ41" i="12"/>
  <c r="AH41" i="12"/>
  <c r="AI41" i="12" s="1"/>
  <c r="AJ40" i="12"/>
  <c r="AH40" i="12"/>
  <c r="AI40" i="12" s="1"/>
  <c r="AJ39" i="12"/>
  <c r="AH39" i="12"/>
  <c r="AI39" i="12" s="1"/>
  <c r="AJ38" i="12"/>
  <c r="AH38" i="12"/>
  <c r="AI38" i="12" s="1"/>
  <c r="AJ37" i="12"/>
  <c r="AI37" i="12"/>
  <c r="AH37" i="12"/>
  <c r="AJ36" i="12"/>
  <c r="AI36" i="12"/>
  <c r="AH36" i="12"/>
  <c r="AJ35" i="12"/>
  <c r="AH35" i="12"/>
  <c r="AI35" i="12" s="1"/>
  <c r="AJ34" i="12"/>
  <c r="AH34" i="12"/>
  <c r="AI34" i="12" s="1"/>
  <c r="AJ33" i="12"/>
  <c r="AH33" i="12"/>
  <c r="AI33" i="12" s="1"/>
  <c r="AJ32" i="12"/>
  <c r="AH32" i="12"/>
  <c r="AI32" i="12" s="1"/>
  <c r="AJ31" i="12"/>
  <c r="AI31" i="12"/>
  <c r="AH31" i="12"/>
  <c r="AJ30" i="12"/>
  <c r="AI30" i="12"/>
  <c r="AH30" i="12"/>
  <c r="AJ29" i="12"/>
  <c r="AH29" i="12"/>
  <c r="AJ28" i="12"/>
  <c r="AI28" i="12"/>
  <c r="AH28" i="12"/>
  <c r="AJ27" i="12"/>
  <c r="AH27" i="12"/>
  <c r="AI27" i="12" s="1"/>
  <c r="AJ26" i="12"/>
  <c r="AI26" i="12"/>
  <c r="AH26" i="12"/>
  <c r="AJ25" i="12"/>
  <c r="AH25" i="12"/>
  <c r="AI25" i="12" s="1"/>
  <c r="AJ24" i="12"/>
  <c r="AH24" i="12"/>
  <c r="AI24" i="12" s="1"/>
  <c r="AJ23" i="12"/>
  <c r="AI23" i="12"/>
  <c r="AH23" i="12"/>
  <c r="AJ22" i="12"/>
  <c r="AI22" i="12"/>
  <c r="AH22" i="12"/>
  <c r="AJ21" i="12"/>
  <c r="AH21" i="12"/>
  <c r="AI21" i="12" s="1"/>
  <c r="AJ20" i="12"/>
  <c r="AI20" i="12"/>
  <c r="AH20" i="12"/>
  <c r="AJ19" i="12"/>
  <c r="AH19" i="12"/>
  <c r="AI19" i="12" s="1"/>
  <c r="AJ18" i="12"/>
  <c r="AH18" i="12"/>
  <c r="AI18" i="12" s="1"/>
  <c r="AJ17" i="12"/>
  <c r="AI17" i="12"/>
  <c r="AH17" i="12"/>
  <c r="AJ16" i="12"/>
  <c r="AI16" i="12"/>
  <c r="AH16" i="12"/>
  <c r="AJ15" i="12"/>
  <c r="AI15" i="12"/>
  <c r="AH15" i="12"/>
  <c r="AJ14" i="12"/>
  <c r="AI14" i="12"/>
  <c r="AH14" i="12"/>
  <c r="AJ13" i="12"/>
  <c r="AH13" i="12"/>
  <c r="AI13" i="12" s="1"/>
  <c r="AJ12" i="12"/>
  <c r="AH12" i="12"/>
  <c r="AI12" i="12" s="1"/>
  <c r="AJ11" i="12"/>
  <c r="AI11" i="12"/>
  <c r="AH11" i="12"/>
  <c r="AJ10" i="12"/>
  <c r="AI10" i="12"/>
  <c r="AH10" i="12"/>
  <c r="AJ9" i="12"/>
  <c r="AH9" i="12"/>
  <c r="AI9" i="12" s="1"/>
  <c r="AJ8" i="12"/>
  <c r="AI8" i="12"/>
  <c r="AH8" i="12"/>
  <c r="AJ7" i="12"/>
  <c r="AH7" i="12"/>
  <c r="AI7" i="12" s="1"/>
  <c r="AJ6" i="12"/>
  <c r="AH6" i="12"/>
  <c r="AI6" i="12" s="1"/>
  <c r="AJ5" i="12"/>
  <c r="AI5" i="12"/>
  <c r="AH5" i="12"/>
  <c r="AJ4" i="12"/>
  <c r="AI4" i="12"/>
  <c r="AK3" i="12" s="1"/>
  <c r="AH4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AH134" i="11"/>
  <c r="AG134" i="11"/>
  <c r="AF134" i="11"/>
  <c r="AH133" i="11"/>
  <c r="AG133" i="11"/>
  <c r="AF133" i="11"/>
  <c r="AH132" i="11"/>
  <c r="AF132" i="11"/>
  <c r="AG132" i="11" s="1"/>
  <c r="AH131" i="11"/>
  <c r="AG131" i="11"/>
  <c r="AF131" i="11"/>
  <c r="AH130" i="11"/>
  <c r="AF130" i="11"/>
  <c r="AG130" i="11" s="1"/>
  <c r="AH129" i="11"/>
  <c r="AF129" i="11"/>
  <c r="AG129" i="11" s="1"/>
  <c r="AH128" i="11"/>
  <c r="AG128" i="11"/>
  <c r="AF128" i="11"/>
  <c r="AH127" i="11"/>
  <c r="AG127" i="11"/>
  <c r="AF127" i="11"/>
  <c r="AH126" i="11"/>
  <c r="AF126" i="11"/>
  <c r="AG126" i="11" s="1"/>
  <c r="AH125" i="11"/>
  <c r="AG125" i="11"/>
  <c r="AF125" i="11"/>
  <c r="AH124" i="11"/>
  <c r="AF124" i="11"/>
  <c r="AG124" i="11" s="1"/>
  <c r="AH123" i="11"/>
  <c r="AF123" i="11"/>
  <c r="AG123" i="11" s="1"/>
  <c r="AH122" i="11"/>
  <c r="AG122" i="11"/>
  <c r="AF122" i="11"/>
  <c r="AH121" i="11"/>
  <c r="AF121" i="11"/>
  <c r="AG121" i="11" s="1"/>
  <c r="AH120" i="11"/>
  <c r="AF120" i="11"/>
  <c r="AG120" i="11" s="1"/>
  <c r="AH119" i="11"/>
  <c r="AG119" i="11"/>
  <c r="AF119" i="11"/>
  <c r="AH118" i="11"/>
  <c r="AF118" i="11"/>
  <c r="AG118" i="11" s="1"/>
  <c r="AH117" i="11"/>
  <c r="AF117" i="11"/>
  <c r="AG117" i="11" s="1"/>
  <c r="AH116" i="11"/>
  <c r="AG116" i="11"/>
  <c r="AF116" i="11"/>
  <c r="AH115" i="11"/>
  <c r="AF115" i="11"/>
  <c r="AG115" i="11" s="1"/>
  <c r="AH114" i="11"/>
  <c r="AG114" i="11"/>
  <c r="AF114" i="11"/>
  <c r="AH113" i="11"/>
  <c r="AG113" i="11"/>
  <c r="AF113" i="11"/>
  <c r="AH112" i="11"/>
  <c r="AF112" i="11"/>
  <c r="AG112" i="11" s="1"/>
  <c r="AH111" i="11"/>
  <c r="AF111" i="11"/>
  <c r="AG111" i="11" s="1"/>
  <c r="AH110" i="11"/>
  <c r="AG110" i="11"/>
  <c r="AF110" i="11"/>
  <c r="AH109" i="11"/>
  <c r="AG109" i="11"/>
  <c r="AF109" i="11"/>
  <c r="AH108" i="11"/>
  <c r="AF108" i="11"/>
  <c r="AG108" i="11" s="1"/>
  <c r="AH107" i="11"/>
  <c r="AG107" i="11"/>
  <c r="AF107" i="11"/>
  <c r="AH106" i="11"/>
  <c r="AF106" i="11"/>
  <c r="AG106" i="11" s="1"/>
  <c r="AH105" i="11"/>
  <c r="AF105" i="11"/>
  <c r="AG105" i="11" s="1"/>
  <c r="AH104" i="11"/>
  <c r="AG104" i="11"/>
  <c r="AF104" i="11"/>
  <c r="AH103" i="11"/>
  <c r="AG103" i="11"/>
  <c r="AF103" i="11"/>
  <c r="AH102" i="11"/>
  <c r="AF102" i="11"/>
  <c r="AG102" i="11" s="1"/>
  <c r="AH101" i="11"/>
  <c r="AG101" i="11"/>
  <c r="AF101" i="11"/>
  <c r="AH100" i="11"/>
  <c r="AF100" i="11"/>
  <c r="AG100" i="11" s="1"/>
  <c r="AH99" i="11"/>
  <c r="AF99" i="11"/>
  <c r="AG99" i="11" s="1"/>
  <c r="AH98" i="11"/>
  <c r="AG98" i="11"/>
  <c r="AF98" i="11"/>
  <c r="AH97" i="11"/>
  <c r="AF97" i="11"/>
  <c r="AG97" i="11" s="1"/>
  <c r="AH96" i="11"/>
  <c r="AF96" i="11"/>
  <c r="AG96" i="11" s="1"/>
  <c r="AH95" i="11"/>
  <c r="AG95" i="11"/>
  <c r="AF95" i="11"/>
  <c r="AH94" i="11"/>
  <c r="AF94" i="11"/>
  <c r="AG94" i="11" s="1"/>
  <c r="AH93" i="11"/>
  <c r="AF93" i="11"/>
  <c r="AG93" i="11" s="1"/>
  <c r="AH92" i="11"/>
  <c r="AG92" i="11"/>
  <c r="AF92" i="11"/>
  <c r="AH91" i="11"/>
  <c r="AF91" i="11"/>
  <c r="AG91" i="11" s="1"/>
  <c r="AH90" i="11"/>
  <c r="AF90" i="11"/>
  <c r="AG90" i="11" s="1"/>
  <c r="AH89" i="11"/>
  <c r="AG89" i="11"/>
  <c r="AF89" i="11"/>
  <c r="AH88" i="11"/>
  <c r="AF88" i="11"/>
  <c r="AG88" i="11" s="1"/>
  <c r="AH87" i="11"/>
  <c r="AF87" i="11"/>
  <c r="AG87" i="11" s="1"/>
  <c r="AH86" i="11"/>
  <c r="AG86" i="11"/>
  <c r="AF86" i="11"/>
  <c r="AH85" i="11"/>
  <c r="AG85" i="11"/>
  <c r="AF85" i="11"/>
  <c r="AH84" i="11"/>
  <c r="AG84" i="11"/>
  <c r="AF84" i="11"/>
  <c r="AH83" i="11"/>
  <c r="AG83" i="11"/>
  <c r="AF83" i="11"/>
  <c r="AH82" i="11"/>
  <c r="AF82" i="11"/>
  <c r="AG82" i="11" s="1"/>
  <c r="AH81" i="11"/>
  <c r="AF81" i="11"/>
  <c r="AG81" i="11" s="1"/>
  <c r="AH80" i="11"/>
  <c r="AG80" i="11"/>
  <c r="AF80" i="11"/>
  <c r="AH79" i="11"/>
  <c r="AG79" i="11"/>
  <c r="AF79" i="11"/>
  <c r="AH78" i="11"/>
  <c r="AF78" i="11"/>
  <c r="AG78" i="11" s="1"/>
  <c r="AH77" i="11"/>
  <c r="AG77" i="11"/>
  <c r="AF77" i="11"/>
  <c r="AH76" i="11"/>
  <c r="AF76" i="11"/>
  <c r="AG76" i="11" s="1"/>
  <c r="AH75" i="11"/>
  <c r="AF75" i="11"/>
  <c r="AG75" i="11" s="1"/>
  <c r="AH74" i="11"/>
  <c r="AG74" i="11"/>
  <c r="AF74" i="11"/>
  <c r="AH73" i="11"/>
  <c r="AG73" i="11"/>
  <c r="AF73" i="11"/>
  <c r="AH72" i="11"/>
  <c r="AF72" i="11"/>
  <c r="AG72" i="11" s="1"/>
  <c r="AH71" i="11"/>
  <c r="AG71" i="11"/>
  <c r="AF71" i="11"/>
  <c r="AH70" i="11"/>
  <c r="AF70" i="11"/>
  <c r="AG70" i="11" s="1"/>
  <c r="AH69" i="11"/>
  <c r="AF69" i="11"/>
  <c r="AG69" i="11" s="1"/>
  <c r="AH68" i="11"/>
  <c r="AG68" i="11"/>
  <c r="AF68" i="11"/>
  <c r="AH67" i="11"/>
  <c r="AG67" i="11"/>
  <c r="AF67" i="11"/>
  <c r="AH66" i="11"/>
  <c r="AF66" i="11"/>
  <c r="AG66" i="11" s="1"/>
  <c r="AH65" i="11"/>
  <c r="AG65" i="11"/>
  <c r="AF65" i="11"/>
  <c r="AH64" i="11"/>
  <c r="AF64" i="11"/>
  <c r="AG64" i="11" s="1"/>
  <c r="AH63" i="11"/>
  <c r="AF63" i="11"/>
  <c r="AG63" i="11" s="1"/>
  <c r="AH62" i="11"/>
  <c r="AG62" i="11"/>
  <c r="AF62" i="11"/>
  <c r="AH61" i="11"/>
  <c r="AF61" i="11"/>
  <c r="AG61" i="11" s="1"/>
  <c r="AH60" i="11"/>
  <c r="AG60" i="11"/>
  <c r="AF60" i="11"/>
  <c r="AH59" i="11"/>
  <c r="AG59" i="11"/>
  <c r="AF59" i="11"/>
  <c r="AH58" i="11"/>
  <c r="AF58" i="11"/>
  <c r="AG58" i="11" s="1"/>
  <c r="AH57" i="11"/>
  <c r="AF57" i="11"/>
  <c r="AG57" i="11" s="1"/>
  <c r="AH56" i="11"/>
  <c r="AG56" i="11"/>
  <c r="AF56" i="11"/>
  <c r="AH55" i="11"/>
  <c r="AG55" i="11"/>
  <c r="AF55" i="11"/>
  <c r="AH54" i="11"/>
  <c r="AF54" i="11"/>
  <c r="AG54" i="11" s="1"/>
  <c r="AH53" i="11"/>
  <c r="AG53" i="11"/>
  <c r="AF53" i="11"/>
  <c r="AH52" i="11"/>
  <c r="AF52" i="11"/>
  <c r="AG52" i="11" s="1"/>
  <c r="AH51" i="11"/>
  <c r="AF51" i="11"/>
  <c r="AG51" i="11" s="1"/>
  <c r="AH50" i="11"/>
  <c r="AG50" i="11"/>
  <c r="AF50" i="11"/>
  <c r="AH49" i="11"/>
  <c r="AG49" i="11"/>
  <c r="AF49" i="11"/>
  <c r="AH48" i="11"/>
  <c r="AF48" i="11"/>
  <c r="AG48" i="11" s="1"/>
  <c r="AH47" i="11"/>
  <c r="AG47" i="11"/>
  <c r="AF47" i="11"/>
  <c r="AH46" i="11"/>
  <c r="AF46" i="11"/>
  <c r="AG46" i="11" s="1"/>
  <c r="AH45" i="11"/>
  <c r="AF45" i="11"/>
  <c r="AG45" i="11" s="1"/>
  <c r="AH44" i="11"/>
  <c r="AG44" i="11"/>
  <c r="AF44" i="11"/>
  <c r="AH43" i="11"/>
  <c r="AF43" i="11"/>
  <c r="AG43" i="11" s="1"/>
  <c r="AH42" i="11"/>
  <c r="AF42" i="11"/>
  <c r="AG42" i="11" s="1"/>
  <c r="AH41" i="11"/>
  <c r="AG41" i="11"/>
  <c r="AF41" i="11"/>
  <c r="AH40" i="11"/>
  <c r="AF40" i="11"/>
  <c r="AG40" i="11" s="1"/>
  <c r="AH39" i="11"/>
  <c r="AF39" i="11"/>
  <c r="AG39" i="11" s="1"/>
  <c r="AH38" i="11"/>
  <c r="AG38" i="11"/>
  <c r="AF38" i="11"/>
  <c r="AH37" i="11"/>
  <c r="AF37" i="11"/>
  <c r="AG37" i="11" s="1"/>
  <c r="AH36" i="11"/>
  <c r="AF36" i="11"/>
  <c r="AG36" i="11" s="1"/>
  <c r="AH35" i="11"/>
  <c r="AG35" i="11"/>
  <c r="AF35" i="11"/>
  <c r="AH34" i="11"/>
  <c r="AF34" i="11"/>
  <c r="AG34" i="11" s="1"/>
  <c r="AH33" i="11"/>
  <c r="AF33" i="11"/>
  <c r="AH32" i="11"/>
  <c r="AF32" i="11"/>
  <c r="AH31" i="11"/>
  <c r="AG31" i="11"/>
  <c r="AF31" i="11"/>
  <c r="AH30" i="11"/>
  <c r="AF30" i="11"/>
  <c r="AG30" i="11" s="1"/>
  <c r="AH29" i="11"/>
  <c r="AG29" i="11"/>
  <c r="AF29" i="11"/>
  <c r="AH28" i="11"/>
  <c r="AF28" i="11"/>
  <c r="AG28" i="11" s="1"/>
  <c r="AH27" i="11"/>
  <c r="AF27" i="11"/>
  <c r="AG27" i="11" s="1"/>
  <c r="AH26" i="11"/>
  <c r="AG26" i="11"/>
  <c r="AF26" i="11"/>
  <c r="AH25" i="11"/>
  <c r="AG25" i="11"/>
  <c r="AF25" i="11"/>
  <c r="AH24" i="11"/>
  <c r="AF24" i="11"/>
  <c r="AG24" i="11" s="1"/>
  <c r="AH23" i="11"/>
  <c r="AG23" i="11"/>
  <c r="AF23" i="11"/>
  <c r="AH22" i="11"/>
  <c r="AF22" i="11"/>
  <c r="AG22" i="11" s="1"/>
  <c r="AH21" i="11"/>
  <c r="AF21" i="11"/>
  <c r="AG21" i="11" s="1"/>
  <c r="AH20" i="11"/>
  <c r="AF20" i="11"/>
  <c r="AH19" i="11"/>
  <c r="AF19" i="11"/>
  <c r="AH18" i="11"/>
  <c r="AF18" i="11"/>
  <c r="AG18" i="11" s="1"/>
  <c r="AH17" i="11"/>
  <c r="AG17" i="11"/>
  <c r="AF17" i="11"/>
  <c r="AH16" i="11"/>
  <c r="AF16" i="11"/>
  <c r="AG16" i="11" s="1"/>
  <c r="AH15" i="11"/>
  <c r="AG15" i="11"/>
  <c r="AF15" i="11"/>
  <c r="AH14" i="11"/>
  <c r="AF14" i="11"/>
  <c r="AH13" i="11"/>
  <c r="AG13" i="11"/>
  <c r="AF13" i="11"/>
  <c r="AH12" i="11"/>
  <c r="AF12" i="11"/>
  <c r="AH11" i="11"/>
  <c r="AF11" i="11"/>
  <c r="AG11" i="11" s="1"/>
  <c r="AH10" i="11"/>
  <c r="AG10" i="11"/>
  <c r="AF10" i="11"/>
  <c r="AH9" i="11"/>
  <c r="AG9" i="11"/>
  <c r="AF9" i="11"/>
  <c r="AH8" i="11"/>
  <c r="AF8" i="11"/>
  <c r="AG8" i="11" s="1"/>
  <c r="AH7" i="11"/>
  <c r="AF7" i="11"/>
  <c r="AG7" i="11" s="1"/>
  <c r="AH6" i="11"/>
  <c r="AG6" i="11"/>
  <c r="AF6" i="11"/>
  <c r="AH5" i="11"/>
  <c r="AG5" i="11"/>
  <c r="AI3" i="11" s="1"/>
  <c r="AF5" i="11"/>
  <c r="AH4" i="11"/>
  <c r="AF4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AJ134" i="10"/>
  <c r="AH134" i="10"/>
  <c r="AJ133" i="10"/>
  <c r="AH133" i="10"/>
  <c r="AJ132" i="10"/>
  <c r="AH132" i="10"/>
  <c r="AJ131" i="10"/>
  <c r="AH131" i="10"/>
  <c r="AI131" i="10" s="1"/>
  <c r="AJ130" i="10"/>
  <c r="AI130" i="10"/>
  <c r="AH130" i="10"/>
  <c r="AJ129" i="10"/>
  <c r="AI129" i="10"/>
  <c r="AH129" i="10"/>
  <c r="AJ128" i="10"/>
  <c r="AH128" i="10"/>
  <c r="AI128" i="10" s="1"/>
  <c r="AJ127" i="10"/>
  <c r="AH127" i="10"/>
  <c r="AI127" i="10" s="1"/>
  <c r="AJ126" i="10"/>
  <c r="AI126" i="10"/>
  <c r="AH126" i="10"/>
  <c r="AJ125" i="10"/>
  <c r="AH125" i="10"/>
  <c r="AI125" i="10" s="1"/>
  <c r="AJ124" i="10"/>
  <c r="AI124" i="10"/>
  <c r="AH124" i="10"/>
  <c r="AJ123" i="10"/>
  <c r="AI123" i="10"/>
  <c r="AH123" i="10"/>
  <c r="AJ122" i="10"/>
  <c r="AH122" i="10"/>
  <c r="AI122" i="10" s="1"/>
  <c r="AJ121" i="10"/>
  <c r="AH121" i="10"/>
  <c r="AI121" i="10" s="1"/>
  <c r="AJ120" i="10"/>
  <c r="AH120" i="10"/>
  <c r="AI120" i="10" s="1"/>
  <c r="AJ119" i="10"/>
  <c r="AH119" i="10"/>
  <c r="AI119" i="10" s="1"/>
  <c r="AJ118" i="10"/>
  <c r="AI118" i="10"/>
  <c r="AH118" i="10"/>
  <c r="AJ117" i="10"/>
  <c r="AI117" i="10"/>
  <c r="AH117" i="10"/>
  <c r="AJ116" i="10"/>
  <c r="AH116" i="10"/>
  <c r="AI116" i="10" s="1"/>
  <c r="AJ115" i="10"/>
  <c r="AH115" i="10"/>
  <c r="AI115" i="10" s="1"/>
  <c r="AJ114" i="10"/>
  <c r="AI114" i="10"/>
  <c r="AH114" i="10"/>
  <c r="AJ113" i="10"/>
  <c r="AH113" i="10"/>
  <c r="AI113" i="10" s="1"/>
  <c r="AJ112" i="10"/>
  <c r="AI112" i="10"/>
  <c r="AH112" i="10"/>
  <c r="AJ111" i="10"/>
  <c r="AI111" i="10"/>
  <c r="AH111" i="10"/>
  <c r="AJ110" i="10"/>
  <c r="AH110" i="10"/>
  <c r="AI110" i="10" s="1"/>
  <c r="AJ109" i="10"/>
  <c r="AH109" i="10"/>
  <c r="AI109" i="10" s="1"/>
  <c r="AJ108" i="10"/>
  <c r="AI108" i="10"/>
  <c r="AH108" i="10"/>
  <c r="AJ107" i="10"/>
  <c r="AH107" i="10"/>
  <c r="AI107" i="10" s="1"/>
  <c r="AJ106" i="10"/>
  <c r="AI106" i="10"/>
  <c r="AH106" i="10"/>
  <c r="AJ105" i="10"/>
  <c r="AI105" i="10"/>
  <c r="AH105" i="10"/>
  <c r="AJ104" i="10"/>
  <c r="AH104" i="10"/>
  <c r="AI104" i="10" s="1"/>
  <c r="AJ103" i="10"/>
  <c r="AH103" i="10"/>
  <c r="AI103" i="10" s="1"/>
  <c r="AJ102" i="10"/>
  <c r="AI102" i="10"/>
  <c r="AH102" i="10"/>
  <c r="AJ101" i="10"/>
  <c r="AH101" i="10"/>
  <c r="AI101" i="10" s="1"/>
  <c r="AJ100" i="10"/>
  <c r="AI100" i="10"/>
  <c r="AH100" i="10"/>
  <c r="AJ99" i="10"/>
  <c r="AI99" i="10"/>
  <c r="AH99" i="10"/>
  <c r="AJ98" i="10"/>
  <c r="AH98" i="10"/>
  <c r="AI98" i="10" s="1"/>
  <c r="AJ97" i="10"/>
  <c r="AH97" i="10"/>
  <c r="AI97" i="10" s="1"/>
  <c r="AJ96" i="10"/>
  <c r="AH96" i="10"/>
  <c r="AI96" i="10" s="1"/>
  <c r="AJ95" i="10"/>
  <c r="AH95" i="10"/>
  <c r="AI95" i="10" s="1"/>
  <c r="AJ94" i="10"/>
  <c r="AI94" i="10"/>
  <c r="AH94" i="10"/>
  <c r="AJ93" i="10"/>
  <c r="AI93" i="10"/>
  <c r="AH93" i="10"/>
  <c r="AJ92" i="10"/>
  <c r="AH92" i="10"/>
  <c r="AI92" i="10" s="1"/>
  <c r="AJ91" i="10"/>
  <c r="AH91" i="10"/>
  <c r="AI91" i="10" s="1"/>
  <c r="AJ90" i="10"/>
  <c r="AH90" i="10"/>
  <c r="AI90" i="10" s="1"/>
  <c r="AJ89" i="10"/>
  <c r="AH89" i="10"/>
  <c r="AI89" i="10" s="1"/>
  <c r="AJ88" i="10"/>
  <c r="AI88" i="10"/>
  <c r="AH88" i="10"/>
  <c r="AJ87" i="10"/>
  <c r="AI87" i="10"/>
  <c r="AH87" i="10"/>
  <c r="AJ86" i="10"/>
  <c r="AH86" i="10"/>
  <c r="AI86" i="10" s="1"/>
  <c r="AJ85" i="10"/>
  <c r="AH85" i="10"/>
  <c r="AI85" i="10" s="1"/>
  <c r="AJ84" i="10"/>
  <c r="AH84" i="10"/>
  <c r="AI84" i="10" s="1"/>
  <c r="AJ83" i="10"/>
  <c r="AH83" i="10"/>
  <c r="AI83" i="10" s="1"/>
  <c r="AJ82" i="10"/>
  <c r="AI82" i="10"/>
  <c r="AH82" i="10"/>
  <c r="AJ81" i="10"/>
  <c r="AI81" i="10"/>
  <c r="AH81" i="10"/>
  <c r="AJ80" i="10"/>
  <c r="AH80" i="10"/>
  <c r="AI80" i="10" s="1"/>
  <c r="AJ79" i="10"/>
  <c r="AH79" i="10"/>
  <c r="AI79" i="10" s="1"/>
  <c r="AJ78" i="10"/>
  <c r="AI78" i="10"/>
  <c r="AH78" i="10"/>
  <c r="AJ77" i="10"/>
  <c r="AH77" i="10"/>
  <c r="AI77" i="10" s="1"/>
  <c r="AJ76" i="10"/>
  <c r="AI76" i="10"/>
  <c r="AH76" i="10"/>
  <c r="AJ75" i="10"/>
  <c r="AI75" i="10"/>
  <c r="AH75" i="10"/>
  <c r="AJ74" i="10"/>
  <c r="AH74" i="10"/>
  <c r="AI74" i="10" s="1"/>
  <c r="AJ73" i="10"/>
  <c r="AH73" i="10"/>
  <c r="AI73" i="10" s="1"/>
  <c r="AJ72" i="10"/>
  <c r="AH72" i="10"/>
  <c r="AI72" i="10" s="1"/>
  <c r="AJ71" i="10"/>
  <c r="AH71" i="10"/>
  <c r="AI71" i="10" s="1"/>
  <c r="AJ70" i="10"/>
  <c r="AI70" i="10"/>
  <c r="AH70" i="10"/>
  <c r="AJ69" i="10"/>
  <c r="AI69" i="10"/>
  <c r="AH69" i="10"/>
  <c r="AJ68" i="10"/>
  <c r="AH68" i="10"/>
  <c r="AI68" i="10" s="1"/>
  <c r="AJ67" i="10"/>
  <c r="AH67" i="10"/>
  <c r="AI67" i="10" s="1"/>
  <c r="AJ66" i="10"/>
  <c r="AH66" i="10"/>
  <c r="AI66" i="10" s="1"/>
  <c r="AJ65" i="10"/>
  <c r="AH65" i="10"/>
  <c r="AI65" i="10" s="1"/>
  <c r="AJ64" i="10"/>
  <c r="AI64" i="10"/>
  <c r="AH64" i="10"/>
  <c r="AJ63" i="10"/>
  <c r="AI63" i="10"/>
  <c r="AH63" i="10"/>
  <c r="AJ62" i="10"/>
  <c r="AH62" i="10"/>
  <c r="AI62" i="10" s="1"/>
  <c r="AJ61" i="10"/>
  <c r="AH61" i="10"/>
  <c r="AI61" i="10" s="1"/>
  <c r="AJ60" i="10"/>
  <c r="AI60" i="10"/>
  <c r="AH60" i="10"/>
  <c r="AJ59" i="10"/>
  <c r="AI59" i="10"/>
  <c r="AH59" i="10"/>
  <c r="AJ58" i="10"/>
  <c r="AI58" i="10"/>
  <c r="AH58" i="10"/>
  <c r="AJ57" i="10"/>
  <c r="AI57" i="10"/>
  <c r="AH57" i="10"/>
  <c r="AJ56" i="10"/>
  <c r="AH56" i="10"/>
  <c r="AI56" i="10" s="1"/>
  <c r="AJ55" i="10"/>
  <c r="AH55" i="10"/>
  <c r="AI55" i="10" s="1"/>
  <c r="AJ54" i="10"/>
  <c r="AI54" i="10"/>
  <c r="AH54" i="10"/>
  <c r="AJ53" i="10"/>
  <c r="AH53" i="10"/>
  <c r="AI53" i="10" s="1"/>
  <c r="AJ52" i="10"/>
  <c r="AI52" i="10"/>
  <c r="AH52" i="10"/>
  <c r="AJ51" i="10"/>
  <c r="AI51" i="10"/>
  <c r="AH51" i="10"/>
  <c r="AJ50" i="10"/>
  <c r="AH50" i="10"/>
  <c r="AI50" i="10" s="1"/>
  <c r="AJ49" i="10"/>
  <c r="AH49" i="10"/>
  <c r="AI49" i="10" s="1"/>
  <c r="AJ48" i="10"/>
  <c r="AI48" i="10"/>
  <c r="AH48" i="10"/>
  <c r="AJ47" i="10"/>
  <c r="AH47" i="10"/>
  <c r="AI47" i="10" s="1"/>
  <c r="AJ46" i="10"/>
  <c r="AI46" i="10"/>
  <c r="AH46" i="10"/>
  <c r="AJ45" i="10"/>
  <c r="AI45" i="10"/>
  <c r="AH45" i="10"/>
  <c r="AJ44" i="10"/>
  <c r="AH44" i="10"/>
  <c r="AI44" i="10" s="1"/>
  <c r="AJ43" i="10"/>
  <c r="AH43" i="10"/>
  <c r="AI43" i="10" s="1"/>
  <c r="AJ42" i="10"/>
  <c r="AI42" i="10"/>
  <c r="AH42" i="10"/>
  <c r="AJ41" i="10"/>
  <c r="AH41" i="10"/>
  <c r="AI41" i="10" s="1"/>
  <c r="AJ40" i="10"/>
  <c r="AI40" i="10"/>
  <c r="AH40" i="10"/>
  <c r="AJ39" i="10"/>
  <c r="AI39" i="10"/>
  <c r="AH39" i="10"/>
  <c r="AJ38" i="10"/>
  <c r="AH38" i="10"/>
  <c r="AI38" i="10" s="1"/>
  <c r="AJ37" i="10"/>
  <c r="AH37" i="10"/>
  <c r="AI37" i="10" s="1"/>
  <c r="AJ36" i="10"/>
  <c r="AH36" i="10"/>
  <c r="AI36" i="10" s="1"/>
  <c r="AJ35" i="10"/>
  <c r="AI35" i="10"/>
  <c r="AH35" i="10"/>
  <c r="AJ34" i="10"/>
  <c r="AI34" i="10"/>
  <c r="AH34" i="10"/>
  <c r="AJ33" i="10"/>
  <c r="AI33" i="10"/>
  <c r="AH33" i="10"/>
  <c r="AJ32" i="10"/>
  <c r="AH32" i="10"/>
  <c r="AI32" i="10" s="1"/>
  <c r="AJ31" i="10"/>
  <c r="AH31" i="10"/>
  <c r="AI31" i="10" s="1"/>
  <c r="AJ30" i="10"/>
  <c r="AI30" i="10"/>
  <c r="AH30" i="10"/>
  <c r="AJ29" i="10"/>
  <c r="AI29" i="10"/>
  <c r="AH29" i="10"/>
  <c r="AJ28" i="10"/>
  <c r="AI28" i="10"/>
  <c r="AH28" i="10"/>
  <c r="AJ27" i="10"/>
  <c r="AI27" i="10"/>
  <c r="AH27" i="10"/>
  <c r="AJ26" i="10"/>
  <c r="AH26" i="10"/>
  <c r="AI26" i="10" s="1"/>
  <c r="AJ25" i="10"/>
  <c r="AH25" i="10"/>
  <c r="AI25" i="10" s="1"/>
  <c r="AJ24" i="10"/>
  <c r="AI24" i="10"/>
  <c r="AH24" i="10"/>
  <c r="AJ23" i="10"/>
  <c r="AH23" i="10"/>
  <c r="AI23" i="10" s="1"/>
  <c r="AJ22" i="10"/>
  <c r="AI22" i="10"/>
  <c r="AH22" i="10"/>
  <c r="AJ21" i="10"/>
  <c r="AI21" i="10"/>
  <c r="AH21" i="10"/>
  <c r="AJ20" i="10"/>
  <c r="AH20" i="10"/>
  <c r="AI20" i="10" s="1"/>
  <c r="AJ19" i="10"/>
  <c r="AH19" i="10"/>
  <c r="AI19" i="10" s="1"/>
  <c r="AJ18" i="10"/>
  <c r="AH18" i="10"/>
  <c r="AI18" i="10" s="1"/>
  <c r="AJ17" i="10"/>
  <c r="AH17" i="10"/>
  <c r="AI17" i="10" s="1"/>
  <c r="AJ16" i="10"/>
  <c r="AH16" i="10"/>
  <c r="AI16" i="10" s="1"/>
  <c r="AJ15" i="10"/>
  <c r="AI15" i="10"/>
  <c r="AH15" i="10"/>
  <c r="AJ14" i="10"/>
  <c r="AH14" i="10"/>
  <c r="AI14" i="10" s="1"/>
  <c r="AJ13" i="10"/>
  <c r="AH13" i="10"/>
  <c r="AI13" i="10" s="1"/>
  <c r="AJ12" i="10"/>
  <c r="AH12" i="10"/>
  <c r="AI12" i="10" s="1"/>
  <c r="AJ11" i="10"/>
  <c r="AH11" i="10"/>
  <c r="AI11" i="10" s="1"/>
  <c r="AJ10" i="10"/>
  <c r="AI10" i="10"/>
  <c r="AH10" i="10"/>
  <c r="AJ9" i="10"/>
  <c r="AI9" i="10"/>
  <c r="AH9" i="10"/>
  <c r="AJ8" i="10"/>
  <c r="AH8" i="10"/>
  <c r="AI8" i="10" s="1"/>
  <c r="AJ7" i="10"/>
  <c r="AH7" i="10"/>
  <c r="AI7" i="10" s="1"/>
  <c r="AJ6" i="10"/>
  <c r="AI6" i="10"/>
  <c r="AH6" i="10"/>
  <c r="AJ5" i="10"/>
  <c r="AI5" i="10"/>
  <c r="AH5" i="10"/>
  <c r="AJ4" i="10"/>
  <c r="AI4" i="10"/>
  <c r="AK3" i="10" s="1"/>
  <c r="AH4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AJ134" i="9"/>
  <c r="AH134" i="9"/>
  <c r="AJ133" i="9"/>
  <c r="AH133" i="9"/>
  <c r="AJ132" i="9"/>
  <c r="AH132" i="9"/>
  <c r="AJ131" i="9"/>
  <c r="AI131" i="9"/>
  <c r="AH131" i="9"/>
  <c r="AJ130" i="9"/>
  <c r="AH130" i="9"/>
  <c r="AI130" i="9" s="1"/>
  <c r="AJ129" i="9"/>
  <c r="AI129" i="9"/>
  <c r="AH129" i="9"/>
  <c r="AJ128" i="9"/>
  <c r="AH128" i="9"/>
  <c r="AI128" i="9" s="1"/>
  <c r="AJ127" i="9"/>
  <c r="AH127" i="9"/>
  <c r="AI127" i="9" s="1"/>
  <c r="AJ126" i="9"/>
  <c r="AI126" i="9"/>
  <c r="AH126" i="9"/>
  <c r="AJ125" i="9"/>
  <c r="AI125" i="9"/>
  <c r="AH125" i="9"/>
  <c r="AJ124" i="9"/>
  <c r="AH124" i="9"/>
  <c r="AI124" i="9" s="1"/>
  <c r="AJ123" i="9"/>
  <c r="AI123" i="9"/>
  <c r="AH123" i="9"/>
  <c r="AJ122" i="9"/>
  <c r="AH122" i="9"/>
  <c r="AI122" i="9" s="1"/>
  <c r="AJ121" i="9"/>
  <c r="AH121" i="9"/>
  <c r="AI121" i="9" s="1"/>
  <c r="AJ120" i="9"/>
  <c r="AH120" i="9"/>
  <c r="AI120" i="9" s="1"/>
  <c r="AJ119" i="9"/>
  <c r="AI119" i="9"/>
  <c r="AH119" i="9"/>
  <c r="AJ118" i="9"/>
  <c r="AH118" i="9"/>
  <c r="AI118" i="9" s="1"/>
  <c r="AJ117" i="9"/>
  <c r="AH117" i="9"/>
  <c r="AI117" i="9" s="1"/>
  <c r="AJ116" i="9"/>
  <c r="AH116" i="9"/>
  <c r="AI116" i="9" s="1"/>
  <c r="AJ115" i="9"/>
  <c r="AH115" i="9"/>
  <c r="AI115" i="9" s="1"/>
  <c r="AJ114" i="9"/>
  <c r="AH114" i="9"/>
  <c r="AI114" i="9" s="1"/>
  <c r="AJ113" i="9"/>
  <c r="AI113" i="9"/>
  <c r="AH113" i="9"/>
  <c r="AJ112" i="9"/>
  <c r="AH112" i="9"/>
  <c r="AI112" i="9" s="1"/>
  <c r="AJ111" i="9"/>
  <c r="AH111" i="9"/>
  <c r="AI111" i="9" s="1"/>
  <c r="AJ110" i="9"/>
  <c r="AI110" i="9"/>
  <c r="AH110" i="9"/>
  <c r="AJ109" i="9"/>
  <c r="AH109" i="9"/>
  <c r="AI109" i="9" s="1"/>
  <c r="AJ108" i="9"/>
  <c r="AI108" i="9"/>
  <c r="AH108" i="9"/>
  <c r="AJ107" i="9"/>
  <c r="AI107" i="9"/>
  <c r="AH107" i="9"/>
  <c r="AJ106" i="9"/>
  <c r="AH106" i="9"/>
  <c r="AI106" i="9" s="1"/>
  <c r="AJ105" i="9"/>
  <c r="AI105" i="9"/>
  <c r="AH105" i="9"/>
  <c r="AJ104" i="9"/>
  <c r="AH104" i="9"/>
  <c r="AI104" i="9" s="1"/>
  <c r="AJ103" i="9"/>
  <c r="AH103" i="9"/>
  <c r="AI103" i="9" s="1"/>
  <c r="AJ102" i="9"/>
  <c r="AI102" i="9"/>
  <c r="AH102" i="9"/>
  <c r="AJ101" i="9"/>
  <c r="AI101" i="9"/>
  <c r="AH101" i="9"/>
  <c r="AJ100" i="9"/>
  <c r="AH100" i="9"/>
  <c r="AI100" i="9" s="1"/>
  <c r="AJ99" i="9"/>
  <c r="AI99" i="9"/>
  <c r="AH99" i="9"/>
  <c r="AJ98" i="9"/>
  <c r="AH98" i="9"/>
  <c r="AI98" i="9" s="1"/>
  <c r="AJ97" i="9"/>
  <c r="AH97" i="9"/>
  <c r="AI97" i="9" s="1"/>
  <c r="AJ96" i="9"/>
  <c r="AI96" i="9"/>
  <c r="AH96" i="9"/>
  <c r="AJ95" i="9"/>
  <c r="AI95" i="9"/>
  <c r="AH95" i="9"/>
  <c r="AJ94" i="9"/>
  <c r="AH94" i="9"/>
  <c r="AI94" i="9" s="1"/>
  <c r="AJ93" i="9"/>
  <c r="AH93" i="9"/>
  <c r="AI93" i="9" s="1"/>
  <c r="AJ92" i="9"/>
  <c r="AH92" i="9"/>
  <c r="AI92" i="9" s="1"/>
  <c r="AJ91" i="9"/>
  <c r="AH91" i="9"/>
  <c r="AI91" i="9" s="1"/>
  <c r="AJ90" i="9"/>
  <c r="AI90" i="9"/>
  <c r="AH90" i="9"/>
  <c r="AJ89" i="9"/>
  <c r="AI89" i="9"/>
  <c r="AH89" i="9"/>
  <c r="AJ88" i="9"/>
  <c r="AH88" i="9"/>
  <c r="AI88" i="9" s="1"/>
  <c r="AJ87" i="9"/>
  <c r="AH87" i="9"/>
  <c r="AI87" i="9" s="1"/>
  <c r="AJ86" i="9"/>
  <c r="AH86" i="9"/>
  <c r="AI86" i="9" s="1"/>
  <c r="AJ85" i="9"/>
  <c r="AH85" i="9"/>
  <c r="AI85" i="9" s="1"/>
  <c r="AJ84" i="9"/>
  <c r="AH84" i="9"/>
  <c r="AI84" i="9" s="1"/>
  <c r="AJ83" i="9"/>
  <c r="AI83" i="9"/>
  <c r="AH83" i="9"/>
  <c r="AJ82" i="9"/>
  <c r="AH82" i="9"/>
  <c r="AI82" i="9" s="1"/>
  <c r="AJ81" i="9"/>
  <c r="AI81" i="9"/>
  <c r="AH81" i="9"/>
  <c r="AJ80" i="9"/>
  <c r="AI80" i="9"/>
  <c r="AH80" i="9"/>
  <c r="AJ79" i="9"/>
  <c r="AH79" i="9"/>
  <c r="AI79" i="9" s="1"/>
  <c r="AJ78" i="9"/>
  <c r="AI78" i="9"/>
  <c r="AH78" i="9"/>
  <c r="AJ77" i="9"/>
  <c r="AI77" i="9"/>
  <c r="AH77" i="9"/>
  <c r="AJ76" i="9"/>
  <c r="AH76" i="9"/>
  <c r="AI76" i="9" s="1"/>
  <c r="AJ75" i="9"/>
  <c r="AI75" i="9"/>
  <c r="AH75" i="9"/>
  <c r="AJ74" i="9"/>
  <c r="AH74" i="9"/>
  <c r="AI74" i="9" s="1"/>
  <c r="AJ73" i="9"/>
  <c r="AH73" i="9"/>
  <c r="AI73" i="9" s="1"/>
  <c r="AJ72" i="9"/>
  <c r="AI72" i="9"/>
  <c r="AH72" i="9"/>
  <c r="AJ71" i="9"/>
  <c r="AI71" i="9"/>
  <c r="AH71" i="9"/>
  <c r="AJ70" i="9"/>
  <c r="AH70" i="9"/>
  <c r="AI70" i="9" s="1"/>
  <c r="AJ69" i="9"/>
  <c r="AI69" i="9"/>
  <c r="AH69" i="9"/>
  <c r="AJ68" i="9"/>
  <c r="AH68" i="9"/>
  <c r="AI68" i="9" s="1"/>
  <c r="AJ67" i="9"/>
  <c r="AH67" i="9"/>
  <c r="AI67" i="9" s="1"/>
  <c r="AJ66" i="9"/>
  <c r="AH66" i="9"/>
  <c r="AI66" i="9" s="1"/>
  <c r="AJ65" i="9"/>
  <c r="AI65" i="9"/>
  <c r="AH65" i="9"/>
  <c r="AJ64" i="9"/>
  <c r="AH64" i="9"/>
  <c r="AI64" i="9" s="1"/>
  <c r="AJ63" i="9"/>
  <c r="AH63" i="9"/>
  <c r="AI63" i="9" s="1"/>
  <c r="AJ62" i="9"/>
  <c r="AH62" i="9"/>
  <c r="AI62" i="9" s="1"/>
  <c r="AJ61" i="9"/>
  <c r="AH61" i="9"/>
  <c r="AI61" i="9" s="1"/>
  <c r="AJ60" i="9"/>
  <c r="AH60" i="9"/>
  <c r="AI60" i="9" s="1"/>
  <c r="AJ59" i="9"/>
  <c r="AI59" i="9"/>
  <c r="AH59" i="9"/>
  <c r="AJ58" i="9"/>
  <c r="AH58" i="9"/>
  <c r="AI58" i="9" s="1"/>
  <c r="AJ57" i="9"/>
  <c r="AH57" i="9"/>
  <c r="AI57" i="9" s="1"/>
  <c r="AJ56" i="9"/>
  <c r="AI56" i="9"/>
  <c r="AH56" i="9"/>
  <c r="AJ55" i="9"/>
  <c r="AH55" i="9"/>
  <c r="AI55" i="9" s="1"/>
  <c r="AJ54" i="9"/>
  <c r="AI54" i="9"/>
  <c r="AH54" i="9"/>
  <c r="AJ53" i="9"/>
  <c r="AI53" i="9"/>
  <c r="AH53" i="9"/>
  <c r="AJ52" i="9"/>
  <c r="AH52" i="9"/>
  <c r="AI52" i="9" s="1"/>
  <c r="AJ51" i="9"/>
  <c r="AI51" i="9"/>
  <c r="AH51" i="9"/>
  <c r="AJ50" i="9"/>
  <c r="AH50" i="9"/>
  <c r="AI50" i="9" s="1"/>
  <c r="AJ49" i="9"/>
  <c r="AH49" i="9"/>
  <c r="AI49" i="9" s="1"/>
  <c r="AJ48" i="9"/>
  <c r="AI48" i="9"/>
  <c r="AH48" i="9"/>
  <c r="AJ47" i="9"/>
  <c r="AI47" i="9"/>
  <c r="AH47" i="9"/>
  <c r="AJ46" i="9"/>
  <c r="AH46" i="9"/>
  <c r="AI46" i="9" s="1"/>
  <c r="AJ45" i="9"/>
  <c r="AI45" i="9"/>
  <c r="AH45" i="9"/>
  <c r="AJ44" i="9"/>
  <c r="AH44" i="9"/>
  <c r="AI44" i="9" s="1"/>
  <c r="AJ43" i="9"/>
  <c r="AH43" i="9"/>
  <c r="AI43" i="9" s="1"/>
  <c r="AJ42" i="9"/>
  <c r="AI42" i="9"/>
  <c r="AH42" i="9"/>
  <c r="AJ41" i="9"/>
  <c r="AI41" i="9"/>
  <c r="AH41" i="9"/>
  <c r="AJ40" i="9"/>
  <c r="AH40" i="9"/>
  <c r="AI40" i="9" s="1"/>
  <c r="AJ39" i="9"/>
  <c r="AH39" i="9"/>
  <c r="AI39" i="9" s="1"/>
  <c r="AJ38" i="9"/>
  <c r="AH38" i="9"/>
  <c r="AI38" i="9" s="1"/>
  <c r="AJ37" i="9"/>
  <c r="AH37" i="9"/>
  <c r="AI37" i="9" s="1"/>
  <c r="AJ36" i="9"/>
  <c r="AH36" i="9"/>
  <c r="AI36" i="9" s="1"/>
  <c r="AJ35" i="9"/>
  <c r="AI35" i="9"/>
  <c r="AH35" i="9"/>
  <c r="AJ34" i="9"/>
  <c r="AH34" i="9"/>
  <c r="AI34" i="9" s="1"/>
  <c r="AJ33" i="9"/>
  <c r="AH33" i="9"/>
  <c r="AI33" i="9" s="1"/>
  <c r="AJ32" i="9"/>
  <c r="AH32" i="9"/>
  <c r="AI32" i="9" s="1"/>
  <c r="AJ31" i="9"/>
  <c r="AH31" i="9"/>
  <c r="AI31" i="9" s="1"/>
  <c r="AJ30" i="9"/>
  <c r="AH30" i="9"/>
  <c r="AI30" i="9" s="1"/>
  <c r="AJ29" i="9"/>
  <c r="AI29" i="9"/>
  <c r="AH29" i="9"/>
  <c r="AJ28" i="9"/>
  <c r="AH28" i="9"/>
  <c r="AI28" i="9" s="1"/>
  <c r="AJ27" i="9"/>
  <c r="AI27" i="9"/>
  <c r="AH27" i="9"/>
  <c r="AJ26" i="9"/>
  <c r="AI26" i="9"/>
  <c r="AH26" i="9"/>
  <c r="AJ25" i="9"/>
  <c r="AH25" i="9"/>
  <c r="AI25" i="9" s="1"/>
  <c r="AJ24" i="9"/>
  <c r="AI24" i="9"/>
  <c r="AH24" i="9"/>
  <c r="AJ23" i="9"/>
  <c r="AI23" i="9"/>
  <c r="AH23" i="9"/>
  <c r="AJ22" i="9"/>
  <c r="AH22" i="9"/>
  <c r="AI22" i="9" s="1"/>
  <c r="AJ21" i="9"/>
  <c r="AI21" i="9"/>
  <c r="AH21" i="9"/>
  <c r="AJ20" i="9"/>
  <c r="AH20" i="9"/>
  <c r="AI20" i="9" s="1"/>
  <c r="AJ19" i="9"/>
  <c r="AH19" i="9"/>
  <c r="AI19" i="9" s="1"/>
  <c r="AJ18" i="9"/>
  <c r="AI18" i="9"/>
  <c r="AH18" i="9"/>
  <c r="AJ17" i="9"/>
  <c r="AI17" i="9"/>
  <c r="AH17" i="9"/>
  <c r="AJ16" i="9"/>
  <c r="AH16" i="9"/>
  <c r="AI16" i="9" s="1"/>
  <c r="AJ15" i="9"/>
  <c r="AI15" i="9"/>
  <c r="AH15" i="9"/>
  <c r="AJ14" i="9"/>
  <c r="AH14" i="9"/>
  <c r="AI14" i="9" s="1"/>
  <c r="AJ13" i="9"/>
  <c r="AH13" i="9"/>
  <c r="AI13" i="9" s="1"/>
  <c r="AJ12" i="9"/>
  <c r="AH12" i="9"/>
  <c r="AI12" i="9" s="1"/>
  <c r="AJ11" i="9"/>
  <c r="AI11" i="9"/>
  <c r="AH11" i="9"/>
  <c r="AJ10" i="9"/>
  <c r="AH10" i="9"/>
  <c r="AI10" i="9" s="1"/>
  <c r="AJ9" i="9"/>
  <c r="AI9" i="9"/>
  <c r="AH9" i="9"/>
  <c r="AJ8" i="9"/>
  <c r="AH8" i="9"/>
  <c r="AI8" i="9" s="1"/>
  <c r="AJ7" i="9"/>
  <c r="AH7" i="9"/>
  <c r="AI7" i="9" s="1"/>
  <c r="AJ6" i="9"/>
  <c r="AH6" i="9"/>
  <c r="AI6" i="9" s="1"/>
  <c r="AJ5" i="9"/>
  <c r="AI5" i="9"/>
  <c r="AH5" i="9"/>
  <c r="AJ4" i="9"/>
  <c r="AH4" i="9"/>
  <c r="AI4" i="9" s="1"/>
  <c r="AK3" i="9" s="1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I131" i="8"/>
  <c r="AG131" i="8"/>
  <c r="AI130" i="8"/>
  <c r="AG130" i="8"/>
  <c r="AH130" i="8" s="1"/>
  <c r="AI129" i="8"/>
  <c r="AG129" i="8"/>
  <c r="AH129" i="8" s="1"/>
  <c r="AI128" i="8"/>
  <c r="AH128" i="8"/>
  <c r="AG128" i="8"/>
  <c r="AI127" i="8"/>
  <c r="AH127" i="8"/>
  <c r="AG127" i="8"/>
  <c r="AI126" i="8"/>
  <c r="AH126" i="8"/>
  <c r="AG126" i="8"/>
  <c r="AI125" i="8"/>
  <c r="AH125" i="8"/>
  <c r="AG125" i="8"/>
  <c r="AI124" i="8"/>
  <c r="AG124" i="8"/>
  <c r="AH124" i="8" s="1"/>
  <c r="AI123" i="8"/>
  <c r="AG123" i="8"/>
  <c r="AH123" i="8" s="1"/>
  <c r="AI122" i="8"/>
  <c r="AH122" i="8"/>
  <c r="AG122" i="8"/>
  <c r="AI121" i="8"/>
  <c r="AG121" i="8"/>
  <c r="AH121" i="8" s="1"/>
  <c r="AI120" i="8"/>
  <c r="AH120" i="8"/>
  <c r="AG120" i="8"/>
  <c r="AI119" i="8"/>
  <c r="AH119" i="8"/>
  <c r="AG119" i="8"/>
  <c r="AI118" i="8"/>
  <c r="AG118" i="8"/>
  <c r="AH118" i="8" s="1"/>
  <c r="AI117" i="8"/>
  <c r="AH117" i="8"/>
  <c r="AG117" i="8"/>
  <c r="AI116" i="8"/>
  <c r="AG116" i="8"/>
  <c r="AH116" i="8" s="1"/>
  <c r="AI115" i="8"/>
  <c r="AH115" i="8"/>
  <c r="AG115" i="8"/>
  <c r="AI114" i="8"/>
  <c r="AH114" i="8"/>
  <c r="AG114" i="8"/>
  <c r="AI113" i="8"/>
  <c r="AH113" i="8"/>
  <c r="AG113" i="8"/>
  <c r="AI112" i="8"/>
  <c r="AG112" i="8"/>
  <c r="AH112" i="8" s="1"/>
  <c r="AI111" i="8"/>
  <c r="AG111" i="8"/>
  <c r="AH111" i="8" s="1"/>
  <c r="AI110" i="8"/>
  <c r="AG110" i="8"/>
  <c r="AH110" i="8" s="1"/>
  <c r="AI109" i="8"/>
  <c r="AH109" i="8"/>
  <c r="AG109" i="8"/>
  <c r="AI108" i="8"/>
  <c r="AH108" i="8"/>
  <c r="AG108" i="8"/>
  <c r="AI107" i="8"/>
  <c r="AH107" i="8"/>
  <c r="AG107" i="8"/>
  <c r="AI106" i="8"/>
  <c r="AG106" i="8"/>
  <c r="AH106" i="8" s="1"/>
  <c r="AI105" i="8"/>
  <c r="AH105" i="8"/>
  <c r="AG105" i="8"/>
  <c r="AI104" i="8"/>
  <c r="AG104" i="8"/>
  <c r="AH104" i="8" s="1"/>
  <c r="AI103" i="8"/>
  <c r="AG103" i="8"/>
  <c r="AH103" i="8" s="1"/>
  <c r="AI102" i="8"/>
  <c r="AH102" i="8"/>
  <c r="AG102" i="8"/>
  <c r="AI101" i="8"/>
  <c r="AH101" i="8"/>
  <c r="AG101" i="8"/>
  <c r="AI100" i="8"/>
  <c r="AH100" i="8"/>
  <c r="AG100" i="8"/>
  <c r="AI99" i="8"/>
  <c r="AH99" i="8"/>
  <c r="AG99" i="8"/>
  <c r="AI98" i="8"/>
  <c r="AG98" i="8"/>
  <c r="AH98" i="8" s="1"/>
  <c r="AI97" i="8"/>
  <c r="AG97" i="8"/>
  <c r="AH97" i="8" s="1"/>
  <c r="AI96" i="8"/>
  <c r="AG96" i="8"/>
  <c r="AH96" i="8" s="1"/>
  <c r="AI95" i="8"/>
  <c r="AH95" i="8"/>
  <c r="AG95" i="8"/>
  <c r="AI94" i="8"/>
  <c r="AH94" i="8"/>
  <c r="AG94" i="8"/>
  <c r="AI93" i="8"/>
  <c r="AH93" i="8"/>
  <c r="AG93" i="8"/>
  <c r="AI92" i="8"/>
  <c r="AG92" i="8"/>
  <c r="AH92" i="8" s="1"/>
  <c r="AI91" i="8"/>
  <c r="AG91" i="8"/>
  <c r="AH91" i="8" s="1"/>
  <c r="AI90" i="8"/>
  <c r="AG90" i="8"/>
  <c r="AH90" i="8" s="1"/>
  <c r="AI89" i="8"/>
  <c r="AH89" i="8"/>
  <c r="AG89" i="8"/>
  <c r="AI88" i="8"/>
  <c r="AH88" i="8"/>
  <c r="AG88" i="8"/>
  <c r="AI87" i="8"/>
  <c r="AH87" i="8"/>
  <c r="AG87" i="8"/>
  <c r="AI86" i="8"/>
  <c r="AG86" i="8"/>
  <c r="AH86" i="8" s="1"/>
  <c r="AI85" i="8"/>
  <c r="AG85" i="8"/>
  <c r="AH85" i="8" s="1"/>
  <c r="AI84" i="8"/>
  <c r="AG84" i="8"/>
  <c r="AH84" i="8" s="1"/>
  <c r="AI83" i="8"/>
  <c r="AH83" i="8"/>
  <c r="AG83" i="8"/>
  <c r="AI82" i="8"/>
  <c r="AH82" i="8"/>
  <c r="AG82" i="8"/>
  <c r="AI81" i="8"/>
  <c r="AH81" i="8"/>
  <c r="AG81" i="8"/>
  <c r="AI80" i="8"/>
  <c r="AG80" i="8"/>
  <c r="AH80" i="8" s="1"/>
  <c r="AI79" i="8"/>
  <c r="AG79" i="8"/>
  <c r="AH79" i="8" s="1"/>
  <c r="AI78" i="8"/>
  <c r="AG78" i="8"/>
  <c r="AH78" i="8" s="1"/>
  <c r="AI77" i="8"/>
  <c r="AH77" i="8"/>
  <c r="AG77" i="8"/>
  <c r="AI76" i="8"/>
  <c r="AH76" i="8"/>
  <c r="AG76" i="8"/>
  <c r="AI75" i="8"/>
  <c r="AH75" i="8"/>
  <c r="AG75" i="8"/>
  <c r="AI74" i="8"/>
  <c r="AG74" i="8"/>
  <c r="AH74" i="8" s="1"/>
  <c r="AI73" i="8"/>
  <c r="AH73" i="8"/>
  <c r="AG73" i="8"/>
  <c r="AI72" i="8"/>
  <c r="AG72" i="8"/>
  <c r="AH72" i="8" s="1"/>
  <c r="AI71" i="8"/>
  <c r="AH71" i="8"/>
  <c r="AG71" i="8"/>
  <c r="AI70" i="8"/>
  <c r="AH70" i="8"/>
  <c r="AG70" i="8"/>
  <c r="AI69" i="8"/>
  <c r="AH69" i="8"/>
  <c r="AG69" i="8"/>
  <c r="AI68" i="8"/>
  <c r="AG68" i="8"/>
  <c r="AH68" i="8" s="1"/>
  <c r="AI67" i="8"/>
  <c r="AH67" i="8"/>
  <c r="AG67" i="8"/>
  <c r="AI66" i="8"/>
  <c r="AG66" i="8"/>
  <c r="AH66" i="8" s="1"/>
  <c r="AI65" i="8"/>
  <c r="AH65" i="8"/>
  <c r="AG65" i="8"/>
  <c r="AI64" i="8"/>
  <c r="AH64" i="8"/>
  <c r="AG64" i="8"/>
  <c r="AI63" i="8"/>
  <c r="AH63" i="8"/>
  <c r="AG63" i="8"/>
  <c r="AI62" i="8"/>
  <c r="AG62" i="8"/>
  <c r="AH62" i="8" s="1"/>
  <c r="AI61" i="8"/>
  <c r="AG61" i="8"/>
  <c r="AH61" i="8" s="1"/>
  <c r="AI60" i="8"/>
  <c r="AG60" i="8"/>
  <c r="AH60" i="8" s="1"/>
  <c r="AI59" i="8"/>
  <c r="AH59" i="8"/>
  <c r="AG59" i="8"/>
  <c r="AI58" i="8"/>
  <c r="AH58" i="8"/>
  <c r="AG58" i="8"/>
  <c r="AI57" i="8"/>
  <c r="AH57" i="8"/>
  <c r="AG57" i="8"/>
  <c r="AI56" i="8"/>
  <c r="AG56" i="8"/>
  <c r="AH56" i="8" s="1"/>
  <c r="AI55" i="8"/>
  <c r="AG55" i="8"/>
  <c r="AH55" i="8" s="1"/>
  <c r="AI54" i="8"/>
  <c r="AG54" i="8"/>
  <c r="AH54" i="8" s="1"/>
  <c r="AI53" i="8"/>
  <c r="AH53" i="8"/>
  <c r="AG53" i="8"/>
  <c r="AI52" i="8"/>
  <c r="AH52" i="8"/>
  <c r="AG52" i="8"/>
  <c r="AI51" i="8"/>
  <c r="AH51" i="8"/>
  <c r="AG51" i="8"/>
  <c r="AI50" i="8"/>
  <c r="AG50" i="8"/>
  <c r="AH50" i="8" s="1"/>
  <c r="AI49" i="8"/>
  <c r="AH49" i="8"/>
  <c r="AG49" i="8"/>
  <c r="AI48" i="8"/>
  <c r="AG48" i="8"/>
  <c r="AH48" i="8" s="1"/>
  <c r="AI47" i="8"/>
  <c r="AH47" i="8"/>
  <c r="AG47" i="8"/>
  <c r="AI46" i="8"/>
  <c r="AH46" i="8"/>
  <c r="AG46" i="8"/>
  <c r="AI45" i="8"/>
  <c r="AH45" i="8"/>
  <c r="AG45" i="8"/>
  <c r="AI44" i="8"/>
  <c r="AG44" i="8"/>
  <c r="AH44" i="8" s="1"/>
  <c r="AI43" i="8"/>
  <c r="AG43" i="8"/>
  <c r="AH43" i="8" s="1"/>
  <c r="AI42" i="8"/>
  <c r="AG42" i="8"/>
  <c r="AH42" i="8" s="1"/>
  <c r="AI41" i="8"/>
  <c r="AH41" i="8"/>
  <c r="AG41" i="8"/>
  <c r="AI40" i="8"/>
  <c r="AH40" i="8"/>
  <c r="AG40" i="8"/>
  <c r="AI39" i="8"/>
  <c r="AH39" i="8"/>
  <c r="AG39" i="8"/>
  <c r="AI38" i="8"/>
  <c r="AG38" i="8"/>
  <c r="AH38" i="8" s="1"/>
  <c r="AI37" i="8"/>
  <c r="AG37" i="8"/>
  <c r="AH37" i="8" s="1"/>
  <c r="AI36" i="8"/>
  <c r="AG36" i="8"/>
  <c r="AH36" i="8" s="1"/>
  <c r="AI35" i="8"/>
  <c r="AH35" i="8"/>
  <c r="AG35" i="8"/>
  <c r="AI34" i="8"/>
  <c r="AH34" i="8"/>
  <c r="AG34" i="8"/>
  <c r="AI33" i="8"/>
  <c r="AH33" i="8"/>
  <c r="AG33" i="8"/>
  <c r="AI32" i="8"/>
  <c r="AG32" i="8"/>
  <c r="AH32" i="8" s="1"/>
  <c r="AI31" i="8"/>
  <c r="AG31" i="8"/>
  <c r="AH31" i="8" s="1"/>
  <c r="AI30" i="8"/>
  <c r="AG30" i="8"/>
  <c r="AH30" i="8" s="1"/>
  <c r="AI29" i="8"/>
  <c r="AH29" i="8"/>
  <c r="AG29" i="8"/>
  <c r="AI28" i="8"/>
  <c r="AH28" i="8"/>
  <c r="AG28" i="8"/>
  <c r="AI27" i="8"/>
  <c r="AH27" i="8"/>
  <c r="AG27" i="8"/>
  <c r="AI26" i="8"/>
  <c r="AG26" i="8"/>
  <c r="AH26" i="8" s="1"/>
  <c r="AI25" i="8"/>
  <c r="AG25" i="8"/>
  <c r="AH25" i="8" s="1"/>
  <c r="AI24" i="8"/>
  <c r="AG24" i="8"/>
  <c r="AH24" i="8" s="1"/>
  <c r="AI23" i="8"/>
  <c r="AH23" i="8"/>
  <c r="AG23" i="8"/>
  <c r="AI22" i="8"/>
  <c r="AH22" i="8"/>
  <c r="AG22" i="8"/>
  <c r="AI21" i="8"/>
  <c r="AH21" i="8"/>
  <c r="AG21" i="8"/>
  <c r="AI20" i="8"/>
  <c r="AG20" i="8"/>
  <c r="AH20" i="8" s="1"/>
  <c r="AI19" i="8"/>
  <c r="AH19" i="8"/>
  <c r="AG19" i="8"/>
  <c r="AI18" i="8"/>
  <c r="AG18" i="8"/>
  <c r="AH18" i="8" s="1"/>
  <c r="AI17" i="8"/>
  <c r="AH17" i="8"/>
  <c r="AG17" i="8"/>
  <c r="AI16" i="8"/>
  <c r="AH16" i="8"/>
  <c r="AG16" i="8"/>
  <c r="AI15" i="8"/>
  <c r="AH15" i="8"/>
  <c r="AG15" i="8"/>
  <c r="AI14" i="8"/>
  <c r="AG14" i="8"/>
  <c r="AH14" i="8" s="1"/>
  <c r="AI13" i="8"/>
  <c r="AH13" i="8"/>
  <c r="AG13" i="8"/>
  <c r="AI12" i="8"/>
  <c r="AG12" i="8"/>
  <c r="AH12" i="8" s="1"/>
  <c r="AI11" i="8"/>
  <c r="AH11" i="8"/>
  <c r="AG11" i="8"/>
  <c r="AI10" i="8"/>
  <c r="AH10" i="8"/>
  <c r="AG10" i="8"/>
  <c r="AI9" i="8"/>
  <c r="AH9" i="8"/>
  <c r="AG9" i="8"/>
  <c r="AI8" i="8"/>
  <c r="AG8" i="8"/>
  <c r="AH8" i="8" s="1"/>
  <c r="AI7" i="8"/>
  <c r="AG7" i="8"/>
  <c r="AH7" i="8" s="1"/>
  <c r="AI6" i="8"/>
  <c r="AG6" i="8"/>
  <c r="AH6" i="8" s="1"/>
  <c r="AI5" i="8"/>
  <c r="AH5" i="8"/>
  <c r="AG5" i="8"/>
  <c r="AI4" i="8"/>
  <c r="AH4" i="8"/>
  <c r="AJ3" i="8" s="1"/>
  <c r="AG4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I129" i="7"/>
  <c r="AG129" i="7"/>
  <c r="AI128" i="7"/>
  <c r="AG128" i="7"/>
  <c r="AI127" i="7"/>
  <c r="AG127" i="7"/>
  <c r="AI126" i="7"/>
  <c r="AG126" i="7"/>
  <c r="AI125" i="7"/>
  <c r="AG125" i="7"/>
  <c r="AI124" i="7"/>
  <c r="AG124" i="7"/>
  <c r="AI123" i="7"/>
  <c r="AG123" i="7"/>
  <c r="AI122" i="7"/>
  <c r="AG122" i="7"/>
  <c r="AI121" i="7"/>
  <c r="AG121" i="7"/>
  <c r="AI120" i="7"/>
  <c r="AG120" i="7"/>
  <c r="AI119" i="7"/>
  <c r="AG119" i="7"/>
  <c r="AI118" i="7"/>
  <c r="AG118" i="7"/>
  <c r="AI117" i="7"/>
  <c r="AG117" i="7"/>
  <c r="AI116" i="7"/>
  <c r="AG116" i="7"/>
  <c r="AH116" i="7" s="1"/>
  <c r="AI115" i="7"/>
  <c r="AG115" i="7"/>
  <c r="AH115" i="7" s="1"/>
  <c r="AI114" i="7"/>
  <c r="AG114" i="7"/>
  <c r="AH114" i="7" s="1"/>
  <c r="AI113" i="7"/>
  <c r="AH113" i="7"/>
  <c r="AG113" i="7"/>
  <c r="AI112" i="7"/>
  <c r="AH112" i="7"/>
  <c r="AG112" i="7"/>
  <c r="AI111" i="7"/>
  <c r="AH111" i="7"/>
  <c r="AG111" i="7"/>
  <c r="AI110" i="7"/>
  <c r="AG110" i="7"/>
  <c r="AH110" i="7" s="1"/>
  <c r="AI109" i="7"/>
  <c r="AG109" i="7"/>
  <c r="AH109" i="7" s="1"/>
  <c r="AI108" i="7"/>
  <c r="AG108" i="7"/>
  <c r="AH108" i="7" s="1"/>
  <c r="AI107" i="7"/>
  <c r="AH107" i="7"/>
  <c r="AG107" i="7"/>
  <c r="AI106" i="7"/>
  <c r="AH106" i="7"/>
  <c r="AG106" i="7"/>
  <c r="AI105" i="7"/>
  <c r="AH105" i="7"/>
  <c r="AG105" i="7"/>
  <c r="AI104" i="7"/>
  <c r="AG104" i="7"/>
  <c r="AH104" i="7" s="1"/>
  <c r="AI103" i="7"/>
  <c r="AG103" i="7"/>
  <c r="AH103" i="7" s="1"/>
  <c r="AI102" i="7"/>
  <c r="AG102" i="7"/>
  <c r="AH102" i="7" s="1"/>
  <c r="AI101" i="7"/>
  <c r="AH101" i="7"/>
  <c r="AG101" i="7"/>
  <c r="AI100" i="7"/>
  <c r="AH100" i="7"/>
  <c r="AG100" i="7"/>
  <c r="AI99" i="7"/>
  <c r="AH99" i="7"/>
  <c r="AG99" i="7"/>
  <c r="AI98" i="7"/>
  <c r="AG98" i="7"/>
  <c r="AH98" i="7" s="1"/>
  <c r="AI97" i="7"/>
  <c r="AH97" i="7"/>
  <c r="AG97" i="7"/>
  <c r="AI96" i="7"/>
  <c r="AG96" i="7"/>
  <c r="AH96" i="7" s="1"/>
  <c r="AI95" i="7"/>
  <c r="AH95" i="7"/>
  <c r="AG95" i="7"/>
  <c r="AI94" i="7"/>
  <c r="AH94" i="7"/>
  <c r="AG94" i="7"/>
  <c r="AI93" i="7"/>
  <c r="AH93" i="7"/>
  <c r="AG93" i="7"/>
  <c r="AI92" i="7"/>
  <c r="AG92" i="7"/>
  <c r="AH92" i="7" s="1"/>
  <c r="AI91" i="7"/>
  <c r="AH91" i="7"/>
  <c r="AG91" i="7"/>
  <c r="AI90" i="7"/>
  <c r="AG90" i="7"/>
  <c r="AH90" i="7" s="1"/>
  <c r="AI89" i="7"/>
  <c r="AH89" i="7"/>
  <c r="AG89" i="7"/>
  <c r="AI88" i="7"/>
  <c r="AH88" i="7"/>
  <c r="AG88" i="7"/>
  <c r="AI87" i="7"/>
  <c r="AH87" i="7"/>
  <c r="AG87" i="7"/>
  <c r="AI86" i="7"/>
  <c r="AG86" i="7"/>
  <c r="AH86" i="7" s="1"/>
  <c r="AI85" i="7"/>
  <c r="AH85" i="7"/>
  <c r="AG85" i="7"/>
  <c r="AI84" i="7"/>
  <c r="AG84" i="7"/>
  <c r="AH84" i="7" s="1"/>
  <c r="AI83" i="7"/>
  <c r="AH83" i="7"/>
  <c r="AG83" i="7"/>
  <c r="AI82" i="7"/>
  <c r="AH82" i="7"/>
  <c r="AG82" i="7"/>
  <c r="AI81" i="7"/>
  <c r="AH81" i="7"/>
  <c r="AG81" i="7"/>
  <c r="AI80" i="7"/>
  <c r="AG80" i="7"/>
  <c r="AH80" i="7" s="1"/>
  <c r="AI79" i="7"/>
  <c r="AG79" i="7"/>
  <c r="AH79" i="7" s="1"/>
  <c r="AI78" i="7"/>
  <c r="AG78" i="7"/>
  <c r="AH78" i="7" s="1"/>
  <c r="AI77" i="7"/>
  <c r="AH77" i="7"/>
  <c r="AG77" i="7"/>
  <c r="AI76" i="7"/>
  <c r="AH76" i="7"/>
  <c r="AG76" i="7"/>
  <c r="AI75" i="7"/>
  <c r="AH75" i="7"/>
  <c r="AG75" i="7"/>
  <c r="AI74" i="7"/>
  <c r="AG74" i="7"/>
  <c r="AH74" i="7" s="1"/>
  <c r="AI73" i="7"/>
  <c r="AH73" i="7"/>
  <c r="AG73" i="7"/>
  <c r="AI72" i="7"/>
  <c r="AG72" i="7"/>
  <c r="AH72" i="7" s="1"/>
  <c r="AI71" i="7"/>
  <c r="AH71" i="7"/>
  <c r="AG71" i="7"/>
  <c r="AI70" i="7"/>
  <c r="AH70" i="7"/>
  <c r="AG70" i="7"/>
  <c r="AI69" i="7"/>
  <c r="AH69" i="7"/>
  <c r="AG69" i="7"/>
  <c r="AI68" i="7"/>
  <c r="AG68" i="7"/>
  <c r="AH68" i="7" s="1"/>
  <c r="AI67" i="7"/>
  <c r="AH67" i="7"/>
  <c r="AG67" i="7"/>
  <c r="AI66" i="7"/>
  <c r="AG66" i="7"/>
  <c r="AH66" i="7" s="1"/>
  <c r="AI65" i="7"/>
  <c r="AH65" i="7"/>
  <c r="AG65" i="7"/>
  <c r="AI64" i="7"/>
  <c r="AH64" i="7"/>
  <c r="AG64" i="7"/>
  <c r="AI63" i="7"/>
  <c r="AH63" i="7"/>
  <c r="AG63" i="7"/>
  <c r="AI62" i="7"/>
  <c r="AG62" i="7"/>
  <c r="AH62" i="7" s="1"/>
  <c r="AI61" i="7"/>
  <c r="AG61" i="7"/>
  <c r="AH61" i="7" s="1"/>
  <c r="AI60" i="7"/>
  <c r="AG60" i="7"/>
  <c r="AH60" i="7" s="1"/>
  <c r="AI59" i="7"/>
  <c r="AH59" i="7"/>
  <c r="AG59" i="7"/>
  <c r="AI58" i="7"/>
  <c r="AH58" i="7"/>
  <c r="AG58" i="7"/>
  <c r="AI57" i="7"/>
  <c r="AH57" i="7"/>
  <c r="AG57" i="7"/>
  <c r="AI56" i="7"/>
  <c r="AG56" i="7"/>
  <c r="AH56" i="7" s="1"/>
  <c r="AI55" i="7"/>
  <c r="AG55" i="7"/>
  <c r="AH55" i="7" s="1"/>
  <c r="AI54" i="7"/>
  <c r="AG54" i="7"/>
  <c r="AH54" i="7" s="1"/>
  <c r="AI53" i="7"/>
  <c r="AH53" i="7"/>
  <c r="AG53" i="7"/>
  <c r="AI52" i="7"/>
  <c r="AH52" i="7"/>
  <c r="AG52" i="7"/>
  <c r="AI51" i="7"/>
  <c r="AH51" i="7"/>
  <c r="AG51" i="7"/>
  <c r="AI50" i="7"/>
  <c r="AG50" i="7"/>
  <c r="AH50" i="7" s="1"/>
  <c r="AI49" i="7"/>
  <c r="AG49" i="7"/>
  <c r="AH49" i="7" s="1"/>
  <c r="AI48" i="7"/>
  <c r="AG48" i="7"/>
  <c r="AH48" i="7" s="1"/>
  <c r="AI47" i="7"/>
  <c r="AH47" i="7"/>
  <c r="AG47" i="7"/>
  <c r="AI46" i="7"/>
  <c r="AH46" i="7"/>
  <c r="AG46" i="7"/>
  <c r="AI45" i="7"/>
  <c r="AH45" i="7"/>
  <c r="AG45" i="7"/>
  <c r="AI44" i="7"/>
  <c r="AG44" i="7"/>
  <c r="AH44" i="7" s="1"/>
  <c r="AI43" i="7"/>
  <c r="AH43" i="7"/>
  <c r="AG43" i="7"/>
  <c r="AI42" i="7"/>
  <c r="AG42" i="7"/>
  <c r="AH42" i="7" s="1"/>
  <c r="AI41" i="7"/>
  <c r="AH41" i="7"/>
  <c r="AG41" i="7"/>
  <c r="AI40" i="7"/>
  <c r="AH40" i="7"/>
  <c r="AG40" i="7"/>
  <c r="AI39" i="7"/>
  <c r="AH39" i="7"/>
  <c r="AG39" i="7"/>
  <c r="AI38" i="7"/>
  <c r="AG38" i="7"/>
  <c r="AH38" i="7" s="1"/>
  <c r="AI37" i="7"/>
  <c r="AH37" i="7"/>
  <c r="AG37" i="7"/>
  <c r="AI36" i="7"/>
  <c r="AG36" i="7"/>
  <c r="AH36" i="7" s="1"/>
  <c r="AI35" i="7"/>
  <c r="AH35" i="7"/>
  <c r="AG35" i="7"/>
  <c r="AI34" i="7"/>
  <c r="AH34" i="7"/>
  <c r="AG34" i="7"/>
  <c r="AI33" i="7"/>
  <c r="AH33" i="7"/>
  <c r="AG33" i="7"/>
  <c r="AI32" i="7"/>
  <c r="AG32" i="7"/>
  <c r="AH32" i="7" s="1"/>
  <c r="AI31" i="7"/>
  <c r="AH31" i="7"/>
  <c r="AG31" i="7"/>
  <c r="AI30" i="7"/>
  <c r="AG30" i="7"/>
  <c r="AH30" i="7" s="1"/>
  <c r="AI29" i="7"/>
  <c r="AH29" i="7"/>
  <c r="AG29" i="7"/>
  <c r="AI28" i="7"/>
  <c r="AH28" i="7"/>
  <c r="AG28" i="7"/>
  <c r="AI27" i="7"/>
  <c r="AH27" i="7"/>
  <c r="AG27" i="7"/>
  <c r="AI26" i="7"/>
  <c r="AG26" i="7"/>
  <c r="AH26" i="7" s="1"/>
  <c r="AI25" i="7"/>
  <c r="AG25" i="7"/>
  <c r="AH25" i="7" s="1"/>
  <c r="AI24" i="7"/>
  <c r="AG24" i="7"/>
  <c r="AH24" i="7" s="1"/>
  <c r="AI23" i="7"/>
  <c r="AH23" i="7"/>
  <c r="AG23" i="7"/>
  <c r="AI22" i="7"/>
  <c r="AH22" i="7"/>
  <c r="AG22" i="7"/>
  <c r="AI21" i="7"/>
  <c r="AH21" i="7"/>
  <c r="AG21" i="7"/>
  <c r="AI20" i="7"/>
  <c r="AG20" i="7"/>
  <c r="AH20" i="7" s="1"/>
  <c r="AI19" i="7"/>
  <c r="AH19" i="7"/>
  <c r="AG19" i="7"/>
  <c r="AI18" i="7"/>
  <c r="AG18" i="7"/>
  <c r="AH18" i="7" s="1"/>
  <c r="AI17" i="7"/>
  <c r="AH17" i="7"/>
  <c r="AG17" i="7"/>
  <c r="AI16" i="7"/>
  <c r="AH16" i="7"/>
  <c r="AG16" i="7"/>
  <c r="AI15" i="7"/>
  <c r="AH15" i="7"/>
  <c r="AG15" i="7"/>
  <c r="AI14" i="7"/>
  <c r="AG14" i="7"/>
  <c r="AH14" i="7" s="1"/>
  <c r="AI13" i="7"/>
  <c r="AH13" i="7"/>
  <c r="AG13" i="7"/>
  <c r="AI12" i="7"/>
  <c r="AG12" i="7"/>
  <c r="AH12" i="7" s="1"/>
  <c r="AI11" i="7"/>
  <c r="AH11" i="7"/>
  <c r="AG11" i="7"/>
  <c r="AI10" i="7"/>
  <c r="AH10" i="7"/>
  <c r="AG10" i="7"/>
  <c r="AI9" i="7"/>
  <c r="AH9" i="7"/>
  <c r="AG9" i="7"/>
  <c r="AI8" i="7"/>
  <c r="AG8" i="7"/>
  <c r="AH8" i="7" s="1"/>
  <c r="AI7" i="7"/>
  <c r="AG7" i="7"/>
  <c r="AH7" i="7" s="1"/>
  <c r="AI6" i="7"/>
  <c r="AG6" i="7"/>
  <c r="AH6" i="7" s="1"/>
  <c r="AI5" i="7"/>
  <c r="AH5" i="7"/>
  <c r="AG5" i="7"/>
  <c r="AI4" i="7"/>
  <c r="AH4" i="7"/>
  <c r="AJ3" i="7" s="1"/>
  <c r="AG4" i="7"/>
  <c r="AI129" i="6"/>
  <c r="AG129" i="6"/>
  <c r="AI128" i="6"/>
  <c r="AG128" i="6"/>
  <c r="AI127" i="6"/>
  <c r="AG127" i="6"/>
  <c r="AI126" i="6"/>
  <c r="AG126" i="6"/>
  <c r="AI125" i="6"/>
  <c r="AG125" i="6"/>
  <c r="AI124" i="6"/>
  <c r="AG124" i="6"/>
  <c r="AI123" i="6"/>
  <c r="AG123" i="6"/>
  <c r="AI122" i="6"/>
  <c r="AG122" i="6"/>
  <c r="AI121" i="6"/>
  <c r="AG121" i="6"/>
  <c r="AI120" i="6"/>
  <c r="AG120" i="6"/>
  <c r="AI119" i="6"/>
  <c r="AG119" i="6"/>
  <c r="AI118" i="6"/>
  <c r="AG118" i="6"/>
  <c r="AI117" i="6"/>
  <c r="AG117" i="6"/>
  <c r="AI116" i="6"/>
  <c r="AG116" i="6"/>
  <c r="AI115" i="6"/>
  <c r="AG115" i="6"/>
  <c r="AH115" i="6" s="1"/>
  <c r="AI114" i="6"/>
  <c r="AG114" i="6"/>
  <c r="AH114" i="6" s="1"/>
  <c r="AI113" i="6"/>
  <c r="AG113" i="6"/>
  <c r="AH113" i="6" s="1"/>
  <c r="AI112" i="6"/>
  <c r="AH112" i="6"/>
  <c r="AG112" i="6"/>
  <c r="AI111" i="6"/>
  <c r="AH111" i="6"/>
  <c r="AG111" i="6"/>
  <c r="AI110" i="6"/>
  <c r="AH110" i="6"/>
  <c r="AG110" i="6"/>
  <c r="AI109" i="6"/>
  <c r="AG109" i="6"/>
  <c r="AH109" i="6" s="1"/>
  <c r="AI108" i="6"/>
  <c r="AG108" i="6"/>
  <c r="AH108" i="6" s="1"/>
  <c r="AI107" i="6"/>
  <c r="AG107" i="6"/>
  <c r="AH107" i="6" s="1"/>
  <c r="AI106" i="6"/>
  <c r="AH106" i="6"/>
  <c r="AG106" i="6"/>
  <c r="AI105" i="6"/>
  <c r="AG105" i="6"/>
  <c r="AH105" i="6" s="1"/>
  <c r="AI104" i="6"/>
  <c r="AH104" i="6"/>
  <c r="AG104" i="6"/>
  <c r="AI103" i="6"/>
  <c r="AG103" i="6"/>
  <c r="AH103" i="6" s="1"/>
  <c r="AI102" i="6"/>
  <c r="AG102" i="6"/>
  <c r="AH102" i="6" s="1"/>
  <c r="AI101" i="6"/>
  <c r="AG101" i="6"/>
  <c r="AH101" i="6" s="1"/>
  <c r="AI100" i="6"/>
  <c r="AH100" i="6"/>
  <c r="AG100" i="6"/>
  <c r="AI99" i="6"/>
  <c r="AG99" i="6"/>
  <c r="AH99" i="6" s="1"/>
  <c r="AI98" i="6"/>
  <c r="AH98" i="6"/>
  <c r="AG98" i="6"/>
  <c r="AI97" i="6"/>
  <c r="AG97" i="6"/>
  <c r="AH97" i="6" s="1"/>
  <c r="AI96" i="6"/>
  <c r="AG96" i="6"/>
  <c r="AH96" i="6" s="1"/>
  <c r="AI95" i="6"/>
  <c r="AG95" i="6"/>
  <c r="AH95" i="6" s="1"/>
  <c r="AI94" i="6"/>
  <c r="AH94" i="6"/>
  <c r="AG94" i="6"/>
  <c r="AI93" i="6"/>
  <c r="AG93" i="6"/>
  <c r="AH93" i="6" s="1"/>
  <c r="AI92" i="6"/>
  <c r="AH92" i="6"/>
  <c r="AG92" i="6"/>
  <c r="AI91" i="6"/>
  <c r="AG91" i="6"/>
  <c r="AH91" i="6" s="1"/>
  <c r="AI90" i="6"/>
  <c r="AG90" i="6"/>
  <c r="AH90" i="6" s="1"/>
  <c r="AI89" i="6"/>
  <c r="AG89" i="6"/>
  <c r="AH89" i="6" s="1"/>
  <c r="AI88" i="6"/>
  <c r="AH88" i="6"/>
  <c r="AG88" i="6"/>
  <c r="AI87" i="6"/>
  <c r="AG87" i="6"/>
  <c r="AH87" i="6" s="1"/>
  <c r="AI86" i="6"/>
  <c r="AH86" i="6"/>
  <c r="AG86" i="6"/>
  <c r="AI85" i="6"/>
  <c r="AG85" i="6"/>
  <c r="AI84" i="6"/>
  <c r="AG84" i="6"/>
  <c r="AH84" i="6" s="1"/>
  <c r="AI83" i="6"/>
  <c r="AG83" i="6"/>
  <c r="AH83" i="6" s="1"/>
  <c r="AI82" i="6"/>
  <c r="AG82" i="6"/>
  <c r="AH82" i="6" s="1"/>
  <c r="AI81" i="6"/>
  <c r="AG81" i="6"/>
  <c r="AH81" i="6" s="1"/>
  <c r="AI80" i="6"/>
  <c r="AH80" i="6"/>
  <c r="AG80" i="6"/>
  <c r="AI79" i="6"/>
  <c r="AH79" i="6"/>
  <c r="AG79" i="6"/>
  <c r="AI78" i="6"/>
  <c r="AG78" i="6"/>
  <c r="AH78" i="6" s="1"/>
  <c r="AI77" i="6"/>
  <c r="AH77" i="6"/>
  <c r="AG77" i="6"/>
  <c r="AI76" i="6"/>
  <c r="AG76" i="6"/>
  <c r="AH76" i="6" s="1"/>
  <c r="AI75" i="6"/>
  <c r="AG75" i="6"/>
  <c r="AH75" i="6" s="1"/>
  <c r="AI74" i="6"/>
  <c r="AH74" i="6"/>
  <c r="AG74" i="6"/>
  <c r="AI73" i="6"/>
  <c r="AH73" i="6"/>
  <c r="AG73" i="6"/>
  <c r="AI72" i="6"/>
  <c r="AG72" i="6"/>
  <c r="AH72" i="6" s="1"/>
  <c r="AI71" i="6"/>
  <c r="AH71" i="6"/>
  <c r="AG71" i="6"/>
  <c r="AI70" i="6"/>
  <c r="AG70" i="6"/>
  <c r="AH70" i="6" s="1"/>
  <c r="AI69" i="6"/>
  <c r="AG69" i="6"/>
  <c r="AH69" i="6" s="1"/>
  <c r="AI68" i="6"/>
  <c r="AH68" i="6"/>
  <c r="AG68" i="6"/>
  <c r="AI67" i="6"/>
  <c r="AH67" i="6"/>
  <c r="AG67" i="6"/>
  <c r="AI66" i="6"/>
  <c r="AG66" i="6"/>
  <c r="AH66" i="6" s="1"/>
  <c r="AI65" i="6"/>
  <c r="AH65" i="6"/>
  <c r="AG65" i="6"/>
  <c r="AI64" i="6"/>
  <c r="AG64" i="6"/>
  <c r="AH64" i="6" s="1"/>
  <c r="AI63" i="6"/>
  <c r="AG63" i="6"/>
  <c r="AH63" i="6" s="1"/>
  <c r="AI62" i="6"/>
  <c r="AH62" i="6"/>
  <c r="AG62" i="6"/>
  <c r="AI61" i="6"/>
  <c r="AH61" i="6"/>
  <c r="AG61" i="6"/>
  <c r="AI60" i="6"/>
  <c r="AG60" i="6"/>
  <c r="AH60" i="6" s="1"/>
  <c r="AI59" i="6"/>
  <c r="AG59" i="6"/>
  <c r="AI58" i="6"/>
  <c r="AG58" i="6"/>
  <c r="AI57" i="6"/>
  <c r="AG57" i="6"/>
  <c r="AI56" i="6"/>
  <c r="AG56" i="6"/>
  <c r="AH56" i="6" s="1"/>
  <c r="AI55" i="6"/>
  <c r="AG55" i="6"/>
  <c r="AI54" i="6"/>
  <c r="AG54" i="6"/>
  <c r="AH54" i="6" s="1"/>
  <c r="AI53" i="6"/>
  <c r="AH53" i="6"/>
  <c r="AG53" i="6"/>
  <c r="AI52" i="6"/>
  <c r="AH52" i="6"/>
  <c r="AG52" i="6"/>
  <c r="AI51" i="6"/>
  <c r="AH51" i="6"/>
  <c r="AG51" i="6"/>
  <c r="AI50" i="6"/>
  <c r="AG50" i="6"/>
  <c r="AH50" i="6" s="1"/>
  <c r="AI49" i="6"/>
  <c r="AH49" i="6"/>
  <c r="AG49" i="6"/>
  <c r="AI48" i="6"/>
  <c r="AG48" i="6"/>
  <c r="AH48" i="6" s="1"/>
  <c r="AI47" i="6"/>
  <c r="AH47" i="6"/>
  <c r="AG47" i="6"/>
  <c r="AI46" i="6"/>
  <c r="AH46" i="6"/>
  <c r="AG46" i="6"/>
  <c r="AI45" i="6"/>
  <c r="AH45" i="6"/>
  <c r="AG45" i="6"/>
  <c r="AI44" i="6"/>
  <c r="AG44" i="6"/>
  <c r="AH44" i="6" s="1"/>
  <c r="AI43" i="6"/>
  <c r="AG43" i="6"/>
  <c r="AH43" i="6" s="1"/>
  <c r="AI42" i="6"/>
  <c r="AG42" i="6"/>
  <c r="AH42" i="6" s="1"/>
  <c r="AI41" i="6"/>
  <c r="AH41" i="6"/>
  <c r="AG41" i="6"/>
  <c r="AI40" i="6"/>
  <c r="AH40" i="6"/>
  <c r="AG40" i="6"/>
  <c r="AI39" i="6"/>
  <c r="AH39" i="6"/>
  <c r="AG39" i="6"/>
  <c r="AI38" i="6"/>
  <c r="AG38" i="6"/>
  <c r="AH38" i="6" s="1"/>
  <c r="AI37" i="6"/>
  <c r="AG37" i="6"/>
  <c r="AH37" i="6" s="1"/>
  <c r="AI36" i="6"/>
  <c r="AG36" i="6"/>
  <c r="AH36" i="6" s="1"/>
  <c r="AI35" i="6"/>
  <c r="AH35" i="6"/>
  <c r="AG35" i="6"/>
  <c r="AI34" i="6"/>
  <c r="AH34" i="6"/>
  <c r="AG34" i="6"/>
  <c r="AI33" i="6"/>
  <c r="AH33" i="6"/>
  <c r="AG33" i="6"/>
  <c r="AI32" i="6"/>
  <c r="AG32" i="6"/>
  <c r="AH32" i="6" s="1"/>
  <c r="AI31" i="6"/>
  <c r="AG31" i="6"/>
  <c r="AI30" i="6"/>
  <c r="AH30" i="6"/>
  <c r="AG30" i="6"/>
  <c r="AI29" i="6"/>
  <c r="AG29" i="6"/>
  <c r="AH29" i="6" s="1"/>
  <c r="AI28" i="6"/>
  <c r="AG28" i="6"/>
  <c r="AH28" i="6" s="1"/>
  <c r="AI27" i="6"/>
  <c r="AG27" i="6"/>
  <c r="AH27" i="6" s="1"/>
  <c r="AI26" i="6"/>
  <c r="AH26" i="6"/>
  <c r="AG26" i="6"/>
  <c r="AI25" i="6"/>
  <c r="AH25" i="6"/>
  <c r="AG25" i="6"/>
  <c r="AI24" i="6"/>
  <c r="AH24" i="6"/>
  <c r="AG24" i="6"/>
  <c r="AI23" i="6"/>
  <c r="AG23" i="6"/>
  <c r="AH23" i="6" s="1"/>
  <c r="AI22" i="6"/>
  <c r="AG22" i="6"/>
  <c r="AH22" i="6" s="1"/>
  <c r="AI21" i="6"/>
  <c r="AG21" i="6"/>
  <c r="AH21" i="6" s="1"/>
  <c r="AI20" i="6"/>
  <c r="AH20" i="6"/>
  <c r="AG20" i="6"/>
  <c r="AI19" i="6"/>
  <c r="AH19" i="6"/>
  <c r="AG19" i="6"/>
  <c r="AI18" i="6"/>
  <c r="AH18" i="6"/>
  <c r="AG18" i="6"/>
  <c r="AI17" i="6"/>
  <c r="AG17" i="6"/>
  <c r="AH17" i="6" s="1"/>
  <c r="AI16" i="6"/>
  <c r="AG16" i="6"/>
  <c r="AH16" i="6" s="1"/>
  <c r="AI15" i="6"/>
  <c r="AG15" i="6"/>
  <c r="AH15" i="6" s="1"/>
  <c r="AI14" i="6"/>
  <c r="AH14" i="6"/>
  <c r="AG14" i="6"/>
  <c r="AI13" i="6"/>
  <c r="AH13" i="6"/>
  <c r="AG13" i="6"/>
  <c r="AI12" i="6"/>
  <c r="AH12" i="6"/>
  <c r="AG12" i="6"/>
  <c r="AI11" i="6"/>
  <c r="AG11" i="6"/>
  <c r="AH11" i="6" s="1"/>
  <c r="AI10" i="6"/>
  <c r="AG10" i="6"/>
  <c r="AH10" i="6" s="1"/>
  <c r="AI9" i="6"/>
  <c r="AG9" i="6"/>
  <c r="AH9" i="6" s="1"/>
  <c r="AI8" i="6"/>
  <c r="AH8" i="6"/>
  <c r="AG8" i="6"/>
  <c r="AI7" i="6"/>
  <c r="AG7" i="6"/>
  <c r="AH7" i="6" s="1"/>
  <c r="AI6" i="6"/>
  <c r="AH6" i="6"/>
  <c r="AG6" i="6"/>
  <c r="AI5" i="6"/>
  <c r="AG5" i="6"/>
  <c r="AH5" i="6" s="1"/>
  <c r="AI4" i="6"/>
  <c r="AG4" i="6"/>
  <c r="AH4" i="6" s="1"/>
  <c r="AJ3" i="6" s="1"/>
  <c r="AJ129" i="5"/>
  <c r="AH129" i="5"/>
  <c r="AJ128" i="5"/>
  <c r="AH128" i="5"/>
  <c r="AJ127" i="5"/>
  <c r="AH127" i="5"/>
  <c r="AJ126" i="5"/>
  <c r="AH126" i="5"/>
  <c r="AJ125" i="5"/>
  <c r="AH125" i="5"/>
  <c r="AJ124" i="5"/>
  <c r="AH124" i="5"/>
  <c r="AJ123" i="5"/>
  <c r="AH123" i="5"/>
  <c r="AJ122" i="5"/>
  <c r="AH122" i="5"/>
  <c r="AJ121" i="5"/>
  <c r="AH121" i="5"/>
  <c r="AJ120" i="5"/>
  <c r="AH120" i="5"/>
  <c r="AJ119" i="5"/>
  <c r="AH119" i="5"/>
  <c r="AJ118" i="5"/>
  <c r="AH118" i="5"/>
  <c r="AJ117" i="5"/>
  <c r="AH117" i="5"/>
  <c r="AJ116" i="5"/>
  <c r="AH116" i="5"/>
  <c r="AJ115" i="5"/>
  <c r="AH115" i="5"/>
  <c r="AJ114" i="5"/>
  <c r="AI114" i="5"/>
  <c r="AH114" i="5"/>
  <c r="AJ113" i="5"/>
  <c r="AI113" i="5"/>
  <c r="AH113" i="5"/>
  <c r="AJ112" i="5"/>
  <c r="AI112" i="5"/>
  <c r="AH112" i="5"/>
  <c r="AJ111" i="5"/>
  <c r="AH111" i="5"/>
  <c r="AI111" i="5" s="1"/>
  <c r="AJ110" i="5"/>
  <c r="AH110" i="5"/>
  <c r="AI110" i="5" s="1"/>
  <c r="AJ109" i="5"/>
  <c r="AH109" i="5"/>
  <c r="AI109" i="5" s="1"/>
  <c r="AJ108" i="5"/>
  <c r="AI108" i="5"/>
  <c r="AH108" i="5"/>
  <c r="AJ107" i="5"/>
  <c r="AI107" i="5"/>
  <c r="AH107" i="5"/>
  <c r="AJ106" i="5"/>
  <c r="AI106" i="5"/>
  <c r="AH106" i="5"/>
  <c r="AJ105" i="5"/>
  <c r="AH105" i="5"/>
  <c r="AI105" i="5" s="1"/>
  <c r="AJ104" i="5"/>
  <c r="AH104" i="5"/>
  <c r="AI104" i="5" s="1"/>
  <c r="AJ103" i="5"/>
  <c r="AH103" i="5"/>
  <c r="AI103" i="5" s="1"/>
  <c r="AJ102" i="5"/>
  <c r="AI102" i="5"/>
  <c r="AH102" i="5"/>
  <c r="AJ101" i="5"/>
  <c r="AI101" i="5"/>
  <c r="AH101" i="5"/>
  <c r="AJ100" i="5"/>
  <c r="AI100" i="5"/>
  <c r="AH100" i="5"/>
  <c r="AJ99" i="5"/>
  <c r="AH99" i="5"/>
  <c r="AI99" i="5" s="1"/>
  <c r="AJ98" i="5"/>
  <c r="AI98" i="5"/>
  <c r="AH98" i="5"/>
  <c r="AJ97" i="5"/>
  <c r="AH97" i="5"/>
  <c r="AI97" i="5" s="1"/>
  <c r="AJ96" i="5"/>
  <c r="AI96" i="5"/>
  <c r="AH96" i="5"/>
  <c r="AJ95" i="5"/>
  <c r="AI95" i="5"/>
  <c r="AH95" i="5"/>
  <c r="AJ94" i="5"/>
  <c r="AI94" i="5"/>
  <c r="AH94" i="5"/>
  <c r="AJ93" i="5"/>
  <c r="AH93" i="5"/>
  <c r="AI93" i="5" s="1"/>
  <c r="AJ92" i="5"/>
  <c r="AI92" i="5"/>
  <c r="AH92" i="5"/>
  <c r="AJ91" i="5"/>
  <c r="AH91" i="5"/>
  <c r="AI91" i="5" s="1"/>
  <c r="AJ90" i="5"/>
  <c r="AI90" i="5"/>
  <c r="AH90" i="5"/>
  <c r="AJ89" i="5"/>
  <c r="AI89" i="5"/>
  <c r="AH89" i="5"/>
  <c r="AJ88" i="5"/>
  <c r="AI88" i="5"/>
  <c r="AH88" i="5"/>
  <c r="AJ87" i="5"/>
  <c r="AH87" i="5"/>
  <c r="AI87" i="5" s="1"/>
  <c r="AJ86" i="5"/>
  <c r="AI86" i="5"/>
  <c r="AH86" i="5"/>
  <c r="AJ85" i="5"/>
  <c r="AH85" i="5"/>
  <c r="AI85" i="5" s="1"/>
  <c r="AJ84" i="5"/>
  <c r="AI84" i="5"/>
  <c r="AH84" i="5"/>
  <c r="AJ83" i="5"/>
  <c r="AI83" i="5"/>
  <c r="AH83" i="5"/>
  <c r="AJ82" i="5"/>
  <c r="AI82" i="5"/>
  <c r="AH82" i="5"/>
  <c r="AJ81" i="5"/>
  <c r="AH81" i="5"/>
  <c r="AI81" i="5" s="1"/>
  <c r="AJ80" i="5"/>
  <c r="AH80" i="5"/>
  <c r="AI80" i="5" s="1"/>
  <c r="AJ79" i="5"/>
  <c r="AH79" i="5"/>
  <c r="AI79" i="5" s="1"/>
  <c r="AJ78" i="5"/>
  <c r="AI78" i="5"/>
  <c r="AH78" i="5"/>
  <c r="AJ77" i="5"/>
  <c r="AI77" i="5"/>
  <c r="AH77" i="5"/>
  <c r="AJ76" i="5"/>
  <c r="AI76" i="5"/>
  <c r="AH76" i="5"/>
  <c r="AJ75" i="5"/>
  <c r="AH75" i="5"/>
  <c r="AI75" i="5" s="1"/>
  <c r="AJ74" i="5"/>
  <c r="AI74" i="5"/>
  <c r="AH74" i="5"/>
  <c r="AJ73" i="5"/>
  <c r="AH73" i="5"/>
  <c r="AI73" i="5" s="1"/>
  <c r="AJ72" i="5"/>
  <c r="AI72" i="5"/>
  <c r="AH72" i="5"/>
  <c r="AJ71" i="5"/>
  <c r="AI71" i="5"/>
  <c r="AH71" i="5"/>
  <c r="AJ70" i="5"/>
  <c r="AI70" i="5"/>
  <c r="AH70" i="5"/>
  <c r="AJ69" i="5"/>
  <c r="AH69" i="5"/>
  <c r="AI69" i="5" s="1"/>
  <c r="AJ68" i="5"/>
  <c r="AI68" i="5"/>
  <c r="AH68" i="5"/>
  <c r="AJ67" i="5"/>
  <c r="AH67" i="5"/>
  <c r="AI67" i="5" s="1"/>
  <c r="AJ66" i="5"/>
  <c r="AI66" i="5"/>
  <c r="AH66" i="5"/>
  <c r="AJ65" i="5"/>
  <c r="AI65" i="5"/>
  <c r="AH65" i="5"/>
  <c r="AJ64" i="5"/>
  <c r="AI64" i="5"/>
  <c r="AH64" i="5"/>
  <c r="AJ63" i="5"/>
  <c r="AH63" i="5"/>
  <c r="AI63" i="5" s="1"/>
  <c r="AJ62" i="5"/>
  <c r="AH62" i="5"/>
  <c r="AI62" i="5" s="1"/>
  <c r="AJ61" i="5"/>
  <c r="AH61" i="5"/>
  <c r="AI61" i="5" s="1"/>
  <c r="AJ60" i="5"/>
  <c r="AI60" i="5"/>
  <c r="AH60" i="5"/>
  <c r="AJ59" i="5"/>
  <c r="AI59" i="5"/>
  <c r="AH59" i="5"/>
  <c r="AJ58" i="5"/>
  <c r="AI58" i="5"/>
  <c r="AH58" i="5"/>
  <c r="AJ57" i="5"/>
  <c r="AH57" i="5"/>
  <c r="AI57" i="5" s="1"/>
  <c r="AJ56" i="5"/>
  <c r="AH56" i="5"/>
  <c r="AI56" i="5" s="1"/>
  <c r="AJ55" i="5"/>
  <c r="AH55" i="5"/>
  <c r="AI55" i="5" s="1"/>
  <c r="AJ54" i="5"/>
  <c r="AI54" i="5"/>
  <c r="AH54" i="5"/>
  <c r="AJ53" i="5"/>
  <c r="AI53" i="5"/>
  <c r="AH53" i="5"/>
  <c r="AJ52" i="5"/>
  <c r="AI52" i="5"/>
  <c r="AH52" i="5"/>
  <c r="AJ51" i="5"/>
  <c r="AH51" i="5"/>
  <c r="AI51" i="5" s="1"/>
  <c r="AJ50" i="5"/>
  <c r="AH50" i="5"/>
  <c r="AI50" i="5" s="1"/>
  <c r="AJ49" i="5"/>
  <c r="AH49" i="5"/>
  <c r="AI49" i="5" s="1"/>
  <c r="AJ48" i="5"/>
  <c r="AI48" i="5"/>
  <c r="AH48" i="5"/>
  <c r="AJ47" i="5"/>
  <c r="AI47" i="5"/>
  <c r="AH47" i="5"/>
  <c r="AJ46" i="5"/>
  <c r="AI46" i="5"/>
  <c r="AH46" i="5"/>
  <c r="AJ45" i="5"/>
  <c r="AH45" i="5"/>
  <c r="AI45" i="5" s="1"/>
  <c r="AJ44" i="5"/>
  <c r="AI44" i="5"/>
  <c r="AH44" i="5"/>
  <c r="AJ43" i="5"/>
  <c r="AH43" i="5"/>
  <c r="AI43" i="5" s="1"/>
  <c r="AJ42" i="5"/>
  <c r="AI42" i="5"/>
  <c r="AH42" i="5"/>
  <c r="AJ41" i="5"/>
  <c r="AI41" i="5"/>
  <c r="AH41" i="5"/>
  <c r="AJ40" i="5"/>
  <c r="AI40" i="5"/>
  <c r="AH40" i="5"/>
  <c r="AJ39" i="5"/>
  <c r="AH39" i="5"/>
  <c r="AI39" i="5" s="1"/>
  <c r="AJ38" i="5"/>
  <c r="AI38" i="5"/>
  <c r="AH38" i="5"/>
  <c r="AJ37" i="5"/>
  <c r="AH37" i="5"/>
  <c r="AI37" i="5" s="1"/>
  <c r="AJ36" i="5"/>
  <c r="AI36" i="5"/>
  <c r="AH36" i="5"/>
  <c r="AJ35" i="5"/>
  <c r="AI35" i="5"/>
  <c r="AH35" i="5"/>
  <c r="AJ34" i="5"/>
  <c r="AI34" i="5"/>
  <c r="AH34" i="5"/>
  <c r="AJ33" i="5"/>
  <c r="AH33" i="5"/>
  <c r="AI33" i="5" s="1"/>
  <c r="AJ32" i="5"/>
  <c r="AI32" i="5"/>
  <c r="AH32" i="5"/>
  <c r="AJ31" i="5"/>
  <c r="AH31" i="5"/>
  <c r="AI31" i="5" s="1"/>
  <c r="AJ30" i="5"/>
  <c r="AI30" i="5"/>
  <c r="AH30" i="5"/>
  <c r="AJ29" i="5"/>
  <c r="AI29" i="5"/>
  <c r="AH29" i="5"/>
  <c r="AJ28" i="5"/>
  <c r="AI28" i="5"/>
  <c r="AH28" i="5"/>
  <c r="AJ27" i="5"/>
  <c r="AH27" i="5"/>
  <c r="AI27" i="5" s="1"/>
  <c r="AJ26" i="5"/>
  <c r="AH26" i="5"/>
  <c r="AI26" i="5" s="1"/>
  <c r="AJ25" i="5"/>
  <c r="AH25" i="5"/>
  <c r="AI25" i="5" s="1"/>
  <c r="AJ24" i="5"/>
  <c r="AI24" i="5"/>
  <c r="AH24" i="5"/>
  <c r="AJ23" i="5"/>
  <c r="AI23" i="5"/>
  <c r="AH23" i="5"/>
  <c r="AJ22" i="5"/>
  <c r="AI22" i="5"/>
  <c r="AH22" i="5"/>
  <c r="AJ21" i="5"/>
  <c r="AH21" i="5"/>
  <c r="AI21" i="5" s="1"/>
  <c r="AJ20" i="5"/>
  <c r="AI20" i="5"/>
  <c r="AH20" i="5"/>
  <c r="AJ19" i="5"/>
  <c r="AH19" i="5"/>
  <c r="AI19" i="5" s="1"/>
  <c r="AJ18" i="5"/>
  <c r="AI18" i="5"/>
  <c r="AH18" i="5"/>
  <c r="AJ17" i="5"/>
  <c r="AI17" i="5"/>
  <c r="AH17" i="5"/>
  <c r="AJ16" i="5"/>
  <c r="AI16" i="5"/>
  <c r="AH16" i="5"/>
  <c r="AJ15" i="5"/>
  <c r="AH15" i="5"/>
  <c r="AI15" i="5" s="1"/>
  <c r="AJ14" i="5"/>
  <c r="AI14" i="5"/>
  <c r="AH14" i="5"/>
  <c r="AJ13" i="5"/>
  <c r="AH13" i="5"/>
  <c r="AI13" i="5" s="1"/>
  <c r="AJ12" i="5"/>
  <c r="AI12" i="5"/>
  <c r="AH12" i="5"/>
  <c r="AJ11" i="5"/>
  <c r="AI11" i="5"/>
  <c r="AH11" i="5"/>
  <c r="AJ10" i="5"/>
  <c r="AI10" i="5"/>
  <c r="AH10" i="5"/>
  <c r="AJ9" i="5"/>
  <c r="AH9" i="5"/>
  <c r="AI9" i="5" s="1"/>
  <c r="AJ8" i="5"/>
  <c r="AH8" i="5"/>
  <c r="AI8" i="5" s="1"/>
  <c r="AJ7" i="5"/>
  <c r="AH7" i="5"/>
  <c r="AI7" i="5" s="1"/>
  <c r="AJ6" i="5"/>
  <c r="AI6" i="5"/>
  <c r="AH6" i="5"/>
  <c r="AJ5" i="5"/>
  <c r="AI5" i="5"/>
  <c r="AH5" i="5"/>
  <c r="AJ4" i="5"/>
  <c r="AI4" i="5"/>
  <c r="AK3" i="5" s="1"/>
  <c r="AH4" i="5"/>
  <c r="AJ120" i="4"/>
  <c r="AH120" i="4"/>
  <c r="AJ119" i="4"/>
  <c r="AH119" i="4"/>
  <c r="AJ118" i="4"/>
  <c r="AH118" i="4"/>
  <c r="AJ117" i="4"/>
  <c r="AH117" i="4"/>
  <c r="AJ116" i="4"/>
  <c r="AH116" i="4"/>
  <c r="AJ115" i="4"/>
  <c r="AH115" i="4"/>
  <c r="AJ114" i="4"/>
  <c r="AH114" i="4"/>
  <c r="AJ113" i="4"/>
  <c r="AH113" i="4"/>
  <c r="AJ112" i="4"/>
  <c r="AI112" i="4"/>
  <c r="AH112" i="4"/>
  <c r="AJ111" i="4"/>
  <c r="AH111" i="4"/>
  <c r="AI111" i="4" s="1"/>
  <c r="AJ110" i="4"/>
  <c r="AI110" i="4"/>
  <c r="AH110" i="4"/>
  <c r="AJ109" i="4"/>
  <c r="AH109" i="4"/>
  <c r="AI109" i="4" s="1"/>
  <c r="AJ108" i="4"/>
  <c r="AH108" i="4"/>
  <c r="AI108" i="4" s="1"/>
  <c r="AJ107" i="4"/>
  <c r="AH107" i="4"/>
  <c r="AI107" i="4" s="1"/>
  <c r="AJ106" i="4"/>
  <c r="AI106" i="4"/>
  <c r="AH106" i="4"/>
  <c r="AJ105" i="4"/>
  <c r="AI105" i="4"/>
  <c r="AH105" i="4"/>
  <c r="AJ104" i="4"/>
  <c r="AI104" i="4"/>
  <c r="AH104" i="4"/>
  <c r="AJ103" i="4"/>
  <c r="AH103" i="4"/>
  <c r="AI103" i="4" s="1"/>
  <c r="AJ102" i="4"/>
  <c r="AI102" i="4"/>
  <c r="AH102" i="4"/>
  <c r="AJ101" i="4"/>
  <c r="AH101" i="4"/>
  <c r="AI101" i="4" s="1"/>
  <c r="AJ100" i="4"/>
  <c r="AI100" i="4"/>
  <c r="AH100" i="4"/>
  <c r="AJ99" i="4"/>
  <c r="AI99" i="4"/>
  <c r="AH99" i="4"/>
  <c r="AJ98" i="4"/>
  <c r="AI98" i="4"/>
  <c r="AH98" i="4"/>
  <c r="AJ97" i="4"/>
  <c r="AH97" i="4"/>
  <c r="AI97" i="4" s="1"/>
  <c r="AJ96" i="4"/>
  <c r="AH96" i="4"/>
  <c r="AI96" i="4" s="1"/>
  <c r="AJ95" i="4"/>
  <c r="AH95" i="4"/>
  <c r="AI95" i="4" s="1"/>
  <c r="AJ94" i="4"/>
  <c r="AI94" i="4"/>
  <c r="AH94" i="4"/>
  <c r="AJ93" i="4"/>
  <c r="AI93" i="4"/>
  <c r="AH93" i="4"/>
  <c r="AJ92" i="4"/>
  <c r="AI92" i="4"/>
  <c r="AH92" i="4"/>
  <c r="AJ91" i="4"/>
  <c r="AH91" i="4"/>
  <c r="AI91" i="4" s="1"/>
  <c r="AJ90" i="4"/>
  <c r="AH90" i="4"/>
  <c r="AI90" i="4" s="1"/>
  <c r="AJ89" i="4"/>
  <c r="AH89" i="4"/>
  <c r="AI89" i="4" s="1"/>
  <c r="AJ88" i="4"/>
  <c r="AI88" i="4"/>
  <c r="AH88" i="4"/>
  <c r="AJ87" i="4"/>
  <c r="AI87" i="4"/>
  <c r="AH87" i="4"/>
  <c r="AJ86" i="4"/>
  <c r="AI86" i="4"/>
  <c r="AH86" i="4"/>
  <c r="AJ85" i="4"/>
  <c r="AH85" i="4"/>
  <c r="AI85" i="4" s="1"/>
  <c r="AJ84" i="4"/>
  <c r="AH84" i="4"/>
  <c r="AI84" i="4" s="1"/>
  <c r="AJ83" i="4"/>
  <c r="AH83" i="4"/>
  <c r="AI83" i="4" s="1"/>
  <c r="AJ82" i="4"/>
  <c r="AI82" i="4"/>
  <c r="AH82" i="4"/>
  <c r="AJ81" i="4"/>
  <c r="AH81" i="4"/>
  <c r="AI81" i="4" s="1"/>
  <c r="AJ80" i="4"/>
  <c r="AI80" i="4"/>
  <c r="AH80" i="4"/>
  <c r="AJ79" i="4"/>
  <c r="AH79" i="4"/>
  <c r="AI79" i="4" s="1"/>
  <c r="AJ78" i="4"/>
  <c r="AH78" i="4"/>
  <c r="AI78" i="4" s="1"/>
  <c r="AJ77" i="4"/>
  <c r="AH77" i="4"/>
  <c r="AI77" i="4" s="1"/>
  <c r="AJ76" i="4"/>
  <c r="AI76" i="4"/>
  <c r="AH76" i="4"/>
  <c r="AJ75" i="4"/>
  <c r="AH75" i="4"/>
  <c r="AI75" i="4" s="1"/>
  <c r="AJ74" i="4"/>
  <c r="AI74" i="4"/>
  <c r="AH74" i="4"/>
  <c r="AJ73" i="4"/>
  <c r="AH73" i="4"/>
  <c r="AI73" i="4" s="1"/>
  <c r="AJ72" i="4"/>
  <c r="AH72" i="4"/>
  <c r="AI72" i="4" s="1"/>
  <c r="AJ71" i="4"/>
  <c r="AH71" i="4"/>
  <c r="AI71" i="4" s="1"/>
  <c r="AJ70" i="4"/>
  <c r="AI70" i="4"/>
  <c r="AH70" i="4"/>
  <c r="AJ69" i="4"/>
  <c r="AI69" i="4"/>
  <c r="AH69" i="4"/>
  <c r="AJ68" i="4"/>
  <c r="AI68" i="4"/>
  <c r="AH68" i="4"/>
  <c r="AJ67" i="4"/>
  <c r="AH67" i="4"/>
  <c r="AI67" i="4" s="1"/>
  <c r="AJ66" i="4"/>
  <c r="AI66" i="4"/>
  <c r="AH66" i="4"/>
  <c r="AJ65" i="4"/>
  <c r="AH65" i="4"/>
  <c r="AI65" i="4" s="1"/>
  <c r="AJ64" i="4"/>
  <c r="AI64" i="4"/>
  <c r="AH64" i="4"/>
  <c r="AJ63" i="4"/>
  <c r="AH63" i="4"/>
  <c r="AI63" i="4" s="1"/>
  <c r="AJ62" i="4"/>
  <c r="AI62" i="4"/>
  <c r="AH62" i="4"/>
  <c r="AJ61" i="4"/>
  <c r="AH61" i="4"/>
  <c r="AI61" i="4" s="1"/>
  <c r="AJ60" i="4"/>
  <c r="AI60" i="4"/>
  <c r="AH60" i="4"/>
  <c r="AJ59" i="4"/>
  <c r="AH59" i="4"/>
  <c r="AI59" i="4" s="1"/>
  <c r="AJ58" i="4"/>
  <c r="AI58" i="4"/>
  <c r="AH58" i="4"/>
  <c r="AJ57" i="4"/>
  <c r="AH57" i="4"/>
  <c r="AI57" i="4" s="1"/>
  <c r="AJ56" i="4"/>
  <c r="AI56" i="4"/>
  <c r="AH56" i="4"/>
  <c r="AJ55" i="4"/>
  <c r="AH55" i="4"/>
  <c r="AI55" i="4" s="1"/>
  <c r="AJ54" i="4"/>
  <c r="AH54" i="4"/>
  <c r="AI54" i="4" s="1"/>
  <c r="AJ53" i="4"/>
  <c r="AH53" i="4"/>
  <c r="AI53" i="4" s="1"/>
  <c r="AJ52" i="4"/>
  <c r="AI52" i="4"/>
  <c r="AH52" i="4"/>
  <c r="AJ51" i="4"/>
  <c r="AH51" i="4"/>
  <c r="AI51" i="4" s="1"/>
  <c r="AJ50" i="4"/>
  <c r="AI50" i="4"/>
  <c r="AH50" i="4"/>
  <c r="AJ49" i="4"/>
  <c r="AH49" i="4"/>
  <c r="AI49" i="4" s="1"/>
  <c r="AJ48" i="4"/>
  <c r="AH48" i="4"/>
  <c r="AI48" i="4" s="1"/>
  <c r="AJ47" i="4"/>
  <c r="AH47" i="4"/>
  <c r="AI47" i="4" s="1"/>
  <c r="AJ46" i="4"/>
  <c r="AI46" i="4"/>
  <c r="AH46" i="4"/>
  <c r="AJ45" i="4"/>
  <c r="AH45" i="4"/>
  <c r="AI45" i="4" s="1"/>
  <c r="AJ44" i="4"/>
  <c r="AI44" i="4"/>
  <c r="AH44" i="4"/>
  <c r="AJ43" i="4"/>
  <c r="AH43" i="4"/>
  <c r="AI43" i="4" s="1"/>
  <c r="AJ42" i="4"/>
  <c r="AI42" i="4"/>
  <c r="AH42" i="4"/>
  <c r="AJ41" i="4"/>
  <c r="AH41" i="4"/>
  <c r="AI41" i="4" s="1"/>
  <c r="AJ40" i="4"/>
  <c r="AI40" i="4"/>
  <c r="AH40" i="4"/>
  <c r="AJ39" i="4"/>
  <c r="AI39" i="4"/>
  <c r="AH39" i="4"/>
  <c r="AJ38" i="4"/>
  <c r="AI38" i="4"/>
  <c r="AH38" i="4"/>
  <c r="AJ37" i="4"/>
  <c r="AH37" i="4"/>
  <c r="AI37" i="4" s="1"/>
  <c r="AJ36" i="4"/>
  <c r="AH36" i="4"/>
  <c r="AI36" i="4" s="1"/>
  <c r="AJ35" i="4"/>
  <c r="AH35" i="4"/>
  <c r="AI35" i="4" s="1"/>
  <c r="AJ34" i="4"/>
  <c r="AI34" i="4"/>
  <c r="AH34" i="4"/>
  <c r="AJ33" i="4"/>
  <c r="AI33" i="4"/>
  <c r="AH33" i="4"/>
  <c r="AJ32" i="4"/>
  <c r="AI32" i="4"/>
  <c r="AH32" i="4"/>
  <c r="AJ31" i="4"/>
  <c r="AH31" i="4"/>
  <c r="AI31" i="4" s="1"/>
  <c r="AJ30" i="4"/>
  <c r="AH30" i="4"/>
  <c r="AI30" i="4" s="1"/>
  <c r="AJ29" i="4"/>
  <c r="AH29" i="4"/>
  <c r="AI29" i="4" s="1"/>
  <c r="AJ28" i="4"/>
  <c r="AI28" i="4"/>
  <c r="AH28" i="4"/>
  <c r="AJ27" i="4"/>
  <c r="AH27" i="4"/>
  <c r="AI27" i="4" s="1"/>
  <c r="AJ26" i="4"/>
  <c r="AI26" i="4"/>
  <c r="AH26" i="4"/>
  <c r="AJ25" i="4"/>
  <c r="AH25" i="4"/>
  <c r="AI25" i="4" s="1"/>
  <c r="AJ24" i="4"/>
  <c r="AH24" i="4"/>
  <c r="AI24" i="4" s="1"/>
  <c r="AJ23" i="4"/>
  <c r="AH23" i="4"/>
  <c r="AI23" i="4" s="1"/>
  <c r="AJ22" i="4"/>
  <c r="AI22" i="4"/>
  <c r="AH22" i="4"/>
  <c r="AJ21" i="4"/>
  <c r="AH21" i="4"/>
  <c r="AI21" i="4" s="1"/>
  <c r="AJ20" i="4"/>
  <c r="AI20" i="4"/>
  <c r="AH20" i="4"/>
  <c r="AJ19" i="4"/>
  <c r="AH19" i="4"/>
  <c r="AI19" i="4" s="1"/>
  <c r="AJ18" i="4"/>
  <c r="AH18" i="4"/>
  <c r="AI18" i="4" s="1"/>
  <c r="AJ17" i="4"/>
  <c r="AH17" i="4"/>
  <c r="AI17" i="4" s="1"/>
  <c r="AJ16" i="4"/>
  <c r="AI16" i="4"/>
  <c r="AH16" i="4"/>
  <c r="AJ15" i="4"/>
  <c r="AI15" i="4"/>
  <c r="AH15" i="4"/>
  <c r="AJ14" i="4"/>
  <c r="AI14" i="4"/>
  <c r="AH14" i="4"/>
  <c r="AJ13" i="4"/>
  <c r="AH13" i="4"/>
  <c r="AI13" i="4" s="1"/>
  <c r="AJ12" i="4"/>
  <c r="AI12" i="4"/>
  <c r="AH12" i="4"/>
  <c r="AJ11" i="4"/>
  <c r="AH11" i="4"/>
  <c r="AI11" i="4" s="1"/>
  <c r="AJ10" i="4"/>
  <c r="AI10" i="4"/>
  <c r="AH10" i="4"/>
  <c r="AJ9" i="4"/>
  <c r="AH9" i="4"/>
  <c r="AI9" i="4" s="1"/>
  <c r="AJ8" i="4"/>
  <c r="AI8" i="4"/>
  <c r="AH8" i="4"/>
  <c r="AJ7" i="4"/>
  <c r="AH7" i="4"/>
  <c r="AI7" i="4" s="1"/>
  <c r="AJ6" i="4"/>
  <c r="AI6" i="4"/>
  <c r="AH6" i="4"/>
  <c r="AJ5" i="4"/>
  <c r="AH5" i="4"/>
  <c r="AI5" i="4" s="1"/>
  <c r="AJ4" i="4"/>
  <c r="AI4" i="4"/>
  <c r="AK3" i="4" s="1"/>
  <c r="AH4" i="4"/>
  <c r="AE3" i="4"/>
  <c r="X3" i="4"/>
  <c r="Q3" i="4"/>
  <c r="J3" i="4"/>
  <c r="C3" i="4"/>
  <c r="AI111" i="3"/>
  <c r="AG111" i="3"/>
  <c r="AH111" i="3" s="1"/>
  <c r="AI110" i="3"/>
  <c r="AG110" i="3"/>
  <c r="AH110" i="3" s="1"/>
  <c r="AI109" i="3"/>
  <c r="AG109" i="3"/>
  <c r="AH109" i="3" s="1"/>
  <c r="AI108" i="3"/>
  <c r="AH108" i="3"/>
  <c r="AG108" i="3"/>
  <c r="AI107" i="3"/>
  <c r="AG107" i="3"/>
  <c r="AH107" i="3" s="1"/>
  <c r="AI106" i="3"/>
  <c r="AH106" i="3"/>
  <c r="AG106" i="3"/>
  <c r="AI105" i="3"/>
  <c r="AG105" i="3"/>
  <c r="AH105" i="3" s="1"/>
  <c r="AI104" i="3"/>
  <c r="AG104" i="3"/>
  <c r="AH104" i="3" s="1"/>
  <c r="AI103" i="3"/>
  <c r="AG103" i="3"/>
  <c r="AH103" i="3" s="1"/>
  <c r="AI102" i="3"/>
  <c r="AH102" i="3"/>
  <c r="AG102" i="3"/>
  <c r="AI101" i="3"/>
  <c r="AG101" i="3"/>
  <c r="AH101" i="3" s="1"/>
  <c r="AI100" i="3"/>
  <c r="AH100" i="3"/>
  <c r="AG100" i="3"/>
  <c r="AI99" i="3"/>
  <c r="AG99" i="3"/>
  <c r="AH99" i="3" s="1"/>
  <c r="AI98" i="3"/>
  <c r="AH98" i="3"/>
  <c r="AG98" i="3"/>
  <c r="AI97" i="3"/>
  <c r="AG97" i="3"/>
  <c r="AH97" i="3" s="1"/>
  <c r="AI96" i="3"/>
  <c r="AH96" i="3"/>
  <c r="AG96" i="3"/>
  <c r="AI95" i="3"/>
  <c r="AH95" i="3"/>
  <c r="AG95" i="3"/>
  <c r="AI94" i="3"/>
  <c r="AH94" i="3"/>
  <c r="AG94" i="3"/>
  <c r="AI93" i="3"/>
  <c r="AG93" i="3"/>
  <c r="AH93" i="3" s="1"/>
  <c r="AI92" i="3"/>
  <c r="AG92" i="3"/>
  <c r="AH92" i="3" s="1"/>
  <c r="AI91" i="3"/>
  <c r="AG91" i="3"/>
  <c r="AH91" i="3" s="1"/>
  <c r="AI90" i="3"/>
  <c r="AH90" i="3"/>
  <c r="AG90" i="3"/>
  <c r="AI89" i="3"/>
  <c r="AH89" i="3"/>
  <c r="AG89" i="3"/>
  <c r="AI88" i="3"/>
  <c r="AH88" i="3"/>
  <c r="AG88" i="3"/>
  <c r="AI87" i="3"/>
  <c r="AG87" i="3"/>
  <c r="AH87" i="3" s="1"/>
  <c r="AI86" i="3"/>
  <c r="AG86" i="3"/>
  <c r="AH86" i="3" s="1"/>
  <c r="AI85" i="3"/>
  <c r="AG85" i="3"/>
  <c r="AH85" i="3" s="1"/>
  <c r="AI84" i="3"/>
  <c r="AH84" i="3"/>
  <c r="AG84" i="3"/>
  <c r="AI83" i="3"/>
  <c r="AG83" i="3"/>
  <c r="AH83" i="3" s="1"/>
  <c r="AI82" i="3"/>
  <c r="AH82" i="3"/>
  <c r="AG82" i="3"/>
  <c r="AI81" i="3"/>
  <c r="AG81" i="3"/>
  <c r="AH81" i="3" s="1"/>
  <c r="AI80" i="3"/>
  <c r="AG80" i="3"/>
  <c r="AH80" i="3" s="1"/>
  <c r="AI79" i="3"/>
  <c r="AG79" i="3"/>
  <c r="AH79" i="3" s="1"/>
  <c r="AI78" i="3"/>
  <c r="AH78" i="3"/>
  <c r="AG78" i="3"/>
  <c r="AI77" i="3"/>
  <c r="AG77" i="3"/>
  <c r="AH77" i="3" s="1"/>
  <c r="AI76" i="3"/>
  <c r="AH76" i="3"/>
  <c r="AG76" i="3"/>
  <c r="AI75" i="3"/>
  <c r="AG75" i="3"/>
  <c r="AH75" i="3" s="1"/>
  <c r="AI74" i="3"/>
  <c r="AG74" i="3"/>
  <c r="AH74" i="3" s="1"/>
  <c r="AI73" i="3"/>
  <c r="AG73" i="3"/>
  <c r="AH73" i="3" s="1"/>
  <c r="AI72" i="3"/>
  <c r="AH72" i="3"/>
  <c r="AG72" i="3"/>
  <c r="AI71" i="3"/>
  <c r="AH71" i="3"/>
  <c r="AG71" i="3"/>
  <c r="AI70" i="3"/>
  <c r="AH70" i="3"/>
  <c r="AG70" i="3"/>
  <c r="AI69" i="3"/>
  <c r="AG69" i="3"/>
  <c r="AH69" i="3" s="1"/>
  <c r="AI68" i="3"/>
  <c r="AH68" i="3"/>
  <c r="AG68" i="3"/>
  <c r="AI67" i="3"/>
  <c r="AG67" i="3"/>
  <c r="AH67" i="3" s="1"/>
  <c r="AI66" i="3"/>
  <c r="AH66" i="3"/>
  <c r="AG66" i="3"/>
  <c r="AI65" i="3"/>
  <c r="AG65" i="3"/>
  <c r="AH65" i="3" s="1"/>
  <c r="AI64" i="3"/>
  <c r="AH64" i="3"/>
  <c r="AG64" i="3"/>
  <c r="AI63" i="3"/>
  <c r="AG63" i="3"/>
  <c r="AH63" i="3" s="1"/>
  <c r="AI62" i="3"/>
  <c r="AH62" i="3"/>
  <c r="AG62" i="3"/>
  <c r="AI61" i="3"/>
  <c r="AG61" i="3"/>
  <c r="AH61" i="3" s="1"/>
  <c r="AI60" i="3"/>
  <c r="AH60" i="3"/>
  <c r="AG60" i="3"/>
  <c r="AI59" i="3"/>
  <c r="AG59" i="3"/>
  <c r="AH59" i="3" s="1"/>
  <c r="AI58" i="3"/>
  <c r="AH58" i="3"/>
  <c r="AG58" i="3"/>
  <c r="AI57" i="3"/>
  <c r="AG57" i="3"/>
  <c r="AH57" i="3" s="1"/>
  <c r="AI56" i="3"/>
  <c r="AG56" i="3"/>
  <c r="AH56" i="3" s="1"/>
  <c r="AI55" i="3"/>
  <c r="AG55" i="3"/>
  <c r="AH55" i="3" s="1"/>
  <c r="AI54" i="3"/>
  <c r="AH54" i="3"/>
  <c r="AG54" i="3"/>
  <c r="AI53" i="3"/>
  <c r="AG53" i="3"/>
  <c r="AH53" i="3" s="1"/>
  <c r="AI52" i="3"/>
  <c r="AH52" i="3"/>
  <c r="AG52" i="3"/>
  <c r="AI51" i="3"/>
  <c r="AG51" i="3"/>
  <c r="AH51" i="3" s="1"/>
  <c r="AI50" i="3"/>
  <c r="AG50" i="3"/>
  <c r="AH50" i="3" s="1"/>
  <c r="AI49" i="3"/>
  <c r="AG49" i="3"/>
  <c r="AH49" i="3" s="1"/>
  <c r="AI48" i="3"/>
  <c r="AH48" i="3"/>
  <c r="AG48" i="3"/>
  <c r="AI47" i="3"/>
  <c r="AG47" i="3"/>
  <c r="AH47" i="3" s="1"/>
  <c r="AI46" i="3"/>
  <c r="AH46" i="3"/>
  <c r="AG46" i="3"/>
  <c r="AI45" i="3"/>
  <c r="AG45" i="3"/>
  <c r="AH45" i="3" s="1"/>
  <c r="AI44" i="3"/>
  <c r="AH44" i="3"/>
  <c r="AG44" i="3"/>
  <c r="AI43" i="3"/>
  <c r="AG43" i="3"/>
  <c r="AH43" i="3" s="1"/>
  <c r="AI42" i="3"/>
  <c r="AH42" i="3"/>
  <c r="AG42" i="3"/>
  <c r="AI41" i="3"/>
  <c r="AH41" i="3"/>
  <c r="AG41" i="3"/>
  <c r="AI40" i="3"/>
  <c r="AH40" i="3"/>
  <c r="AG40" i="3"/>
  <c r="AI39" i="3"/>
  <c r="AG39" i="3"/>
  <c r="AH39" i="3" s="1"/>
  <c r="AI38" i="3"/>
  <c r="AG38" i="3"/>
  <c r="AH38" i="3" s="1"/>
  <c r="AI37" i="3"/>
  <c r="AG37" i="3"/>
  <c r="AH37" i="3" s="1"/>
  <c r="AI36" i="3"/>
  <c r="AH36" i="3"/>
  <c r="AG36" i="3"/>
  <c r="AI35" i="3"/>
  <c r="AH35" i="3"/>
  <c r="AG35" i="3"/>
  <c r="AI34" i="3"/>
  <c r="AH34" i="3"/>
  <c r="AG34" i="3"/>
  <c r="AI33" i="3"/>
  <c r="AG33" i="3"/>
  <c r="AH33" i="3" s="1"/>
  <c r="AI32" i="3"/>
  <c r="AG32" i="3"/>
  <c r="AH32" i="3" s="1"/>
  <c r="AI31" i="3"/>
  <c r="AG31" i="3"/>
  <c r="AH31" i="3" s="1"/>
  <c r="AI30" i="3"/>
  <c r="AH30" i="3"/>
  <c r="AG30" i="3"/>
  <c r="AI29" i="3"/>
  <c r="AG29" i="3"/>
  <c r="AH29" i="3" s="1"/>
  <c r="AI28" i="3"/>
  <c r="AH28" i="3"/>
  <c r="AG28" i="3"/>
  <c r="AI27" i="3"/>
  <c r="AG27" i="3"/>
  <c r="AH27" i="3" s="1"/>
  <c r="AI26" i="3"/>
  <c r="AG26" i="3"/>
  <c r="AH26" i="3" s="1"/>
  <c r="AI25" i="3"/>
  <c r="AG25" i="3"/>
  <c r="AH25" i="3" s="1"/>
  <c r="AI24" i="3"/>
  <c r="AH24" i="3"/>
  <c r="AG24" i="3"/>
  <c r="AI23" i="3"/>
  <c r="AG23" i="3"/>
  <c r="AH23" i="3" s="1"/>
  <c r="AI22" i="3"/>
  <c r="AH22" i="3"/>
  <c r="AG22" i="3"/>
  <c r="AI21" i="3"/>
  <c r="AG21" i="3"/>
  <c r="AH21" i="3" s="1"/>
  <c r="AI20" i="3"/>
  <c r="AG20" i="3"/>
  <c r="AH20" i="3" s="1"/>
  <c r="AI19" i="3"/>
  <c r="AG19" i="3"/>
  <c r="AH19" i="3" s="1"/>
  <c r="AI18" i="3"/>
  <c r="AH18" i="3"/>
  <c r="AG18" i="3"/>
  <c r="AI17" i="3"/>
  <c r="AH17" i="3"/>
  <c r="AG17" i="3"/>
  <c r="AI16" i="3"/>
  <c r="AH16" i="3"/>
  <c r="AG16" i="3"/>
  <c r="AI15" i="3"/>
  <c r="AG15" i="3"/>
  <c r="AH15" i="3" s="1"/>
  <c r="AI14" i="3"/>
  <c r="AH14" i="3"/>
  <c r="AG14" i="3"/>
  <c r="AI13" i="3"/>
  <c r="AG13" i="3"/>
  <c r="AH13" i="3" s="1"/>
  <c r="AI12" i="3"/>
  <c r="AH12" i="3"/>
  <c r="AG12" i="3"/>
  <c r="AI11" i="3"/>
  <c r="AG11" i="3"/>
  <c r="AH11" i="3" s="1"/>
  <c r="AI10" i="3"/>
  <c r="AH10" i="3"/>
  <c r="AG10" i="3"/>
  <c r="AI9" i="3"/>
  <c r="AG9" i="3"/>
  <c r="AH9" i="3" s="1"/>
  <c r="AI8" i="3"/>
  <c r="AH8" i="3"/>
  <c r="AG8" i="3"/>
  <c r="AI7" i="3"/>
  <c r="AG7" i="3"/>
  <c r="AH7" i="3" s="1"/>
  <c r="AI6" i="3"/>
  <c r="AH6" i="3"/>
  <c r="AG6" i="3"/>
  <c r="AI5" i="3"/>
  <c r="AG5" i="3"/>
  <c r="AH5" i="3" s="1"/>
  <c r="AI4" i="3"/>
  <c r="AH4" i="3"/>
  <c r="AJ3" i="3" s="1"/>
  <c r="AG4" i="3"/>
  <c r="AJ106" i="2"/>
  <c r="AI106" i="2"/>
  <c r="AH106" i="2"/>
  <c r="AJ105" i="2"/>
  <c r="AI105" i="2"/>
  <c r="AH105" i="2"/>
  <c r="AJ104" i="2"/>
  <c r="AI104" i="2"/>
  <c r="AH104" i="2"/>
  <c r="AJ103" i="2"/>
  <c r="AH103" i="2"/>
  <c r="AI103" i="2" s="1"/>
  <c r="AJ102" i="2"/>
  <c r="AI102" i="2"/>
  <c r="AH102" i="2"/>
  <c r="AJ101" i="2"/>
  <c r="AH101" i="2"/>
  <c r="AI101" i="2" s="1"/>
  <c r="AJ100" i="2"/>
  <c r="AI100" i="2"/>
  <c r="AH100" i="2"/>
  <c r="AJ99" i="2"/>
  <c r="AI99" i="2"/>
  <c r="AH99" i="2"/>
  <c r="AJ98" i="2"/>
  <c r="AI98" i="2"/>
  <c r="AH98" i="2"/>
  <c r="AJ97" i="2"/>
  <c r="AH97" i="2"/>
  <c r="AI97" i="2" s="1"/>
  <c r="AJ96" i="2"/>
  <c r="AI96" i="2"/>
  <c r="AH96" i="2"/>
  <c r="AJ95" i="2"/>
  <c r="AH95" i="2"/>
  <c r="AI95" i="2" s="1"/>
  <c r="AJ94" i="2"/>
  <c r="AI94" i="2"/>
  <c r="AH94" i="2"/>
  <c r="AJ93" i="2"/>
  <c r="AI93" i="2"/>
  <c r="AH93" i="2"/>
  <c r="AJ92" i="2"/>
  <c r="AI92" i="2"/>
  <c r="AH92" i="2"/>
  <c r="AJ91" i="2"/>
  <c r="AH91" i="2"/>
  <c r="AI91" i="2" s="1"/>
  <c r="AJ90" i="2"/>
  <c r="AI90" i="2"/>
  <c r="AH90" i="2"/>
  <c r="AJ89" i="2"/>
  <c r="AH89" i="2"/>
  <c r="AI89" i="2" s="1"/>
  <c r="AJ88" i="2"/>
  <c r="AI88" i="2"/>
  <c r="AH88" i="2"/>
  <c r="AJ87" i="2"/>
  <c r="AI87" i="2"/>
  <c r="AH87" i="2"/>
  <c r="AJ86" i="2"/>
  <c r="AI86" i="2"/>
  <c r="AH86" i="2"/>
  <c r="AJ85" i="2"/>
  <c r="AH85" i="2"/>
  <c r="AI85" i="2" s="1"/>
  <c r="AJ84" i="2"/>
  <c r="AH84" i="2"/>
  <c r="AI84" i="2" s="1"/>
  <c r="AJ83" i="2"/>
  <c r="AH83" i="2"/>
  <c r="AI83" i="2" s="1"/>
  <c r="AJ82" i="2"/>
  <c r="AI82" i="2"/>
  <c r="AH82" i="2"/>
  <c r="AJ81" i="2"/>
  <c r="AI81" i="2"/>
  <c r="AH81" i="2"/>
  <c r="AJ80" i="2"/>
  <c r="AI80" i="2"/>
  <c r="AH80" i="2"/>
  <c r="AJ79" i="2"/>
  <c r="AH79" i="2"/>
  <c r="AI79" i="2" s="1"/>
  <c r="AJ78" i="2"/>
  <c r="AI78" i="2"/>
  <c r="AH78" i="2"/>
  <c r="AJ77" i="2"/>
  <c r="AH77" i="2"/>
  <c r="AI77" i="2" s="1"/>
  <c r="AJ76" i="2"/>
  <c r="AI76" i="2"/>
  <c r="AH76" i="2"/>
  <c r="AJ75" i="2"/>
  <c r="AI75" i="2"/>
  <c r="AH75" i="2"/>
  <c r="AJ74" i="2"/>
  <c r="AI74" i="2"/>
  <c r="AH74" i="2"/>
  <c r="AJ73" i="2"/>
  <c r="AH73" i="2"/>
  <c r="AI73" i="2" s="1"/>
  <c r="AJ72" i="2"/>
  <c r="AI72" i="2"/>
  <c r="AH72" i="2"/>
  <c r="AJ71" i="2"/>
  <c r="AH71" i="2"/>
  <c r="AI71" i="2" s="1"/>
  <c r="AJ70" i="2"/>
  <c r="AI70" i="2"/>
  <c r="AH70" i="2"/>
  <c r="AJ69" i="2"/>
  <c r="AI69" i="2"/>
  <c r="AH69" i="2"/>
  <c r="AJ68" i="2"/>
  <c r="AI68" i="2"/>
  <c r="AH68" i="2"/>
  <c r="AJ67" i="2"/>
  <c r="AH67" i="2"/>
  <c r="AI67" i="2" s="1"/>
  <c r="AJ66" i="2"/>
  <c r="AH66" i="2"/>
  <c r="AI66" i="2" s="1"/>
  <c r="AJ65" i="2"/>
  <c r="AH65" i="2"/>
  <c r="AI65" i="2" s="1"/>
  <c r="AJ64" i="2"/>
  <c r="AI64" i="2"/>
  <c r="AH64" i="2"/>
  <c r="AJ63" i="2"/>
  <c r="AI63" i="2"/>
  <c r="AH63" i="2"/>
  <c r="AJ62" i="2"/>
  <c r="AI62" i="2"/>
  <c r="AH62" i="2"/>
  <c r="AJ61" i="2"/>
  <c r="AH61" i="2"/>
  <c r="AI61" i="2" s="1"/>
  <c r="AJ60" i="2"/>
  <c r="AH60" i="2"/>
  <c r="AI60" i="2" s="1"/>
  <c r="AJ59" i="2"/>
  <c r="AH59" i="2"/>
  <c r="AI59" i="2" s="1"/>
  <c r="AJ58" i="2"/>
  <c r="AI58" i="2"/>
  <c r="AH58" i="2"/>
  <c r="AJ57" i="2"/>
  <c r="AI57" i="2"/>
  <c r="AH57" i="2"/>
  <c r="AJ56" i="2"/>
  <c r="AI56" i="2"/>
  <c r="AH56" i="2"/>
  <c r="AJ55" i="2"/>
  <c r="AH55" i="2"/>
  <c r="AI55" i="2" s="1"/>
  <c r="AJ54" i="2"/>
  <c r="AH54" i="2"/>
  <c r="AI54" i="2" s="1"/>
  <c r="AJ53" i="2"/>
  <c r="AH53" i="2"/>
  <c r="AI53" i="2" s="1"/>
  <c r="AJ52" i="2"/>
  <c r="AI52" i="2"/>
  <c r="AH52" i="2"/>
  <c r="AJ51" i="2"/>
  <c r="AI51" i="2"/>
  <c r="AH51" i="2"/>
  <c r="AJ50" i="2"/>
  <c r="AI50" i="2"/>
  <c r="AH50" i="2"/>
  <c r="AJ49" i="2"/>
  <c r="AH49" i="2"/>
  <c r="AI49" i="2" s="1"/>
  <c r="AJ48" i="2"/>
  <c r="AI48" i="2"/>
  <c r="AH48" i="2"/>
  <c r="AJ47" i="2"/>
  <c r="AH47" i="2"/>
  <c r="AI47" i="2" s="1"/>
  <c r="AJ46" i="2"/>
  <c r="AI46" i="2"/>
  <c r="AH46" i="2"/>
  <c r="AJ45" i="2"/>
  <c r="AI45" i="2"/>
  <c r="AH45" i="2"/>
  <c r="AJ44" i="2"/>
  <c r="AI44" i="2"/>
  <c r="AH44" i="2"/>
  <c r="AJ43" i="2"/>
  <c r="AH43" i="2"/>
  <c r="AI43" i="2" s="1"/>
  <c r="AJ42" i="2"/>
  <c r="AI42" i="2"/>
  <c r="AH42" i="2"/>
  <c r="AJ41" i="2"/>
  <c r="AH41" i="2"/>
  <c r="AI41" i="2" s="1"/>
  <c r="AJ40" i="2"/>
  <c r="AI40" i="2"/>
  <c r="AH40" i="2"/>
  <c r="AJ39" i="2"/>
  <c r="AI39" i="2"/>
  <c r="AH39" i="2"/>
  <c r="AJ38" i="2"/>
  <c r="AI38" i="2"/>
  <c r="AH38" i="2"/>
  <c r="AJ37" i="2"/>
  <c r="AH37" i="2"/>
  <c r="AI37" i="2" s="1"/>
  <c r="AJ36" i="2"/>
  <c r="AH36" i="2"/>
  <c r="AJ35" i="2"/>
  <c r="AI35" i="2"/>
  <c r="AH35" i="2"/>
  <c r="AJ34" i="2"/>
  <c r="AH34" i="2"/>
  <c r="AI34" i="2" s="1"/>
  <c r="AJ33" i="2"/>
  <c r="AH33" i="2"/>
  <c r="AI33" i="2" s="1"/>
  <c r="AJ32" i="2"/>
  <c r="AH32" i="2"/>
  <c r="AI32" i="2" s="1"/>
  <c r="AJ31" i="2"/>
  <c r="AI31" i="2"/>
  <c r="AH31" i="2"/>
  <c r="AJ30" i="2"/>
  <c r="AI30" i="2"/>
  <c r="AH30" i="2"/>
  <c r="AJ29" i="2"/>
  <c r="AH29" i="2"/>
  <c r="AJ28" i="2"/>
  <c r="AI28" i="2"/>
  <c r="AH28" i="2"/>
  <c r="AJ27" i="2"/>
  <c r="AH27" i="2"/>
  <c r="AI27" i="2" s="1"/>
  <c r="AJ26" i="2"/>
  <c r="AH26" i="2"/>
  <c r="AI26" i="2" s="1"/>
  <c r="AJ25" i="2"/>
  <c r="AH25" i="2"/>
  <c r="AI25" i="2" s="1"/>
  <c r="AJ24" i="2"/>
  <c r="AH24" i="2"/>
  <c r="AI24" i="2" s="1"/>
  <c r="AJ23" i="2"/>
  <c r="AI23" i="2"/>
  <c r="AH23" i="2"/>
  <c r="AJ22" i="2"/>
  <c r="AI22" i="2"/>
  <c r="AH22" i="2"/>
  <c r="AJ21" i="2"/>
  <c r="AH21" i="2"/>
  <c r="AI21" i="2" s="1"/>
  <c r="AJ20" i="2"/>
  <c r="AH20" i="2"/>
  <c r="AI20" i="2" s="1"/>
  <c r="AJ19" i="2"/>
  <c r="AH19" i="2"/>
  <c r="AI19" i="2" s="1"/>
  <c r="AJ18" i="2"/>
  <c r="AH18" i="2"/>
  <c r="AI18" i="2" s="1"/>
  <c r="AJ17" i="2"/>
  <c r="AI17" i="2"/>
  <c r="AH17" i="2"/>
  <c r="AJ16" i="2"/>
  <c r="AI16" i="2"/>
  <c r="AH16" i="2"/>
  <c r="AJ15" i="2"/>
  <c r="AH15" i="2"/>
  <c r="AI15" i="2" s="1"/>
  <c r="AJ14" i="2"/>
  <c r="AH14" i="2"/>
  <c r="AI14" i="2" s="1"/>
  <c r="AJ13" i="2"/>
  <c r="AH13" i="2"/>
  <c r="AI13" i="2" s="1"/>
  <c r="AJ12" i="2"/>
  <c r="AH12" i="2"/>
  <c r="AI12" i="2" s="1"/>
  <c r="AJ11" i="2"/>
  <c r="AI11" i="2"/>
  <c r="AH11" i="2"/>
  <c r="AJ10" i="2"/>
  <c r="AI10" i="2"/>
  <c r="AH10" i="2"/>
  <c r="AJ9" i="2"/>
  <c r="AH9" i="2"/>
  <c r="AI9" i="2" s="1"/>
  <c r="AJ8" i="2"/>
  <c r="AH8" i="2"/>
  <c r="AI8" i="2" s="1"/>
  <c r="AJ7" i="2"/>
  <c r="AH7" i="2"/>
  <c r="AI7" i="2" s="1"/>
  <c r="AJ6" i="2"/>
  <c r="AH6" i="2"/>
  <c r="AI6" i="2" s="1"/>
  <c r="AJ5" i="2"/>
  <c r="AI5" i="2"/>
  <c r="AH5" i="2"/>
  <c r="AJ4" i="2"/>
  <c r="AI4" i="2"/>
  <c r="AK3" i="2" s="1"/>
  <c r="AH4" i="2"/>
  <c r="AI106" i="1"/>
  <c r="AG106" i="1"/>
  <c r="AH106" i="1" s="1"/>
  <c r="AI105" i="1"/>
  <c r="AG105" i="1"/>
  <c r="AH105" i="1" s="1"/>
  <c r="AI104" i="1"/>
  <c r="AH104" i="1"/>
  <c r="AG104" i="1"/>
  <c r="AI103" i="1"/>
  <c r="AG103" i="1"/>
  <c r="AH103" i="1" s="1"/>
  <c r="AI102" i="1"/>
  <c r="AH102" i="1"/>
  <c r="AG102" i="1"/>
  <c r="AI101" i="1"/>
  <c r="AG101" i="1"/>
  <c r="AH101" i="1" s="1"/>
  <c r="AI100" i="1"/>
  <c r="AG100" i="1"/>
  <c r="AH100" i="1" s="1"/>
  <c r="AI99" i="1"/>
  <c r="AG99" i="1"/>
  <c r="AH99" i="1" s="1"/>
  <c r="AI98" i="1"/>
  <c r="AH98" i="1"/>
  <c r="AG98" i="1"/>
  <c r="AI97" i="1"/>
  <c r="AH97" i="1"/>
  <c r="AG97" i="1"/>
  <c r="AI96" i="1"/>
  <c r="AH96" i="1"/>
  <c r="AG96" i="1"/>
  <c r="AI95" i="1"/>
  <c r="AG95" i="1"/>
  <c r="AH95" i="1" s="1"/>
  <c r="AI94" i="1"/>
  <c r="AH94" i="1"/>
  <c r="AG94" i="1"/>
  <c r="AI93" i="1"/>
  <c r="AG93" i="1"/>
  <c r="AH93" i="1" s="1"/>
  <c r="AI92" i="1"/>
  <c r="AH92" i="1"/>
  <c r="AG92" i="1"/>
  <c r="AI91" i="1"/>
  <c r="AH91" i="1"/>
  <c r="AG91" i="1"/>
  <c r="AI90" i="1"/>
  <c r="AH90" i="1"/>
  <c r="AG90" i="1"/>
  <c r="AI89" i="1"/>
  <c r="AG89" i="1"/>
  <c r="AH89" i="1" s="1"/>
  <c r="AI88" i="1"/>
  <c r="AH88" i="1"/>
  <c r="AG88" i="1"/>
  <c r="AI87" i="1"/>
  <c r="AG87" i="1"/>
  <c r="AH87" i="1" s="1"/>
  <c r="AI86" i="1"/>
  <c r="AH86" i="1"/>
  <c r="AG86" i="1"/>
  <c r="AI85" i="1"/>
  <c r="AG85" i="1"/>
  <c r="AH85" i="1" s="1"/>
  <c r="AI84" i="1"/>
  <c r="AH84" i="1"/>
  <c r="AG84" i="1"/>
  <c r="AI83" i="1"/>
  <c r="AG83" i="1"/>
  <c r="AH83" i="1" s="1"/>
  <c r="AI82" i="1"/>
  <c r="AH82" i="1"/>
  <c r="AG82" i="1"/>
  <c r="AI81" i="1"/>
  <c r="AG81" i="1"/>
  <c r="AH81" i="1" s="1"/>
  <c r="AI80" i="1"/>
  <c r="AH80" i="1"/>
  <c r="AG80" i="1"/>
  <c r="AI79" i="1"/>
  <c r="AG79" i="1"/>
  <c r="AH79" i="1" s="1"/>
  <c r="AI78" i="1"/>
  <c r="AH78" i="1"/>
  <c r="AG78" i="1"/>
  <c r="AI77" i="1"/>
  <c r="AG77" i="1"/>
  <c r="AH77" i="1" s="1"/>
  <c r="AI76" i="1"/>
  <c r="AG76" i="1"/>
  <c r="AH76" i="1" s="1"/>
  <c r="AI75" i="1"/>
  <c r="AG75" i="1"/>
  <c r="AH75" i="1" s="1"/>
  <c r="AI74" i="1"/>
  <c r="AH74" i="1"/>
  <c r="AG74" i="1"/>
  <c r="AI73" i="1"/>
  <c r="AG73" i="1"/>
  <c r="AH73" i="1" s="1"/>
  <c r="AI72" i="1"/>
  <c r="AH72" i="1"/>
  <c r="AG72" i="1"/>
  <c r="AI71" i="1"/>
  <c r="AG71" i="1"/>
  <c r="AH71" i="1" s="1"/>
  <c r="AI70" i="1"/>
  <c r="AH70" i="1"/>
  <c r="AG70" i="1"/>
  <c r="AI69" i="1"/>
  <c r="AG69" i="1"/>
  <c r="AH69" i="1" s="1"/>
  <c r="AI68" i="1"/>
  <c r="AH68" i="1"/>
  <c r="AG68" i="1"/>
  <c r="AI67" i="1"/>
  <c r="AH67" i="1"/>
  <c r="AG67" i="1"/>
  <c r="AI66" i="1"/>
  <c r="AH66" i="1"/>
  <c r="AG66" i="1"/>
  <c r="AI65" i="1"/>
  <c r="AG65" i="1"/>
  <c r="AH65" i="1" s="1"/>
  <c r="AI64" i="1"/>
  <c r="AH64" i="1"/>
  <c r="AG64" i="1"/>
  <c r="AI63" i="1"/>
  <c r="AG63" i="1"/>
  <c r="AH63" i="1" s="1"/>
  <c r="AI62" i="1"/>
  <c r="AH62" i="1"/>
  <c r="AG62" i="1"/>
  <c r="AI61" i="1"/>
  <c r="AH61" i="1"/>
  <c r="AG61" i="1"/>
  <c r="AI60" i="1"/>
  <c r="AH60" i="1"/>
  <c r="AG60" i="1"/>
  <c r="AI59" i="1"/>
  <c r="AG59" i="1"/>
  <c r="AH59" i="1" s="1"/>
  <c r="AI58" i="1"/>
  <c r="AG58" i="1"/>
  <c r="AH58" i="1" s="1"/>
  <c r="AI57" i="1"/>
  <c r="AG57" i="1"/>
  <c r="AH57" i="1" s="1"/>
  <c r="AI56" i="1"/>
  <c r="AH56" i="1"/>
  <c r="AG56" i="1"/>
  <c r="AI55" i="1"/>
  <c r="AH55" i="1"/>
  <c r="AG55" i="1"/>
  <c r="AI54" i="1"/>
  <c r="AH54" i="1"/>
  <c r="AG54" i="1"/>
  <c r="AI53" i="1"/>
  <c r="AG53" i="1"/>
  <c r="AH53" i="1" s="1"/>
  <c r="AI52" i="1"/>
  <c r="AG52" i="1"/>
  <c r="AH52" i="1" s="1"/>
  <c r="AI51" i="1"/>
  <c r="AG51" i="1"/>
  <c r="AH51" i="1" s="1"/>
  <c r="AI50" i="1"/>
  <c r="AH50" i="1"/>
  <c r="AG50" i="1"/>
  <c r="AI49" i="1"/>
  <c r="AG49" i="1"/>
  <c r="AH49" i="1" s="1"/>
  <c r="AI48" i="1"/>
  <c r="AH48" i="1"/>
  <c r="AG48" i="1"/>
  <c r="AI47" i="1"/>
  <c r="AG47" i="1"/>
  <c r="AH47" i="1" s="1"/>
  <c r="AI46" i="1"/>
  <c r="AG46" i="1"/>
  <c r="AH46" i="1" s="1"/>
  <c r="AI45" i="1"/>
  <c r="AG45" i="1"/>
  <c r="AH45" i="1" s="1"/>
  <c r="AI44" i="1"/>
  <c r="AH44" i="1"/>
  <c r="AG44" i="1"/>
  <c r="AI43" i="1"/>
  <c r="AH43" i="1"/>
  <c r="AG43" i="1"/>
  <c r="AI42" i="1"/>
  <c r="AH42" i="1"/>
  <c r="AG42" i="1"/>
  <c r="AI41" i="1"/>
  <c r="AG41" i="1"/>
  <c r="AH41" i="1" s="1"/>
  <c r="AI40" i="1"/>
  <c r="AH40" i="1"/>
  <c r="AG40" i="1"/>
  <c r="AI39" i="1"/>
  <c r="AG39" i="1"/>
  <c r="AH39" i="1" s="1"/>
  <c r="AI38" i="1"/>
  <c r="AH38" i="1"/>
  <c r="AG38" i="1"/>
  <c r="AI37" i="1"/>
  <c r="AH37" i="1"/>
  <c r="AG37" i="1"/>
  <c r="AI36" i="1"/>
  <c r="AH36" i="1"/>
  <c r="AG36" i="1"/>
  <c r="AI35" i="1"/>
  <c r="AG35" i="1"/>
  <c r="AH35" i="1" s="1"/>
  <c r="AI34" i="1"/>
  <c r="AH34" i="1"/>
  <c r="AG34" i="1"/>
  <c r="AI33" i="1"/>
  <c r="AG33" i="1"/>
  <c r="AH33" i="1" s="1"/>
  <c r="AI32" i="1"/>
  <c r="AH32" i="1"/>
  <c r="AG32" i="1"/>
  <c r="AI31" i="1"/>
  <c r="AG31" i="1"/>
  <c r="AH31" i="1" s="1"/>
  <c r="AI30" i="1"/>
  <c r="AH30" i="1"/>
  <c r="AG30" i="1"/>
  <c r="AI29" i="1"/>
  <c r="AG29" i="1"/>
  <c r="AH29" i="1" s="1"/>
  <c r="AI28" i="1"/>
  <c r="AH28" i="1"/>
  <c r="AG28" i="1"/>
  <c r="AI27" i="1"/>
  <c r="AG27" i="1"/>
  <c r="AH27" i="1" s="1"/>
  <c r="AI26" i="1"/>
  <c r="AH26" i="1"/>
  <c r="AG26" i="1"/>
  <c r="AI25" i="1"/>
  <c r="AG25" i="1"/>
  <c r="AH25" i="1" s="1"/>
  <c r="AI24" i="1"/>
  <c r="AH24" i="1"/>
  <c r="AG24" i="1"/>
  <c r="AI23" i="1"/>
  <c r="AG23" i="1"/>
  <c r="AH23" i="1" s="1"/>
  <c r="AI22" i="1"/>
  <c r="AG22" i="1"/>
  <c r="AH22" i="1" s="1"/>
  <c r="AI21" i="1"/>
  <c r="AG21" i="1"/>
  <c r="AH21" i="1" s="1"/>
  <c r="AI20" i="1"/>
  <c r="AH20" i="1"/>
  <c r="AG20" i="1"/>
  <c r="AI19" i="1"/>
  <c r="AG19" i="1"/>
  <c r="AH19" i="1" s="1"/>
  <c r="AI18" i="1"/>
  <c r="AH18" i="1"/>
  <c r="AG18" i="1"/>
  <c r="AI17" i="1"/>
  <c r="AG17" i="1"/>
  <c r="AH17" i="1" s="1"/>
  <c r="AI16" i="1"/>
  <c r="AH16" i="1"/>
  <c r="AG16" i="1"/>
  <c r="AI15" i="1"/>
  <c r="AG15" i="1"/>
  <c r="AH15" i="1" s="1"/>
  <c r="AI14" i="1"/>
  <c r="AH14" i="1"/>
  <c r="AG14" i="1"/>
  <c r="AI13" i="1"/>
  <c r="AH13" i="1"/>
  <c r="AG13" i="1"/>
  <c r="AI12" i="1"/>
  <c r="AH12" i="1"/>
  <c r="AG12" i="1"/>
  <c r="AI11" i="1"/>
  <c r="AG11" i="1"/>
  <c r="AH11" i="1" s="1"/>
  <c r="AI10" i="1"/>
  <c r="AH10" i="1"/>
  <c r="AG10" i="1"/>
  <c r="AI9" i="1"/>
  <c r="AG9" i="1"/>
  <c r="AH9" i="1" s="1"/>
  <c r="AI8" i="1"/>
  <c r="AH8" i="1"/>
  <c r="AG8" i="1"/>
  <c r="AI7" i="1"/>
  <c r="AH7" i="1"/>
  <c r="AG7" i="1"/>
  <c r="AI6" i="1"/>
  <c r="AH6" i="1"/>
  <c r="AG6" i="1"/>
  <c r="AI5" i="1"/>
  <c r="AG5" i="1"/>
  <c r="AH5" i="1" s="1"/>
  <c r="AI4" i="1"/>
  <c r="AG4" i="1"/>
  <c r="AH4" i="1" s="1"/>
  <c r="AJ3" i="1" s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I159" i="36"/>
  <c r="AI158" i="36"/>
  <c r="AI157" i="36"/>
  <c r="AI156" i="36"/>
  <c r="AI155" i="36"/>
  <c r="AI154" i="36"/>
  <c r="AI153" i="36"/>
  <c r="AI152" i="36"/>
  <c r="AI151" i="36"/>
  <c r="AI150" i="36"/>
  <c r="AI149" i="36"/>
  <c r="AI148" i="36"/>
  <c r="AI147" i="36"/>
  <c r="AI146" i="36"/>
  <c r="AI145" i="36"/>
  <c r="AI144" i="36"/>
  <c r="AI143" i="36"/>
  <c r="AI142" i="36"/>
  <c r="AI141" i="36"/>
  <c r="AI140" i="36"/>
  <c r="AI139" i="36"/>
  <c r="AI138" i="36"/>
  <c r="AI137" i="36"/>
  <c r="AI136" i="36"/>
  <c r="AI135" i="36"/>
  <c r="AI134" i="36"/>
  <c r="AI133" i="36"/>
  <c r="AI132" i="36"/>
  <c r="AI131" i="36"/>
  <c r="AI130" i="36"/>
  <c r="AI129" i="36"/>
  <c r="AI128" i="36"/>
  <c r="AI127" i="36"/>
  <c r="AI126" i="36"/>
  <c r="AI125" i="36"/>
  <c r="AI124" i="36"/>
  <c r="AI123" i="36"/>
  <c r="AI122" i="36"/>
  <c r="AI121" i="36"/>
  <c r="AI120" i="36"/>
  <c r="AI119" i="36"/>
  <c r="AI118" i="36"/>
  <c r="AI117" i="36"/>
  <c r="AI116" i="36"/>
  <c r="AI115" i="36"/>
  <c r="AI114" i="36"/>
  <c r="AI113" i="36"/>
  <c r="AI112" i="36"/>
  <c r="AI111" i="36"/>
  <c r="AI110" i="36"/>
  <c r="AI109" i="36"/>
  <c r="AI108" i="36"/>
  <c r="AI107" i="36"/>
  <c r="AI106" i="36"/>
  <c r="AI105" i="36"/>
  <c r="AI104" i="36"/>
  <c r="AI103" i="36"/>
  <c r="AI102" i="36"/>
  <c r="AI101" i="36"/>
  <c r="AI100" i="36"/>
  <c r="AI99" i="36"/>
  <c r="AI98" i="36"/>
  <c r="AI97" i="36"/>
  <c r="AI96" i="36"/>
  <c r="AI95" i="36"/>
  <c r="AI94" i="36"/>
  <c r="AI93" i="36"/>
  <c r="AI92" i="36"/>
  <c r="AI91" i="36"/>
  <c r="AI90" i="36"/>
  <c r="AI89" i="36"/>
  <c r="AI88" i="36"/>
  <c r="AI87" i="36"/>
  <c r="AI86" i="36"/>
  <c r="AI85" i="36"/>
  <c r="AI84" i="36"/>
  <c r="AI83" i="36"/>
  <c r="AI82" i="36"/>
  <c r="AI80" i="36"/>
  <c r="AI79" i="36"/>
  <c r="AI78" i="36"/>
  <c r="AI77" i="36"/>
  <c r="AI76" i="36"/>
  <c r="AI75" i="36"/>
  <c r="AI74" i="36"/>
  <c r="AI73" i="36"/>
  <c r="AI72" i="36"/>
  <c r="AI71" i="36"/>
  <c r="AI70" i="36"/>
  <c r="AI69" i="36"/>
  <c r="AI68" i="36"/>
  <c r="AI67" i="36"/>
  <c r="AI66" i="36"/>
  <c r="AI65" i="36"/>
  <c r="AI64" i="36"/>
  <c r="AI63" i="36"/>
  <c r="AI62" i="36"/>
  <c r="AI61" i="36"/>
  <c r="AI60" i="36"/>
  <c r="AI59" i="36"/>
  <c r="AI58" i="36"/>
  <c r="AI57" i="36"/>
  <c r="AI56" i="36"/>
  <c r="AI55" i="36"/>
  <c r="AI54" i="36"/>
  <c r="AI53" i="36"/>
  <c r="AI52" i="36"/>
  <c r="AI51" i="36"/>
  <c r="AI50" i="36"/>
  <c r="AI49" i="36"/>
  <c r="AI48" i="36"/>
  <c r="AI47" i="36"/>
  <c r="AI46" i="36"/>
  <c r="AI45" i="36"/>
  <c r="AI44" i="36"/>
  <c r="AI43" i="36"/>
  <c r="AI42" i="36"/>
  <c r="AI41" i="36"/>
  <c r="AI40" i="36"/>
  <c r="AI39" i="36"/>
  <c r="AI38" i="36"/>
  <c r="AI37" i="36"/>
  <c r="AI36" i="36"/>
  <c r="AI35" i="36"/>
  <c r="AI34" i="36"/>
  <c r="AI33" i="36"/>
  <c r="AI32" i="36"/>
  <c r="AI31" i="36"/>
  <c r="AI30" i="36"/>
  <c r="AI29" i="36"/>
  <c r="AI28" i="36"/>
  <c r="AI27" i="36"/>
  <c r="AI26" i="36"/>
  <c r="AI25" i="36"/>
  <c r="AI24" i="36"/>
  <c r="AI23" i="36"/>
  <c r="AI22" i="36"/>
  <c r="AI21" i="36"/>
  <c r="AI20" i="36"/>
  <c r="AI19" i="36"/>
  <c r="AI18" i="36"/>
  <c r="AI17" i="36"/>
  <c r="AI16" i="36"/>
  <c r="AI15" i="36"/>
  <c r="AI14" i="36"/>
  <c r="AI13" i="36"/>
  <c r="AI12" i="36"/>
  <c r="AI11" i="36"/>
  <c r="AI10" i="36"/>
  <c r="AI9" i="36"/>
  <c r="AI8" i="36"/>
  <c r="AI7" i="36"/>
  <c r="AI6" i="36"/>
  <c r="AI5" i="36"/>
  <c r="AI4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AJ3" i="19" l="1"/>
  <c r="AH136" i="18"/>
  <c r="AK3" i="36"/>
  <c r="AK3" i="35"/>
</calcChain>
</file>

<file path=xl/sharedStrings.xml><?xml version="1.0" encoding="utf-8"?>
<sst xmlns="http://schemas.openxmlformats.org/spreadsheetml/2006/main" count="10251" uniqueCount="234">
  <si>
    <t>當日點名</t>
  </si>
  <si>
    <t>當月應收</t>
  </si>
  <si>
    <t>表演考</t>
  </si>
  <si>
    <t>日期</t>
  </si>
  <si>
    <t>有無</t>
  </si>
  <si>
    <t>星期</t>
  </si>
  <si>
    <t>次數</t>
  </si>
  <si>
    <t>場地費</t>
  </si>
  <si>
    <t>白貼</t>
  </si>
  <si>
    <t>o</t>
  </si>
  <si>
    <t>阿發</t>
  </si>
  <si>
    <t>捷升</t>
  </si>
  <si>
    <t>V</t>
  </si>
  <si>
    <t>李洋</t>
  </si>
  <si>
    <t>曉明</t>
  </si>
  <si>
    <t>大支</t>
  </si>
  <si>
    <t>弼善</t>
  </si>
  <si>
    <t>光曜</t>
  </si>
  <si>
    <t>皓元</t>
  </si>
  <si>
    <t>青蛙</t>
  </si>
  <si>
    <t>港弟</t>
  </si>
  <si>
    <t>晧全</t>
  </si>
  <si>
    <t>Mars</t>
  </si>
  <si>
    <t>ㄈㄈ</t>
  </si>
  <si>
    <t>大熊</t>
  </si>
  <si>
    <t>潘潘</t>
  </si>
  <si>
    <t>曉強</t>
  </si>
  <si>
    <t>芋圓</t>
  </si>
  <si>
    <t>克勤</t>
  </si>
  <si>
    <t>大頭</t>
  </si>
  <si>
    <t>鯰魚</t>
  </si>
  <si>
    <t>阿美</t>
  </si>
  <si>
    <t>小翔</t>
  </si>
  <si>
    <t>一飛</t>
  </si>
  <si>
    <t>雲翔</t>
  </si>
  <si>
    <t>阿戴</t>
  </si>
  <si>
    <t>子澔</t>
  </si>
  <si>
    <t>魚仔</t>
  </si>
  <si>
    <t>阿龍</t>
  </si>
  <si>
    <t>栗子</t>
  </si>
  <si>
    <t>仲霖</t>
  </si>
  <si>
    <t>軟軟</t>
  </si>
  <si>
    <t>屎蛋</t>
  </si>
  <si>
    <t>阿瑋</t>
  </si>
  <si>
    <t>Jimmy</t>
  </si>
  <si>
    <t>Super</t>
  </si>
  <si>
    <t>龜龜</t>
  </si>
  <si>
    <t>柏豪</t>
  </si>
  <si>
    <t>愷鴻</t>
  </si>
  <si>
    <t>庭豪</t>
  </si>
  <si>
    <t>阿邱</t>
  </si>
  <si>
    <t>揚揚</t>
  </si>
  <si>
    <t>昱緯</t>
  </si>
  <si>
    <t>大向</t>
  </si>
  <si>
    <t>君閱</t>
  </si>
  <si>
    <t>川楓</t>
  </si>
  <si>
    <t>玉霖</t>
  </si>
  <si>
    <t>銘陽</t>
  </si>
  <si>
    <t>x</t>
  </si>
  <si>
    <t>阿幹</t>
  </si>
  <si>
    <t>阿東</t>
  </si>
  <si>
    <t>韋融</t>
  </si>
  <si>
    <t>國源</t>
  </si>
  <si>
    <t>芒果</t>
  </si>
  <si>
    <t>園棠</t>
  </si>
  <si>
    <t>文淵</t>
  </si>
  <si>
    <t>昆佑</t>
  </si>
  <si>
    <t>歐吉</t>
  </si>
  <si>
    <t>兔子</t>
  </si>
  <si>
    <t>小馬</t>
  </si>
  <si>
    <t>Allen</t>
  </si>
  <si>
    <t>嘴嘴</t>
  </si>
  <si>
    <t>八卦</t>
  </si>
  <si>
    <t>冠軍</t>
  </si>
  <si>
    <t>蘆葦</t>
  </si>
  <si>
    <t>叮噹</t>
  </si>
  <si>
    <t>肥肥</t>
  </si>
  <si>
    <t>小夫</t>
  </si>
  <si>
    <t>小邱</t>
  </si>
  <si>
    <t>淳淳</t>
  </si>
  <si>
    <t>禿鷹</t>
  </si>
  <si>
    <t>王宏</t>
  </si>
  <si>
    <t>犀牛</t>
  </si>
  <si>
    <t>來福</t>
  </si>
  <si>
    <t>誌誌</t>
  </si>
  <si>
    <t>阿璽</t>
  </si>
  <si>
    <t>正誼</t>
  </si>
  <si>
    <t>Mango</t>
  </si>
  <si>
    <t>皓皓</t>
  </si>
  <si>
    <t>泡芙</t>
  </si>
  <si>
    <t>蓓蓓</t>
  </si>
  <si>
    <t>柔柔</t>
  </si>
  <si>
    <t>婉晴</t>
  </si>
  <si>
    <t>冠婷</t>
  </si>
  <si>
    <t>小花</t>
  </si>
  <si>
    <t>小吱</t>
  </si>
  <si>
    <t>靜婷</t>
  </si>
  <si>
    <t>粉紅</t>
  </si>
  <si>
    <t>忻怡</t>
  </si>
  <si>
    <t>小白</t>
  </si>
  <si>
    <t>餅餅</t>
  </si>
  <si>
    <t>文媛</t>
  </si>
  <si>
    <t>妮妮</t>
  </si>
  <si>
    <t>圈圈</t>
  </si>
  <si>
    <t>卡丘</t>
  </si>
  <si>
    <t>琬蓁</t>
  </si>
  <si>
    <t>Nina</t>
  </si>
  <si>
    <t>郁廷</t>
  </si>
  <si>
    <t>亮君</t>
  </si>
  <si>
    <t>亮吟</t>
  </si>
  <si>
    <t>味味</t>
  </si>
  <si>
    <t>小芸</t>
  </si>
  <si>
    <t>詩敏</t>
  </si>
  <si>
    <t>容容</t>
  </si>
  <si>
    <t>貝貝</t>
  </si>
  <si>
    <t>喜德</t>
  </si>
  <si>
    <t>大汪</t>
  </si>
  <si>
    <t>依凡</t>
  </si>
  <si>
    <t>雅筑</t>
  </si>
  <si>
    <t>ABBY</t>
  </si>
  <si>
    <t>品君</t>
  </si>
  <si>
    <t>冰沙</t>
  </si>
  <si>
    <t>幸恩</t>
  </si>
  <si>
    <t>瑤瑤</t>
  </si>
  <si>
    <t>玉蕙</t>
  </si>
  <si>
    <t>沛緁</t>
  </si>
  <si>
    <t>妹妹</t>
  </si>
  <si>
    <t>小雞</t>
  </si>
  <si>
    <t>雨昕</t>
  </si>
  <si>
    <t>矮矮</t>
  </si>
  <si>
    <t>猛女</t>
  </si>
  <si>
    <t>欣容</t>
  </si>
  <si>
    <t>萁萁</t>
  </si>
  <si>
    <t>萱</t>
  </si>
  <si>
    <t>Mei</t>
  </si>
  <si>
    <t>屁屁</t>
  </si>
  <si>
    <t>泡泡</t>
  </si>
  <si>
    <t>姚</t>
  </si>
  <si>
    <t>奜茜</t>
  </si>
  <si>
    <t>Tina</t>
  </si>
  <si>
    <t>芷琦</t>
  </si>
  <si>
    <t>Cindy</t>
  </si>
  <si>
    <t>如靜</t>
  </si>
  <si>
    <t>毓玫</t>
  </si>
  <si>
    <t>美枝</t>
  </si>
  <si>
    <t>魯魯咪</t>
  </si>
  <si>
    <t>飛飛</t>
  </si>
  <si>
    <t>湘苡</t>
  </si>
  <si>
    <t>雅雅</t>
  </si>
  <si>
    <t>晏寧</t>
  </si>
  <si>
    <t>高麗菜</t>
  </si>
  <si>
    <t>宇嬅</t>
  </si>
  <si>
    <t>阿俗</t>
  </si>
  <si>
    <t>傻妹</t>
  </si>
  <si>
    <t>筱攸</t>
  </si>
  <si>
    <t>康康</t>
  </si>
  <si>
    <t>阿金</t>
  </si>
  <si>
    <t>派大</t>
  </si>
  <si>
    <t>吉娃</t>
  </si>
  <si>
    <t>小寧</t>
  </si>
  <si>
    <t>小妹</t>
  </si>
  <si>
    <t>佩鈺</t>
  </si>
  <si>
    <t>阿布</t>
  </si>
  <si>
    <t>小個</t>
  </si>
  <si>
    <t>小菜</t>
  </si>
  <si>
    <t>小貓</t>
  </si>
  <si>
    <t>哈比</t>
  </si>
  <si>
    <t>外賓人數</t>
  </si>
  <si>
    <t>X</t>
  </si>
  <si>
    <t>購買白貼</t>
  </si>
  <si>
    <t>休</t>
  </si>
  <si>
    <t>傑森</t>
  </si>
  <si>
    <t>姓名</t>
  </si>
  <si>
    <t>四月應收</t>
  </si>
  <si>
    <t>O</t>
  </si>
  <si>
    <t>咪咪</t>
  </si>
  <si>
    <t>芮芮</t>
  </si>
  <si>
    <t>準隊員(Feb-Apr)</t>
  </si>
  <si>
    <t>Fish</t>
  </si>
  <si>
    <t>玹玹</t>
  </si>
  <si>
    <t>小茜</t>
  </si>
  <si>
    <t>毛毛</t>
  </si>
  <si>
    <t>蛙</t>
  </si>
  <si>
    <t>洋</t>
  </si>
  <si>
    <t>Jason</t>
  </si>
  <si>
    <t>明</t>
  </si>
  <si>
    <t>ㄈ</t>
  </si>
  <si>
    <t>五月應收</t>
  </si>
  <si>
    <t>六月應收</t>
  </si>
  <si>
    <t>牙</t>
  </si>
  <si>
    <t>丁俊理</t>
  </si>
  <si>
    <t>蕭芸家</t>
  </si>
  <si>
    <t>孫安琪</t>
  </si>
  <si>
    <t>邱郁翔</t>
  </si>
  <si>
    <t>玉</t>
  </si>
  <si>
    <t>七月應收</t>
  </si>
  <si>
    <t>Talus</t>
  </si>
  <si>
    <t>Abby</t>
  </si>
  <si>
    <t>郁翔</t>
  </si>
  <si>
    <t>8月應收</t>
  </si>
  <si>
    <t>九月應收</t>
  </si>
  <si>
    <t>9/16  小巨蛋</t>
  </si>
  <si>
    <t>湘</t>
  </si>
  <si>
    <t>十月應收</t>
  </si>
  <si>
    <t>十一月應收</t>
  </si>
  <si>
    <t>琬琬</t>
  </si>
  <si>
    <t>發</t>
  </si>
  <si>
    <t>汪</t>
  </si>
  <si>
    <t>聖誕</t>
  </si>
  <si>
    <t>12月應收</t>
  </si>
  <si>
    <t>投票</t>
  </si>
  <si>
    <t>SR</t>
  </si>
  <si>
    <t>尾牙</t>
  </si>
  <si>
    <t>2/28 表演</t>
  </si>
  <si>
    <t>元</t>
  </si>
  <si>
    <t>3月表演</t>
  </si>
  <si>
    <t>熊</t>
  </si>
  <si>
    <t>支</t>
  </si>
  <si>
    <t>5/16 表演</t>
  </si>
  <si>
    <t>-</t>
  </si>
  <si>
    <t>Nono</t>
  </si>
  <si>
    <t>周豪</t>
  </si>
  <si>
    <t>周毫</t>
  </si>
  <si>
    <t>喬巴</t>
  </si>
  <si>
    <t>小粉紅</t>
  </si>
  <si>
    <t>#ERROR!</t>
  </si>
  <si>
    <t>Gimmy</t>
  </si>
  <si>
    <t>晤悅</t>
  </si>
  <si>
    <t xml:space="preserve">Gimmy </t>
  </si>
  <si>
    <t xml:space="preserve">Jimmy  </t>
  </si>
  <si>
    <t xml:space="preserve">Jimmy </t>
  </si>
  <si>
    <t>郁婷</t>
  </si>
  <si>
    <t>SUPER</t>
  </si>
  <si>
    <t>濃濃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</si>
</sst>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8">
    <font>
      <sz val="10"/>
      <color rgb="FF000000"/>
      <name val="Arial"/>
      <scheme val="minor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rgb="FFFF0000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rgb="FFFF0000"/>
      <name val="Trebuchet MS"/>
      <family val="2"/>
    </font>
    <font>
      <sz val="10"/>
      <color rgb="FF000000"/>
      <name val="Trebuchet MS"/>
      <family val="2"/>
    </font>
    <font>
      <sz val="10"/>
      <color theme="1"/>
      <name val="Arial"/>
      <family val="2"/>
    </font>
    <font>
      <b/>
      <sz val="10"/>
      <color rgb="FFCC0000"/>
      <name val="Trebuchet MS"/>
      <family val="2"/>
    </font>
    <font>
      <b/>
      <sz val="10"/>
      <color rgb="FFCC0000"/>
      <name val="Trebuchet MS"/>
      <family val="2"/>
    </font>
    <font>
      <sz val="9"/>
      <name val="Arial"/>
      <family val="3"/>
      <charset val="136"/>
      <scheme val="minor"/>
    </font>
    <font>
      <sz val="10"/>
      <name val="Calibri"/>
      <family val="2"/>
    </font>
    <font>
      <sz val="10"/>
      <name val="Arial"/>
      <family val="2"/>
      <scheme val="minor"/>
    </font>
    <font>
      <b/>
      <sz val="10"/>
      <name val="Calibri"/>
      <family val="2"/>
    </font>
    <font>
      <sz val="10"/>
      <name val="微軟正黑體"/>
      <family val="2"/>
      <charset val="136"/>
    </font>
    <font>
      <sz val="10"/>
      <name val="Microsoft JhengHe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EF2CD"/>
        <bgColor rgb="FFFEF2CD"/>
      </patternFill>
    </fill>
    <fill>
      <patternFill patternType="solid">
        <fgColor rgb="FFC9DAF8"/>
        <bgColor rgb="FFC9DAF8"/>
      </patternFill>
    </fill>
    <fill>
      <patternFill patternType="solid">
        <fgColor theme="4" tint="0.79998168889431442"/>
        <bgColor rgb="FFD9EAD3"/>
      </patternFill>
    </fill>
    <fill>
      <patternFill patternType="solid">
        <fgColor theme="5" tint="0.59999389629810485"/>
        <bgColor rgb="FFCFE2F3"/>
      </patternFill>
    </fill>
    <fill>
      <patternFill patternType="solid">
        <fgColor theme="5" tint="0.59999389629810485"/>
        <bgColor rgb="FFF4CCCC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7" tint="0.79998168889431442"/>
        <bgColor rgb="FFF4CCCC"/>
      </patternFill>
    </fill>
    <fill>
      <patternFill patternType="solid">
        <fgColor theme="7" tint="0.79998168889431442"/>
        <bgColor rgb="FFCFE2F3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3" fontId="2" fillId="6" borderId="3" xfId="0" applyNumberFormat="1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3" fontId="1" fillId="8" borderId="4" xfId="0" applyNumberFormat="1" applyFont="1" applyFill="1" applyBorder="1" applyAlignment="1">
      <alignment horizontal="right" vertical="center"/>
    </xf>
    <xf numFmtId="3" fontId="1" fillId="8" borderId="14" xfId="0" applyNumberFormat="1" applyFont="1" applyFill="1" applyBorder="1" applyAlignment="1">
      <alignment horizontal="center" vertical="center"/>
    </xf>
    <xf numFmtId="176" fontId="3" fillId="8" borderId="0" xfId="0" applyNumberFormat="1" applyFont="1" applyFill="1" applyAlignment="1">
      <alignment horizontal="right" vertical="center"/>
    </xf>
    <xf numFmtId="3" fontId="3" fillId="8" borderId="0" xfId="0" applyNumberFormat="1" applyFont="1" applyFill="1" applyAlignment="1">
      <alignment horizontal="right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3" fontId="1" fillId="9" borderId="4" xfId="0" applyNumberFormat="1" applyFont="1" applyFill="1" applyBorder="1" applyAlignment="1">
      <alignment horizontal="right" vertical="center"/>
    </xf>
    <xf numFmtId="3" fontId="1" fillId="9" borderId="14" xfId="0" applyNumberFormat="1" applyFont="1" applyFill="1" applyBorder="1" applyAlignment="1">
      <alignment horizontal="center" vertical="center"/>
    </xf>
    <xf numFmtId="3" fontId="3" fillId="9" borderId="0" xfId="0" applyNumberFormat="1" applyFont="1" applyFill="1" applyAlignment="1">
      <alignment horizontal="right" vertical="center"/>
    </xf>
    <xf numFmtId="176" fontId="3" fillId="9" borderId="0" xfId="0" applyNumberFormat="1" applyFont="1" applyFill="1" applyAlignment="1">
      <alignment horizontal="righ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3" fontId="1" fillId="7" borderId="4" xfId="0" applyNumberFormat="1" applyFont="1" applyFill="1" applyBorder="1" applyAlignment="1">
      <alignment horizontal="right" vertical="center"/>
    </xf>
    <xf numFmtId="3" fontId="1" fillId="7" borderId="14" xfId="0" applyNumberFormat="1" applyFont="1" applyFill="1" applyBorder="1" applyAlignment="1">
      <alignment horizontal="center" vertical="center"/>
    </xf>
    <xf numFmtId="176" fontId="3" fillId="7" borderId="0" xfId="0" applyNumberFormat="1" applyFont="1" applyFill="1" applyAlignment="1">
      <alignment horizontal="right" vertical="center"/>
    </xf>
    <xf numFmtId="3" fontId="3" fillId="7" borderId="0" xfId="0" applyNumberFormat="1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3" fontId="1" fillId="10" borderId="4" xfId="0" applyNumberFormat="1" applyFont="1" applyFill="1" applyBorder="1" applyAlignment="1">
      <alignment horizontal="right" vertical="center"/>
    </xf>
    <xf numFmtId="3" fontId="1" fillId="10" borderId="14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right" vertical="center"/>
    </xf>
    <xf numFmtId="3" fontId="3" fillId="10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3" fontId="1" fillId="9" borderId="3" xfId="0" applyNumberFormat="1" applyFont="1" applyFill="1" applyBorder="1" applyAlignment="1">
      <alignment horizontal="right" vertical="center"/>
    </xf>
    <xf numFmtId="3" fontId="1" fillId="7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3" fontId="4" fillId="10" borderId="4" xfId="0" applyNumberFormat="1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3" fontId="4" fillId="8" borderId="4" xfId="0" applyNumberFormat="1" applyFont="1" applyFill="1" applyBorder="1" applyAlignment="1">
      <alignment horizontal="right" vertical="center"/>
    </xf>
    <xf numFmtId="3" fontId="6" fillId="6" borderId="3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3" fontId="5" fillId="8" borderId="4" xfId="0" applyNumberFormat="1" applyFont="1" applyFill="1" applyBorder="1" applyAlignment="1">
      <alignment horizontal="right" vertical="center"/>
    </xf>
    <xf numFmtId="3" fontId="5" fillId="8" borderId="14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right" vertical="center"/>
    </xf>
    <xf numFmtId="3" fontId="6" fillId="8" borderId="14" xfId="0" applyNumberFormat="1" applyFont="1" applyFill="1" applyBorder="1" applyAlignment="1">
      <alignment horizontal="center" vertical="center"/>
    </xf>
    <xf numFmtId="176" fontId="7" fillId="8" borderId="0" xfId="0" applyNumberFormat="1" applyFont="1" applyFill="1" applyAlignment="1">
      <alignment horizontal="right" vertical="center"/>
    </xf>
    <xf numFmtId="3" fontId="7" fillId="8" borderId="0" xfId="0" applyNumberFormat="1" applyFont="1" applyFill="1" applyAlignment="1">
      <alignment horizontal="right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3" fontId="5" fillId="9" borderId="4" xfId="0" applyNumberFormat="1" applyFont="1" applyFill="1" applyBorder="1" applyAlignment="1">
      <alignment horizontal="right" vertical="center"/>
    </xf>
    <xf numFmtId="3" fontId="5" fillId="9" borderId="14" xfId="0" applyNumberFormat="1" applyFont="1" applyFill="1" applyBorder="1" applyAlignment="1">
      <alignment horizontal="center" vertical="center"/>
    </xf>
    <xf numFmtId="3" fontId="7" fillId="9" borderId="0" xfId="0" applyNumberFormat="1" applyFont="1" applyFill="1" applyAlignment="1">
      <alignment horizontal="right" vertical="center"/>
    </xf>
    <xf numFmtId="176" fontId="7" fillId="9" borderId="0" xfId="0" applyNumberFormat="1" applyFont="1" applyFill="1" applyAlignment="1">
      <alignment horizontal="right" vertical="center"/>
    </xf>
    <xf numFmtId="0" fontId="7" fillId="9" borderId="0" xfId="0" applyFont="1" applyFill="1" applyAlignment="1">
      <alignment horizontal="right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3" fontId="5" fillId="7" borderId="4" xfId="0" applyNumberFormat="1" applyFont="1" applyFill="1" applyBorder="1" applyAlignment="1">
      <alignment horizontal="right" vertical="center"/>
    </xf>
    <xf numFmtId="3" fontId="5" fillId="7" borderId="14" xfId="0" applyNumberFormat="1" applyFont="1" applyFill="1" applyBorder="1" applyAlignment="1">
      <alignment horizontal="center" vertical="center"/>
    </xf>
    <xf numFmtId="176" fontId="7" fillId="7" borderId="0" xfId="0" applyNumberFormat="1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horizontal="right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3" fontId="5" fillId="9" borderId="3" xfId="0" applyNumberFormat="1" applyFont="1" applyFill="1" applyBorder="1" applyAlignment="1">
      <alignment horizontal="right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3" fontId="5" fillId="7" borderId="3" xfId="0" applyNumberFormat="1" applyFont="1" applyFill="1" applyBorder="1" applyAlignment="1">
      <alignment horizontal="right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3" fontId="5" fillId="10" borderId="4" xfId="0" applyNumberFormat="1" applyFont="1" applyFill="1" applyBorder="1" applyAlignment="1">
      <alignment horizontal="right" vertical="center"/>
    </xf>
    <xf numFmtId="3" fontId="5" fillId="10" borderId="14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right" vertical="center"/>
    </xf>
    <xf numFmtId="0" fontId="9" fillId="2" borderId="4" xfId="0" applyFont="1" applyFill="1" applyBorder="1" applyAlignment="1">
      <alignment horizontal="center"/>
    </xf>
    <xf numFmtId="176" fontId="1" fillId="2" borderId="11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8" fillId="11" borderId="15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3" fontId="10" fillId="8" borderId="14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76" fontId="5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/>
    </xf>
    <xf numFmtId="0" fontId="8" fillId="11" borderId="17" xfId="0" applyFont="1" applyFill="1" applyBorder="1" applyAlignment="1">
      <alignment horizontal="center" vertical="center"/>
    </xf>
    <xf numFmtId="3" fontId="10" fillId="8" borderId="17" xfId="0" applyNumberFormat="1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3" fontId="5" fillId="8" borderId="3" xfId="0" applyNumberFormat="1" applyFont="1" applyFill="1" applyBorder="1" applyAlignment="1">
      <alignment horizontal="right" vertical="center"/>
    </xf>
    <xf numFmtId="0" fontId="9" fillId="10" borderId="1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/>
    </xf>
    <xf numFmtId="0" fontId="8" fillId="12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6" fillId="10" borderId="0" xfId="0" applyFont="1" applyFill="1" applyAlignment="1">
      <alignment horizontal="center" vertical="center"/>
    </xf>
    <xf numFmtId="3" fontId="5" fillId="10" borderId="0" xfId="0" applyNumberFormat="1" applyFont="1" applyFill="1" applyAlignment="1">
      <alignment horizontal="right" vertical="center"/>
    </xf>
    <xf numFmtId="3" fontId="5" fillId="10" borderId="0" xfId="0" applyNumberFormat="1" applyFont="1" applyFill="1" applyAlignment="1">
      <alignment horizontal="center" vertical="center"/>
    </xf>
    <xf numFmtId="0" fontId="1" fillId="10" borderId="11" xfId="0" applyFont="1" applyFill="1" applyBorder="1" applyAlignment="1">
      <alignment horizontal="center"/>
    </xf>
    <xf numFmtId="0" fontId="9" fillId="5" borderId="11" xfId="0" applyFont="1" applyFill="1" applyBorder="1"/>
    <xf numFmtId="0" fontId="9" fillId="10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9" fillId="10" borderId="11" xfId="0" applyFont="1" applyFill="1" applyBorder="1"/>
    <xf numFmtId="0" fontId="6" fillId="6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3" fontId="6" fillId="6" borderId="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right" vertical="center"/>
    </xf>
    <xf numFmtId="3" fontId="5" fillId="4" borderId="4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right" vertical="center"/>
    </xf>
    <xf numFmtId="3" fontId="10" fillId="8" borderId="4" xfId="0" applyNumberFormat="1" applyFont="1" applyFill="1" applyBorder="1" applyAlignment="1">
      <alignment horizontal="center" vertical="center"/>
    </xf>
    <xf numFmtId="3" fontId="10" fillId="4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/>
    </xf>
    <xf numFmtId="3" fontId="7" fillId="9" borderId="4" xfId="0" applyNumberFormat="1" applyFont="1" applyFill="1" applyBorder="1" applyAlignment="1">
      <alignment horizontal="right" vertical="center"/>
    </xf>
    <xf numFmtId="176" fontId="7" fillId="9" borderId="4" xfId="0" applyNumberFormat="1" applyFont="1" applyFill="1" applyBorder="1" applyAlignment="1">
      <alignment horizontal="right" vertical="center"/>
    </xf>
    <xf numFmtId="0" fontId="7" fillId="9" borderId="4" xfId="0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3" fontId="7" fillId="7" borderId="4" xfId="0" applyNumberFormat="1" applyFont="1" applyFill="1" applyBorder="1" applyAlignment="1">
      <alignment horizontal="right" vertical="center"/>
    </xf>
    <xf numFmtId="176" fontId="7" fillId="7" borderId="4" xfId="0" applyNumberFormat="1" applyFont="1" applyFill="1" applyBorder="1" applyAlignment="1">
      <alignment horizontal="right" vertical="center"/>
    </xf>
    <xf numFmtId="3" fontId="7" fillId="8" borderId="4" xfId="0" applyNumberFormat="1" applyFont="1" applyFill="1" applyBorder="1" applyAlignment="1">
      <alignment horizontal="right" vertical="center"/>
    </xf>
    <xf numFmtId="0" fontId="1" fillId="10" borderId="4" xfId="0" applyFont="1" applyFill="1" applyBorder="1" applyAlignment="1">
      <alignment horizontal="center"/>
    </xf>
    <xf numFmtId="0" fontId="9" fillId="10" borderId="4" xfId="0" applyFont="1" applyFill="1" applyBorder="1"/>
    <xf numFmtId="0" fontId="7" fillId="7" borderId="4" xfId="0" applyFont="1" applyFill="1" applyBorder="1" applyAlignment="1">
      <alignment horizontal="right" vertical="center"/>
    </xf>
    <xf numFmtId="0" fontId="8" fillId="11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right" vertical="center"/>
    </xf>
    <xf numFmtId="3" fontId="5" fillId="4" borderId="0" xfId="0" applyNumberFormat="1" applyFont="1" applyFill="1" applyAlignment="1">
      <alignment horizontal="center" vertical="center"/>
    </xf>
    <xf numFmtId="3" fontId="8" fillId="8" borderId="14" xfId="0" applyNumberFormat="1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/>
    </xf>
    <xf numFmtId="3" fontId="2" fillId="8" borderId="4" xfId="0" applyNumberFormat="1" applyFont="1" applyFill="1" applyBorder="1" applyAlignment="1">
      <alignment horizontal="right"/>
    </xf>
    <xf numFmtId="3" fontId="2" fillId="8" borderId="14" xfId="0" applyNumberFormat="1" applyFont="1" applyFill="1" applyBorder="1" applyAlignment="1">
      <alignment horizontal="center"/>
    </xf>
    <xf numFmtId="3" fontId="1" fillId="8" borderId="4" xfId="0" applyNumberFormat="1" applyFont="1" applyFill="1" applyBorder="1" applyAlignment="1">
      <alignment horizontal="right"/>
    </xf>
    <xf numFmtId="3" fontId="11" fillId="8" borderId="14" xfId="0" applyNumberFormat="1" applyFont="1" applyFill="1" applyBorder="1" applyAlignment="1">
      <alignment horizontal="center"/>
    </xf>
    <xf numFmtId="3" fontId="1" fillId="8" borderId="14" xfId="0" applyNumberFormat="1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3" fontId="1" fillId="9" borderId="4" xfId="0" applyNumberFormat="1" applyFont="1" applyFill="1" applyBorder="1" applyAlignment="1">
      <alignment horizontal="right"/>
    </xf>
    <xf numFmtId="3" fontId="1" fillId="9" borderId="14" xfId="0" applyNumberFormat="1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3" fontId="1" fillId="7" borderId="4" xfId="0" applyNumberFormat="1" applyFont="1" applyFill="1" applyBorder="1" applyAlignment="1">
      <alignment horizontal="right"/>
    </xf>
    <xf numFmtId="3" fontId="1" fillId="7" borderId="14" xfId="0" applyNumberFormat="1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3" fontId="1" fillId="10" borderId="4" xfId="0" applyNumberFormat="1" applyFont="1" applyFill="1" applyBorder="1" applyAlignment="1">
      <alignment horizontal="right"/>
    </xf>
    <xf numFmtId="3" fontId="1" fillId="10" borderId="14" xfId="0" applyNumberFormat="1" applyFont="1" applyFill="1" applyBorder="1" applyAlignment="1">
      <alignment horizontal="center"/>
    </xf>
    <xf numFmtId="3" fontId="1" fillId="9" borderId="3" xfId="0" applyNumberFormat="1" applyFont="1" applyFill="1" applyBorder="1" applyAlignment="1">
      <alignment horizontal="right"/>
    </xf>
    <xf numFmtId="0" fontId="8" fillId="10" borderId="7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3" fontId="5" fillId="10" borderId="4" xfId="0" applyNumberFormat="1" applyFont="1" applyFill="1" applyBorder="1" applyAlignment="1">
      <alignment horizontal="center" vertical="center"/>
    </xf>
    <xf numFmtId="3" fontId="1" fillId="7" borderId="3" xfId="0" applyNumberFormat="1" applyFont="1" applyFill="1" applyBorder="1" applyAlignment="1">
      <alignment horizontal="right"/>
    </xf>
    <xf numFmtId="0" fontId="8" fillId="10" borderId="12" xfId="0" applyFont="1" applyFill="1" applyBorder="1" applyAlignment="1">
      <alignment horizontal="center" vertical="center"/>
    </xf>
    <xf numFmtId="3" fontId="1" fillId="10" borderId="18" xfId="0" applyNumberFormat="1" applyFont="1" applyFill="1" applyBorder="1" applyAlignment="1">
      <alignment horizontal="center"/>
    </xf>
    <xf numFmtId="0" fontId="8" fillId="10" borderId="1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/>
    </xf>
    <xf numFmtId="0" fontId="13" fillId="0" borderId="19" xfId="0" applyFont="1" applyBorder="1"/>
    <xf numFmtId="0" fontId="13" fillId="2" borderId="19" xfId="0" applyFont="1" applyFill="1" applyBorder="1" applyAlignment="1">
      <alignment vertical="center"/>
    </xf>
    <xf numFmtId="0" fontId="13" fillId="2" borderId="19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4" fillId="0" borderId="0" xfId="0" applyFont="1"/>
    <xf numFmtId="176" fontId="13" fillId="2" borderId="19" xfId="0" applyNumberFormat="1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/>
    </xf>
    <xf numFmtId="3" fontId="15" fillId="6" borderId="19" xfId="0" applyNumberFormat="1" applyFont="1" applyFill="1" applyBorder="1" applyAlignment="1">
      <alignment horizontal="center" vertical="center"/>
    </xf>
    <xf numFmtId="0" fontId="13" fillId="17" borderId="19" xfId="0" applyFont="1" applyFill="1" applyBorder="1" applyAlignment="1">
      <alignment horizontal="center" vertical="center"/>
    </xf>
    <xf numFmtId="0" fontId="13" fillId="17" borderId="19" xfId="0" applyFont="1" applyFill="1" applyBorder="1" applyAlignment="1">
      <alignment horizontal="center"/>
    </xf>
    <xf numFmtId="0" fontId="15" fillId="17" borderId="19" xfId="0" applyFont="1" applyFill="1" applyBorder="1" applyAlignment="1">
      <alignment horizontal="center" vertical="center"/>
    </xf>
    <xf numFmtId="3" fontId="13" fillId="17" borderId="19" xfId="0" applyNumberFormat="1" applyFont="1" applyFill="1" applyBorder="1" applyAlignment="1">
      <alignment horizontal="center" vertical="center"/>
    </xf>
    <xf numFmtId="3" fontId="15" fillId="17" borderId="19" xfId="0" applyNumberFormat="1" applyFont="1" applyFill="1" applyBorder="1" applyAlignment="1">
      <alignment horizontal="center" vertical="center"/>
    </xf>
    <xf numFmtId="0" fontId="13" fillId="13" borderId="19" xfId="0" applyFont="1" applyFill="1" applyBorder="1" applyAlignment="1">
      <alignment horizontal="center" vertical="center"/>
    </xf>
    <xf numFmtId="0" fontId="13" fillId="13" borderId="19" xfId="0" applyFont="1" applyFill="1" applyBorder="1" applyAlignment="1">
      <alignment horizontal="center"/>
    </xf>
    <xf numFmtId="0" fontId="15" fillId="13" borderId="19" xfId="0" applyFont="1" applyFill="1" applyBorder="1" applyAlignment="1">
      <alignment horizontal="center" vertical="center"/>
    </xf>
    <xf numFmtId="3" fontId="13" fillId="13" borderId="19" xfId="0" applyNumberFormat="1" applyFont="1" applyFill="1" applyBorder="1" applyAlignment="1">
      <alignment horizontal="center" vertical="center"/>
    </xf>
    <xf numFmtId="0" fontId="13" fillId="15" borderId="19" xfId="0" applyFont="1" applyFill="1" applyBorder="1" applyAlignment="1">
      <alignment horizontal="center" vertical="center"/>
    </xf>
    <xf numFmtId="0" fontId="13" fillId="15" borderId="19" xfId="0" applyFont="1" applyFill="1" applyBorder="1" applyAlignment="1">
      <alignment horizontal="center"/>
    </xf>
    <xf numFmtId="0" fontId="15" fillId="15" borderId="19" xfId="0" applyFont="1" applyFill="1" applyBorder="1" applyAlignment="1">
      <alignment horizontal="center" vertical="center"/>
    </xf>
    <xf numFmtId="3" fontId="13" fillId="14" borderId="19" xfId="0" applyNumberFormat="1" applyFont="1" applyFill="1" applyBorder="1" applyAlignment="1">
      <alignment horizontal="center" vertical="center"/>
    </xf>
    <xf numFmtId="3" fontId="13" fillId="15" borderId="19" xfId="0" applyNumberFormat="1" applyFont="1" applyFill="1" applyBorder="1" applyAlignment="1">
      <alignment horizontal="center" vertical="center"/>
    </xf>
    <xf numFmtId="176" fontId="13" fillId="15" borderId="19" xfId="0" applyNumberFormat="1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/>
    </xf>
    <xf numFmtId="0" fontId="15" fillId="16" borderId="19" xfId="0" applyFont="1" applyFill="1" applyBorder="1" applyAlignment="1">
      <alignment horizontal="center" vertical="center"/>
    </xf>
    <xf numFmtId="3" fontId="13" fillId="16" borderId="19" xfId="0" applyNumberFormat="1" applyFont="1" applyFill="1" applyBorder="1" applyAlignment="1">
      <alignment horizontal="center" vertical="center"/>
    </xf>
    <xf numFmtId="176" fontId="13" fillId="16" borderId="19" xfId="0" applyNumberFormat="1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center"/>
    </xf>
    <xf numFmtId="0" fontId="15" fillId="14" borderId="19" xfId="0" applyFont="1" applyFill="1" applyBorder="1" applyAlignment="1">
      <alignment horizontal="center" vertical="center"/>
    </xf>
    <xf numFmtId="176" fontId="13" fillId="14" borderId="19" xfId="0" applyNumberFormat="1" applyFont="1" applyFill="1" applyBorder="1" applyAlignment="1">
      <alignment horizontal="center" vertical="center"/>
    </xf>
    <xf numFmtId="0" fontId="16" fillId="15" borderId="19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4" fillId="0" borderId="19" xfId="0" applyFont="1" applyBorder="1"/>
    <xf numFmtId="0" fontId="17" fillId="4" borderId="19" xfId="0" applyFont="1" applyFill="1" applyBorder="1" applyAlignment="1">
      <alignment horizontal="center" vertical="center"/>
    </xf>
    <xf numFmtId="0" fontId="13" fillId="18" borderId="19" xfId="0" applyFont="1" applyFill="1" applyBorder="1" applyAlignment="1">
      <alignment horizontal="center" vertical="center"/>
    </xf>
    <xf numFmtId="0" fontId="13" fillId="18" borderId="19" xfId="0" applyFont="1" applyFill="1" applyBorder="1" applyAlignment="1">
      <alignment horizontal="center"/>
    </xf>
    <xf numFmtId="0" fontId="15" fillId="18" borderId="19" xfId="0" applyFont="1" applyFill="1" applyBorder="1" applyAlignment="1">
      <alignment horizontal="center" vertical="center"/>
    </xf>
    <xf numFmtId="3" fontId="13" fillId="19" borderId="19" xfId="0" applyNumberFormat="1" applyFont="1" applyFill="1" applyBorder="1" applyAlignment="1">
      <alignment horizontal="center" vertical="center"/>
    </xf>
    <xf numFmtId="176" fontId="13" fillId="18" borderId="19" xfId="0" applyNumberFormat="1" applyFont="1" applyFill="1" applyBorder="1" applyAlignment="1">
      <alignment horizontal="center" vertical="center"/>
    </xf>
    <xf numFmtId="0" fontId="17" fillId="17" borderId="19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0" fillId="0" borderId="20" xfId="0" applyBorder="1"/>
    <xf numFmtId="0" fontId="1" fillId="4" borderId="14" xfId="0" applyFont="1" applyFill="1" applyBorder="1" applyAlignment="1">
      <alignment horizontal="center" vertical="center"/>
    </xf>
    <xf numFmtId="0" fontId="0" fillId="0" borderId="8" xfId="0" applyBorder="1"/>
    <xf numFmtId="0" fontId="0" fillId="0" borderId="12" xfId="0" applyBorder="1"/>
    <xf numFmtId="0" fontId="2" fillId="6" borderId="3" xfId="0" applyFont="1" applyFill="1" applyBorder="1" applyAlignment="1">
      <alignment horizontal="center" vertical="center"/>
    </xf>
    <xf numFmtId="0" fontId="0" fillId="0" borderId="9" xfId="0" applyBorder="1"/>
    <xf numFmtId="0" fontId="1" fillId="4" borderId="4" xfId="0" applyFont="1" applyFill="1" applyBorder="1" applyAlignment="1">
      <alignment horizontal="center" vertical="center"/>
    </xf>
    <xf numFmtId="0" fontId="0" fillId="0" borderId="7" xfId="0" applyBorder="1"/>
    <xf numFmtId="0" fontId="0" fillId="0" borderId="11" xfId="0" applyBorder="1"/>
    <xf numFmtId="0" fontId="1" fillId="2" borderId="5" xfId="0" applyFont="1" applyFill="1" applyBorder="1" applyAlignment="1">
      <alignment horizontal="center" vertical="center"/>
    </xf>
    <xf numFmtId="0" fontId="0" fillId="0" borderId="2" xfId="0" applyBorder="1"/>
    <xf numFmtId="0" fontId="2" fillId="4" borderId="13" xfId="0" applyFont="1" applyFill="1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5" fillId="4" borderId="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3" xfId="0" applyBorder="1"/>
    <xf numFmtId="0" fontId="6" fillId="4" borderId="4" xfId="0" applyFont="1" applyFill="1" applyBorder="1" applyAlignment="1">
      <alignment horizontal="center" vertical="center"/>
    </xf>
  </cellXfs>
  <cellStyles count="1">
    <cellStyle name="一般" xfId="0" builtinId="0"/>
  </cellStyles>
  <dxfs count="2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J10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3" max="33" width="4.453125" customWidth="1"/>
    <col min="34" max="34" width="6" customWidth="1"/>
    <col min="35" max="35" width="6.1796875" customWidth="1"/>
    <col min="36" max="36" width="16.26953125" hidden="1" customWidth="1"/>
  </cols>
  <sheetData>
    <row r="1" spans="1:36" ht="18" customHeight="1">
      <c r="A1" s="279" t="s">
        <v>0</v>
      </c>
      <c r="B1" s="280"/>
      <c r="C1" s="1"/>
      <c r="D1" s="1"/>
      <c r="E1" s="1"/>
      <c r="F1" s="2" t="s">
        <v>170</v>
      </c>
      <c r="G1" s="1" t="s">
        <v>13</v>
      </c>
      <c r="H1" s="2" t="s">
        <v>170</v>
      </c>
      <c r="I1" s="1" t="s">
        <v>171</v>
      </c>
      <c r="J1" s="1"/>
      <c r="K1" s="1"/>
      <c r="L1" s="1"/>
      <c r="M1" s="2" t="s">
        <v>170</v>
      </c>
      <c r="N1" s="1" t="s">
        <v>13</v>
      </c>
      <c r="O1" s="2" t="s">
        <v>170</v>
      </c>
      <c r="P1" s="1" t="s">
        <v>23</v>
      </c>
      <c r="Q1" s="1" t="s">
        <v>17</v>
      </c>
      <c r="R1" s="1"/>
      <c r="S1" s="1"/>
      <c r="T1" s="2" t="s">
        <v>170</v>
      </c>
      <c r="U1" s="1" t="s">
        <v>18</v>
      </c>
      <c r="V1" s="2" t="s">
        <v>170</v>
      </c>
      <c r="W1" s="1" t="s">
        <v>18</v>
      </c>
      <c r="X1" s="1" t="s">
        <v>17</v>
      </c>
      <c r="Y1" s="1" t="s">
        <v>10</v>
      </c>
      <c r="Z1" s="1"/>
      <c r="AA1" s="2" t="s">
        <v>170</v>
      </c>
      <c r="AB1" s="1" t="s">
        <v>23</v>
      </c>
      <c r="AC1" s="2" t="s">
        <v>170</v>
      </c>
      <c r="AD1" s="1" t="s">
        <v>19</v>
      </c>
      <c r="AE1" s="1" t="s">
        <v>14</v>
      </c>
      <c r="AF1" s="1" t="s">
        <v>23</v>
      </c>
      <c r="AG1" s="281" t="s">
        <v>6</v>
      </c>
      <c r="AH1" s="276" t="s">
        <v>7</v>
      </c>
      <c r="AI1" s="271" t="s">
        <v>172</v>
      </c>
      <c r="AJ1" s="274" t="s">
        <v>173</v>
      </c>
    </row>
    <row r="2" spans="1:36" ht="18" customHeight="1">
      <c r="A2" s="4" t="s">
        <v>2</v>
      </c>
      <c r="B2" s="5" t="s">
        <v>3</v>
      </c>
      <c r="C2" s="7">
        <v>45017</v>
      </c>
      <c r="D2" s="7">
        <v>45018</v>
      </c>
      <c r="E2" s="7">
        <v>45019</v>
      </c>
      <c r="F2" s="6">
        <v>45020</v>
      </c>
      <c r="G2" s="7">
        <v>45021</v>
      </c>
      <c r="H2" s="6">
        <v>45022</v>
      </c>
      <c r="I2" s="7">
        <v>45023</v>
      </c>
      <c r="J2" s="7">
        <v>45024</v>
      </c>
      <c r="K2" s="7">
        <v>45025</v>
      </c>
      <c r="L2" s="7">
        <v>45026</v>
      </c>
      <c r="M2" s="6">
        <v>45027</v>
      </c>
      <c r="N2" s="7">
        <v>45028</v>
      </c>
      <c r="O2" s="6">
        <v>45029</v>
      </c>
      <c r="P2" s="7">
        <v>45030</v>
      </c>
      <c r="Q2" s="7">
        <v>45031</v>
      </c>
      <c r="R2" s="7">
        <v>45032</v>
      </c>
      <c r="S2" s="7">
        <v>45033</v>
      </c>
      <c r="T2" s="6">
        <v>45034</v>
      </c>
      <c r="U2" s="7">
        <v>45035</v>
      </c>
      <c r="V2" s="6">
        <v>45036</v>
      </c>
      <c r="W2" s="7">
        <v>45037</v>
      </c>
      <c r="X2" s="7">
        <v>45038</v>
      </c>
      <c r="Y2" s="7">
        <v>45039</v>
      </c>
      <c r="Z2" s="7">
        <v>45040</v>
      </c>
      <c r="AA2" s="6">
        <v>45041</v>
      </c>
      <c r="AB2" s="7">
        <v>45042</v>
      </c>
      <c r="AC2" s="6">
        <v>45043</v>
      </c>
      <c r="AD2" s="7">
        <v>45044</v>
      </c>
      <c r="AE2" s="7">
        <v>45045</v>
      </c>
      <c r="AF2" s="7">
        <v>45046</v>
      </c>
      <c r="AG2" s="282"/>
      <c r="AH2" s="277"/>
      <c r="AI2" s="272"/>
      <c r="AJ2" s="275"/>
    </row>
    <row r="3" spans="1:36" ht="18" customHeight="1">
      <c r="A3" s="4" t="s">
        <v>4</v>
      </c>
      <c r="B3" s="5" t="s">
        <v>5</v>
      </c>
      <c r="C3" s="1">
        <f t="shared" ref="C3:AF3" si="0">WEEKDAY(C2-1)</f>
        <v>6</v>
      </c>
      <c r="D3" s="1">
        <f t="shared" si="0"/>
        <v>7</v>
      </c>
      <c r="E3" s="1">
        <f t="shared" si="0"/>
        <v>1</v>
      </c>
      <c r="F3" s="2">
        <f t="shared" si="0"/>
        <v>2</v>
      </c>
      <c r="G3" s="1">
        <f t="shared" si="0"/>
        <v>3</v>
      </c>
      <c r="H3" s="2">
        <f t="shared" si="0"/>
        <v>4</v>
      </c>
      <c r="I3" s="1">
        <f t="shared" si="0"/>
        <v>5</v>
      </c>
      <c r="J3" s="1">
        <f t="shared" si="0"/>
        <v>6</v>
      </c>
      <c r="K3" s="1">
        <f t="shared" si="0"/>
        <v>7</v>
      </c>
      <c r="L3" s="1">
        <f t="shared" si="0"/>
        <v>1</v>
      </c>
      <c r="M3" s="2">
        <f t="shared" si="0"/>
        <v>2</v>
      </c>
      <c r="N3" s="1">
        <f t="shared" si="0"/>
        <v>3</v>
      </c>
      <c r="O3" s="2">
        <f t="shared" si="0"/>
        <v>4</v>
      </c>
      <c r="P3" s="1">
        <f t="shared" si="0"/>
        <v>5</v>
      </c>
      <c r="Q3" s="1">
        <f t="shared" si="0"/>
        <v>6</v>
      </c>
      <c r="R3" s="1">
        <f t="shared" si="0"/>
        <v>7</v>
      </c>
      <c r="S3" s="1">
        <f t="shared" si="0"/>
        <v>1</v>
      </c>
      <c r="T3" s="2">
        <f t="shared" si="0"/>
        <v>2</v>
      </c>
      <c r="U3" s="1">
        <f t="shared" si="0"/>
        <v>3</v>
      </c>
      <c r="V3" s="2">
        <f t="shared" si="0"/>
        <v>4</v>
      </c>
      <c r="W3" s="1">
        <f t="shared" si="0"/>
        <v>5</v>
      </c>
      <c r="X3" s="1">
        <f t="shared" si="0"/>
        <v>6</v>
      </c>
      <c r="Y3" s="1">
        <f t="shared" si="0"/>
        <v>7</v>
      </c>
      <c r="Z3" s="1">
        <f t="shared" si="0"/>
        <v>1</v>
      </c>
      <c r="AA3" s="2">
        <f t="shared" si="0"/>
        <v>2</v>
      </c>
      <c r="AB3" s="1">
        <f t="shared" si="0"/>
        <v>3</v>
      </c>
      <c r="AC3" s="2">
        <f t="shared" si="0"/>
        <v>4</v>
      </c>
      <c r="AD3" s="1">
        <f t="shared" si="0"/>
        <v>5</v>
      </c>
      <c r="AE3" s="1">
        <f t="shared" si="0"/>
        <v>6</v>
      </c>
      <c r="AF3" s="1">
        <f t="shared" si="0"/>
        <v>7</v>
      </c>
      <c r="AG3" s="283"/>
      <c r="AH3" s="278"/>
      <c r="AI3" s="273"/>
      <c r="AJ3" s="8" t="e">
        <f ca="1">SUM(AH4:AH107)</f>
        <v>#NAME?</v>
      </c>
    </row>
    <row r="4" spans="1:36" ht="18" customHeight="1">
      <c r="A4" s="9" t="s">
        <v>174</v>
      </c>
      <c r="B4" s="10" t="s">
        <v>10</v>
      </c>
      <c r="C4" s="11"/>
      <c r="D4" s="9"/>
      <c r="E4" s="11"/>
      <c r="F4" s="2"/>
      <c r="G4" s="11">
        <v>1</v>
      </c>
      <c r="H4" s="2"/>
      <c r="I4" s="11"/>
      <c r="J4" s="11"/>
      <c r="K4" s="11"/>
      <c r="L4" s="11"/>
      <c r="M4" s="2"/>
      <c r="N4" s="11">
        <v>1</v>
      </c>
      <c r="O4" s="2"/>
      <c r="P4" s="11">
        <v>1</v>
      </c>
      <c r="Q4" s="11"/>
      <c r="R4" s="11"/>
      <c r="S4" s="11"/>
      <c r="T4" s="2"/>
      <c r="U4" s="11">
        <v>1</v>
      </c>
      <c r="V4" s="2"/>
      <c r="W4" s="11"/>
      <c r="X4" s="11"/>
      <c r="Y4" s="11">
        <v>1</v>
      </c>
      <c r="Z4" s="11"/>
      <c r="AA4" s="2"/>
      <c r="AB4" s="11"/>
      <c r="AC4" s="12"/>
      <c r="AD4" s="9"/>
      <c r="AE4" s="9"/>
      <c r="AF4" s="9">
        <v>1</v>
      </c>
      <c r="AG4" s="13">
        <f t="shared" ref="AG4:AG35" si="1">COUNTA(C4:AF4)</f>
        <v>6</v>
      </c>
      <c r="AH4" s="14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15" t="str">
        <f t="shared" ref="AI4:AI35" si="2">B4</f>
        <v>阿發</v>
      </c>
      <c r="AJ4" s="16"/>
    </row>
    <row r="5" spans="1:36" ht="18" customHeight="1">
      <c r="A5" s="9" t="s">
        <v>174</v>
      </c>
      <c r="B5" s="10" t="s">
        <v>13</v>
      </c>
      <c r="C5" s="11"/>
      <c r="D5" s="9"/>
      <c r="E5" s="11"/>
      <c r="F5" s="2"/>
      <c r="G5" s="11"/>
      <c r="H5" s="2"/>
      <c r="I5" s="11"/>
      <c r="J5" s="11"/>
      <c r="K5" s="11"/>
      <c r="L5" s="11"/>
      <c r="M5" s="2"/>
      <c r="N5" s="11">
        <v>1</v>
      </c>
      <c r="O5" s="2"/>
      <c r="P5" s="11"/>
      <c r="Q5" s="11"/>
      <c r="R5" s="11"/>
      <c r="S5" s="11"/>
      <c r="T5" s="2"/>
      <c r="U5" s="11"/>
      <c r="V5" s="2"/>
      <c r="W5" s="11"/>
      <c r="X5" s="11"/>
      <c r="Y5" s="11"/>
      <c r="Z5" s="11"/>
      <c r="AA5" s="2"/>
      <c r="AB5" s="11"/>
      <c r="AC5" s="12"/>
      <c r="AD5" s="9">
        <v>1</v>
      </c>
      <c r="AE5" s="9"/>
      <c r="AF5" s="9"/>
      <c r="AG5" s="13">
        <f t="shared" si="1"/>
        <v>2</v>
      </c>
      <c r="AH5" s="14" t="e">
        <f ca="1">IF(A5="O", (VALUE(_xludf.IFS(AG5=0,"0",AG5=1,"150",AG5=2,"300",AG5=3,"450",AG5=4,"600",AG5=5,"750",AG5&gt;=6,"800"))),(VALUE(_xludf.IFS(AG5=0,"0",AG5=1,"150",AG5=2,"300",AG5=3,"450",AG5=4,"600",AG5=5,"750",AG5=6,"900",AG5&gt;=7,"1,000"))))</f>
        <v>#NAME?</v>
      </c>
      <c r="AI5" s="15" t="str">
        <f t="shared" si="2"/>
        <v>李洋</v>
      </c>
      <c r="AJ5" s="16"/>
    </row>
    <row r="6" spans="1:36" ht="18" customHeight="1">
      <c r="A6" s="9" t="s">
        <v>174</v>
      </c>
      <c r="B6" s="10" t="s">
        <v>11</v>
      </c>
      <c r="C6" s="11"/>
      <c r="D6" s="9"/>
      <c r="E6" s="11"/>
      <c r="F6" s="2"/>
      <c r="G6" s="11">
        <v>1</v>
      </c>
      <c r="H6" s="2"/>
      <c r="I6" s="11">
        <v>1</v>
      </c>
      <c r="J6" s="11"/>
      <c r="K6" s="11"/>
      <c r="L6" s="11"/>
      <c r="M6" s="2"/>
      <c r="N6" s="11">
        <v>1</v>
      </c>
      <c r="O6" s="2"/>
      <c r="P6" s="11"/>
      <c r="Q6" s="11"/>
      <c r="R6" s="11"/>
      <c r="S6" s="11"/>
      <c r="T6" s="2"/>
      <c r="U6" s="11"/>
      <c r="V6" s="2"/>
      <c r="W6" s="11"/>
      <c r="X6" s="11"/>
      <c r="Y6" s="11"/>
      <c r="Z6" s="11"/>
      <c r="AA6" s="2"/>
      <c r="AB6" s="11"/>
      <c r="AC6" s="12"/>
      <c r="AD6" s="9"/>
      <c r="AE6" s="9">
        <v>1</v>
      </c>
      <c r="AF6" s="9"/>
      <c r="AG6" s="13">
        <f t="shared" si="1"/>
        <v>4</v>
      </c>
      <c r="AH6" s="14" t="e">
        <f ca="1">IF(A6="O", (VALUE(_xludf.IFS(AG6=0,"0",AG6=1,"150",AG6=2,"300",AG6=3,"450",AG6=4,"600",AG6=5,"750",AG6&gt;=6,"800"))),(VALUE(_xludf.IFS(AG6=0,"0",AG6=1,"150",AG6=2,"300",AG6=3,"450",AG6=4,"600",AG6=5,"750",AG6=6,"900",AG6&gt;=7,"1,000"))))</f>
        <v>#NAME?</v>
      </c>
      <c r="AI6" s="15" t="str">
        <f t="shared" si="2"/>
        <v>捷升</v>
      </c>
      <c r="AJ6" s="17"/>
    </row>
    <row r="7" spans="1:36" ht="18" customHeight="1">
      <c r="A7" s="9" t="s">
        <v>174</v>
      </c>
      <c r="B7" s="10" t="s">
        <v>19</v>
      </c>
      <c r="C7" s="11"/>
      <c r="D7" s="9"/>
      <c r="E7" s="11"/>
      <c r="F7" s="2"/>
      <c r="G7" s="11">
        <v>1</v>
      </c>
      <c r="H7" s="2"/>
      <c r="I7" s="11">
        <v>1</v>
      </c>
      <c r="J7" s="11"/>
      <c r="K7" s="11"/>
      <c r="L7" s="11"/>
      <c r="M7" s="2"/>
      <c r="N7" s="11">
        <v>1</v>
      </c>
      <c r="O7" s="2"/>
      <c r="P7" s="11"/>
      <c r="Q7" s="11"/>
      <c r="R7" s="11"/>
      <c r="S7" s="11"/>
      <c r="T7" s="2"/>
      <c r="U7" s="11"/>
      <c r="V7" s="2"/>
      <c r="W7" s="11"/>
      <c r="X7" s="11"/>
      <c r="Y7" s="11"/>
      <c r="Z7" s="11"/>
      <c r="AA7" s="2"/>
      <c r="AB7" s="11"/>
      <c r="AC7" s="12"/>
      <c r="AD7" s="9">
        <v>1</v>
      </c>
      <c r="AE7" s="9">
        <v>1</v>
      </c>
      <c r="AF7" s="9"/>
      <c r="AG7" s="13">
        <f t="shared" si="1"/>
        <v>5</v>
      </c>
      <c r="AH7" s="14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15" t="str">
        <f t="shared" si="2"/>
        <v>青蛙</v>
      </c>
      <c r="AJ7" s="16"/>
    </row>
    <row r="8" spans="1:36" ht="18" customHeight="1">
      <c r="A8" s="9" t="s">
        <v>174</v>
      </c>
      <c r="B8" s="10" t="s">
        <v>14</v>
      </c>
      <c r="C8" s="11"/>
      <c r="D8" s="9"/>
      <c r="E8" s="11"/>
      <c r="F8" s="2"/>
      <c r="G8" s="11"/>
      <c r="H8" s="2"/>
      <c r="I8" s="11">
        <v>1</v>
      </c>
      <c r="J8" s="11"/>
      <c r="K8" s="11"/>
      <c r="L8" s="11"/>
      <c r="M8" s="2"/>
      <c r="N8" s="11">
        <v>1</v>
      </c>
      <c r="O8" s="2"/>
      <c r="P8" s="11"/>
      <c r="Q8" s="11"/>
      <c r="R8" s="11"/>
      <c r="S8" s="11"/>
      <c r="T8" s="2"/>
      <c r="U8" s="11"/>
      <c r="V8" s="2"/>
      <c r="W8" s="11"/>
      <c r="X8" s="11"/>
      <c r="Y8" s="11"/>
      <c r="Z8" s="11"/>
      <c r="AA8" s="2"/>
      <c r="AB8" s="11"/>
      <c r="AC8" s="12"/>
      <c r="AD8" s="9">
        <v>1</v>
      </c>
      <c r="AE8" s="9"/>
      <c r="AF8" s="9"/>
      <c r="AG8" s="13">
        <f t="shared" si="1"/>
        <v>3</v>
      </c>
      <c r="AH8" s="14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15" t="str">
        <f t="shared" si="2"/>
        <v>曉明</v>
      </c>
      <c r="AJ8" s="16"/>
    </row>
    <row r="9" spans="1:36" ht="18" customHeight="1">
      <c r="A9" s="9" t="s">
        <v>174</v>
      </c>
      <c r="B9" s="10" t="s">
        <v>18</v>
      </c>
      <c r="C9" s="11"/>
      <c r="D9" s="9"/>
      <c r="E9" s="11"/>
      <c r="F9" s="2"/>
      <c r="G9" s="11"/>
      <c r="H9" s="2"/>
      <c r="I9" s="11">
        <v>1</v>
      </c>
      <c r="J9" s="11"/>
      <c r="K9" s="11"/>
      <c r="L9" s="11"/>
      <c r="M9" s="2"/>
      <c r="N9" s="11">
        <v>1</v>
      </c>
      <c r="O9" s="2"/>
      <c r="P9" s="11"/>
      <c r="Q9" s="11"/>
      <c r="R9" s="11"/>
      <c r="S9" s="11"/>
      <c r="T9" s="2"/>
      <c r="U9" s="11">
        <v>1</v>
      </c>
      <c r="V9" s="2"/>
      <c r="W9" s="11">
        <v>1</v>
      </c>
      <c r="X9" s="11"/>
      <c r="Y9" s="11">
        <v>1</v>
      </c>
      <c r="Z9" s="11"/>
      <c r="AA9" s="2"/>
      <c r="AB9" s="11">
        <v>1</v>
      </c>
      <c r="AC9" s="12"/>
      <c r="AD9" s="9">
        <v>1</v>
      </c>
      <c r="AE9" s="9"/>
      <c r="AF9" s="9"/>
      <c r="AG9" s="13">
        <f t="shared" si="1"/>
        <v>7</v>
      </c>
      <c r="AH9" s="14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15" t="str">
        <f t="shared" si="2"/>
        <v>皓元</v>
      </c>
      <c r="AJ9" s="16"/>
    </row>
    <row r="10" spans="1:36" ht="18" customHeight="1">
      <c r="A10" s="9" t="s">
        <v>174</v>
      </c>
      <c r="B10" s="10" t="s">
        <v>21</v>
      </c>
      <c r="C10" s="11"/>
      <c r="D10" s="9"/>
      <c r="E10" s="11"/>
      <c r="F10" s="2"/>
      <c r="G10" s="11">
        <v>1</v>
      </c>
      <c r="H10" s="2"/>
      <c r="I10" s="11"/>
      <c r="J10" s="11"/>
      <c r="K10" s="11"/>
      <c r="L10" s="11"/>
      <c r="M10" s="2"/>
      <c r="N10" s="11">
        <v>1</v>
      </c>
      <c r="O10" s="2"/>
      <c r="P10" s="11"/>
      <c r="Q10" s="11"/>
      <c r="R10" s="11"/>
      <c r="S10" s="11"/>
      <c r="T10" s="2"/>
      <c r="U10" s="11"/>
      <c r="V10" s="2"/>
      <c r="W10" s="11"/>
      <c r="X10" s="11"/>
      <c r="Y10" s="11"/>
      <c r="Z10" s="11"/>
      <c r="AA10" s="2"/>
      <c r="AB10" s="11"/>
      <c r="AC10" s="12"/>
      <c r="AD10" s="9"/>
      <c r="AE10" s="9"/>
      <c r="AF10" s="9"/>
      <c r="AG10" s="13">
        <f t="shared" si="1"/>
        <v>2</v>
      </c>
      <c r="AH10" s="14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</f>
        <v>#NAME?</v>
      </c>
      <c r="AI10" s="15" t="str">
        <f t="shared" si="2"/>
        <v>晧全</v>
      </c>
      <c r="AJ10" s="17"/>
    </row>
    <row r="11" spans="1:36" ht="18" customHeight="1">
      <c r="A11" s="9" t="s">
        <v>174</v>
      </c>
      <c r="B11" s="10" t="s">
        <v>72</v>
      </c>
      <c r="C11" s="11"/>
      <c r="D11" s="9"/>
      <c r="E11" s="11"/>
      <c r="F11" s="2"/>
      <c r="G11" s="11"/>
      <c r="H11" s="2"/>
      <c r="I11" s="11"/>
      <c r="J11" s="11"/>
      <c r="K11" s="11"/>
      <c r="L11" s="11"/>
      <c r="M11" s="2"/>
      <c r="N11" s="11">
        <v>1</v>
      </c>
      <c r="O11" s="2"/>
      <c r="P11" s="11"/>
      <c r="Q11" s="11"/>
      <c r="R11" s="11"/>
      <c r="S11" s="11"/>
      <c r="T11" s="2"/>
      <c r="U11" s="11">
        <v>1</v>
      </c>
      <c r="V11" s="2"/>
      <c r="W11" s="11"/>
      <c r="X11" s="11"/>
      <c r="Y11" s="11">
        <v>1</v>
      </c>
      <c r="Z11" s="11"/>
      <c r="AA11" s="2"/>
      <c r="AB11" s="11"/>
      <c r="AC11" s="12"/>
      <c r="AD11" s="9"/>
      <c r="AE11" s="9"/>
      <c r="AF11" s="9"/>
      <c r="AG11" s="13">
        <f t="shared" si="1"/>
        <v>3</v>
      </c>
      <c r="AH11" s="14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15" t="str">
        <f t="shared" si="2"/>
        <v>八卦</v>
      </c>
      <c r="AJ11" s="16"/>
    </row>
    <row r="12" spans="1:36" ht="18" customHeight="1">
      <c r="A12" s="9" t="s">
        <v>174</v>
      </c>
      <c r="B12" s="10" t="s">
        <v>175</v>
      </c>
      <c r="C12" s="11"/>
      <c r="D12" s="9"/>
      <c r="E12" s="11"/>
      <c r="F12" s="2"/>
      <c r="G12" s="11"/>
      <c r="H12" s="2"/>
      <c r="I12" s="11"/>
      <c r="J12" s="11"/>
      <c r="K12" s="11"/>
      <c r="L12" s="11"/>
      <c r="M12" s="2"/>
      <c r="N12" s="11">
        <v>1</v>
      </c>
      <c r="O12" s="2"/>
      <c r="P12" s="11"/>
      <c r="Q12" s="11"/>
      <c r="R12" s="11"/>
      <c r="S12" s="11"/>
      <c r="T12" s="2"/>
      <c r="U12" s="11"/>
      <c r="V12" s="2"/>
      <c r="W12" s="11"/>
      <c r="X12" s="11"/>
      <c r="Y12" s="11"/>
      <c r="Z12" s="11"/>
      <c r="AA12" s="2"/>
      <c r="AB12" s="11"/>
      <c r="AC12" s="12"/>
      <c r="AD12" s="9"/>
      <c r="AE12" s="9"/>
      <c r="AF12" s="9"/>
      <c r="AG12" s="13">
        <f t="shared" si="1"/>
        <v>1</v>
      </c>
      <c r="AH12" s="14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15" t="str">
        <f t="shared" si="2"/>
        <v>咪咪</v>
      </c>
      <c r="AJ12" s="17"/>
    </row>
    <row r="13" spans="1:36" ht="18" customHeight="1">
      <c r="A13" s="9" t="s">
        <v>174</v>
      </c>
      <c r="B13" s="10" t="s">
        <v>17</v>
      </c>
      <c r="C13" s="11"/>
      <c r="D13" s="9"/>
      <c r="E13" s="11"/>
      <c r="F13" s="2"/>
      <c r="G13" s="11"/>
      <c r="H13" s="2"/>
      <c r="I13" s="11"/>
      <c r="J13" s="11"/>
      <c r="K13" s="11"/>
      <c r="L13" s="11"/>
      <c r="M13" s="2"/>
      <c r="N13" s="11"/>
      <c r="O13" s="2"/>
      <c r="P13" s="11"/>
      <c r="Q13" s="11">
        <v>1</v>
      </c>
      <c r="R13" s="11"/>
      <c r="S13" s="11"/>
      <c r="T13" s="2"/>
      <c r="U13" s="11"/>
      <c r="V13" s="2"/>
      <c r="W13" s="11"/>
      <c r="X13" s="11">
        <v>1</v>
      </c>
      <c r="Y13" s="11"/>
      <c r="Z13" s="11"/>
      <c r="AA13" s="2"/>
      <c r="AB13" s="11"/>
      <c r="AC13" s="12"/>
      <c r="AD13" s="9"/>
      <c r="AE13" s="9"/>
      <c r="AF13" s="9"/>
      <c r="AG13" s="13">
        <f t="shared" si="1"/>
        <v>2</v>
      </c>
      <c r="AH13" s="14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15" t="str">
        <f t="shared" si="2"/>
        <v>光曜</v>
      </c>
      <c r="AJ13" s="16"/>
    </row>
    <row r="14" spans="1:36" ht="18" customHeight="1">
      <c r="A14" s="9" t="s">
        <v>174</v>
      </c>
      <c r="B14" s="10" t="s">
        <v>15</v>
      </c>
      <c r="C14" s="11"/>
      <c r="D14" s="9"/>
      <c r="E14" s="11"/>
      <c r="F14" s="2"/>
      <c r="G14" s="11"/>
      <c r="H14" s="2"/>
      <c r="I14" s="11"/>
      <c r="J14" s="11"/>
      <c r="K14" s="11"/>
      <c r="L14" s="11"/>
      <c r="M14" s="2"/>
      <c r="N14" s="11"/>
      <c r="O14" s="2"/>
      <c r="P14" s="11"/>
      <c r="Q14" s="11"/>
      <c r="R14" s="11"/>
      <c r="S14" s="11"/>
      <c r="T14" s="2"/>
      <c r="U14" s="11"/>
      <c r="V14" s="2"/>
      <c r="W14" s="11"/>
      <c r="X14" s="11"/>
      <c r="Y14" s="11"/>
      <c r="Z14" s="11"/>
      <c r="AA14" s="2"/>
      <c r="AB14" s="11"/>
      <c r="AC14" s="12"/>
      <c r="AD14" s="9">
        <v>1</v>
      </c>
      <c r="AE14" s="9"/>
      <c r="AF14" s="9"/>
      <c r="AG14" s="13">
        <f t="shared" si="1"/>
        <v>1</v>
      </c>
      <c r="AH14" s="14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15" t="str">
        <f t="shared" si="2"/>
        <v>大支</v>
      </c>
      <c r="AJ14" s="17"/>
    </row>
    <row r="15" spans="1:36" ht="18" customHeight="1">
      <c r="A15" s="9" t="s">
        <v>174</v>
      </c>
      <c r="B15" s="10" t="s">
        <v>61</v>
      </c>
      <c r="C15" s="11"/>
      <c r="D15" s="9"/>
      <c r="E15" s="11"/>
      <c r="F15" s="2"/>
      <c r="G15" s="11"/>
      <c r="H15" s="2"/>
      <c r="I15" s="11"/>
      <c r="J15" s="11"/>
      <c r="K15" s="11"/>
      <c r="L15" s="11"/>
      <c r="M15" s="2"/>
      <c r="N15" s="11"/>
      <c r="O15" s="2"/>
      <c r="P15" s="11"/>
      <c r="Q15" s="11"/>
      <c r="R15" s="11"/>
      <c r="S15" s="11"/>
      <c r="T15" s="2"/>
      <c r="U15" s="11"/>
      <c r="V15" s="2"/>
      <c r="W15" s="11"/>
      <c r="X15" s="11"/>
      <c r="Y15" s="11"/>
      <c r="Z15" s="11"/>
      <c r="AA15" s="2"/>
      <c r="AB15" s="11"/>
      <c r="AC15" s="12"/>
      <c r="AD15" s="9"/>
      <c r="AE15" s="9"/>
      <c r="AF15" s="9"/>
      <c r="AG15" s="13">
        <f t="shared" si="1"/>
        <v>0</v>
      </c>
      <c r="AH15" s="14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15" t="str">
        <f t="shared" si="2"/>
        <v>韋融</v>
      </c>
      <c r="AJ15" s="16"/>
    </row>
    <row r="16" spans="1:36" ht="18" customHeight="1">
      <c r="A16" s="9" t="s">
        <v>174</v>
      </c>
      <c r="B16" s="10" t="s">
        <v>20</v>
      </c>
      <c r="C16" s="11"/>
      <c r="D16" s="9"/>
      <c r="E16" s="11"/>
      <c r="F16" s="2"/>
      <c r="G16" s="11"/>
      <c r="H16" s="2"/>
      <c r="I16" s="11"/>
      <c r="J16" s="11"/>
      <c r="K16" s="11"/>
      <c r="L16" s="11"/>
      <c r="M16" s="2"/>
      <c r="N16" s="11">
        <v>1</v>
      </c>
      <c r="O16" s="2"/>
      <c r="P16" s="11"/>
      <c r="Q16" s="11"/>
      <c r="R16" s="11"/>
      <c r="S16" s="11"/>
      <c r="T16" s="2"/>
      <c r="U16" s="11"/>
      <c r="V16" s="2"/>
      <c r="W16" s="11"/>
      <c r="X16" s="11"/>
      <c r="Y16" s="11"/>
      <c r="Z16" s="11"/>
      <c r="AA16" s="2"/>
      <c r="AB16" s="11">
        <v>1</v>
      </c>
      <c r="AC16" s="12"/>
      <c r="AD16" s="9">
        <v>1</v>
      </c>
      <c r="AE16" s="9"/>
      <c r="AF16" s="9"/>
      <c r="AG16" s="13">
        <f t="shared" si="1"/>
        <v>3</v>
      </c>
      <c r="AH16" s="14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15" t="str">
        <f t="shared" si="2"/>
        <v>港弟</v>
      </c>
      <c r="AJ16" s="17"/>
    </row>
    <row r="17" spans="1:36" ht="18" customHeight="1">
      <c r="A17" s="9" t="s">
        <v>174</v>
      </c>
      <c r="B17" s="10" t="s">
        <v>16</v>
      </c>
      <c r="C17" s="11"/>
      <c r="D17" s="9"/>
      <c r="E17" s="11"/>
      <c r="F17" s="2"/>
      <c r="G17" s="11"/>
      <c r="H17" s="2"/>
      <c r="I17" s="11"/>
      <c r="J17" s="11"/>
      <c r="K17" s="11"/>
      <c r="L17" s="11"/>
      <c r="M17" s="2"/>
      <c r="N17" s="11">
        <v>1</v>
      </c>
      <c r="O17" s="2"/>
      <c r="P17" s="11"/>
      <c r="Q17" s="11"/>
      <c r="R17" s="11"/>
      <c r="S17" s="11"/>
      <c r="T17" s="2"/>
      <c r="U17" s="11"/>
      <c r="V17" s="2"/>
      <c r="W17" s="11"/>
      <c r="X17" s="11"/>
      <c r="Y17" s="11"/>
      <c r="Z17" s="11"/>
      <c r="AA17" s="2"/>
      <c r="AB17" s="11"/>
      <c r="AC17" s="12"/>
      <c r="AD17" s="9">
        <v>1</v>
      </c>
      <c r="AE17" s="9"/>
      <c r="AF17" s="9"/>
      <c r="AG17" s="13">
        <f t="shared" si="1"/>
        <v>2</v>
      </c>
      <c r="AH17" s="14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15" t="str">
        <f t="shared" si="2"/>
        <v>弼善</v>
      </c>
      <c r="AJ17" s="16"/>
    </row>
    <row r="18" spans="1:36" ht="18" customHeight="1">
      <c r="A18" s="9" t="s">
        <v>174</v>
      </c>
      <c r="B18" s="10" t="s">
        <v>62</v>
      </c>
      <c r="C18" s="11"/>
      <c r="D18" s="9"/>
      <c r="E18" s="11"/>
      <c r="F18" s="2"/>
      <c r="G18" s="11"/>
      <c r="H18" s="2"/>
      <c r="I18" s="11">
        <v>1</v>
      </c>
      <c r="J18" s="11"/>
      <c r="K18" s="11"/>
      <c r="L18" s="11"/>
      <c r="M18" s="2"/>
      <c r="N18" s="11">
        <v>1</v>
      </c>
      <c r="O18" s="2"/>
      <c r="P18" s="11">
        <v>1</v>
      </c>
      <c r="Q18" s="11"/>
      <c r="R18" s="11"/>
      <c r="S18" s="11"/>
      <c r="T18" s="2"/>
      <c r="U18" s="11">
        <v>1</v>
      </c>
      <c r="V18" s="2"/>
      <c r="W18" s="11"/>
      <c r="X18" s="11"/>
      <c r="Y18" s="11"/>
      <c r="Z18" s="11"/>
      <c r="AA18" s="2"/>
      <c r="AB18" s="11">
        <v>1</v>
      </c>
      <c r="AC18" s="12"/>
      <c r="AD18" s="9"/>
      <c r="AE18" s="9"/>
      <c r="AF18" s="9"/>
      <c r="AG18" s="13">
        <f t="shared" si="1"/>
        <v>5</v>
      </c>
      <c r="AH18" s="14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15" t="str">
        <f t="shared" si="2"/>
        <v>國源</v>
      </c>
      <c r="AJ18" s="17"/>
    </row>
    <row r="19" spans="1:36" ht="18" customHeight="1">
      <c r="A19" s="18" t="s">
        <v>174</v>
      </c>
      <c r="B19" s="19" t="s">
        <v>89</v>
      </c>
      <c r="C19" s="20"/>
      <c r="D19" s="18"/>
      <c r="E19" s="20"/>
      <c r="F19" s="2"/>
      <c r="G19" s="20"/>
      <c r="H19" s="2"/>
      <c r="I19" s="20"/>
      <c r="J19" s="20"/>
      <c r="K19" s="20"/>
      <c r="L19" s="20"/>
      <c r="M19" s="2"/>
      <c r="N19" s="20"/>
      <c r="O19" s="2"/>
      <c r="P19" s="20"/>
      <c r="Q19" s="20"/>
      <c r="R19" s="20"/>
      <c r="S19" s="20"/>
      <c r="T19" s="2"/>
      <c r="U19" s="20"/>
      <c r="V19" s="2"/>
      <c r="W19" s="20"/>
      <c r="X19" s="20"/>
      <c r="Y19" s="20"/>
      <c r="Z19" s="20"/>
      <c r="AA19" s="2"/>
      <c r="AB19" s="20"/>
      <c r="AC19" s="12"/>
      <c r="AD19" s="18"/>
      <c r="AE19" s="18"/>
      <c r="AF19" s="18"/>
      <c r="AG19" s="21">
        <f t="shared" si="1"/>
        <v>0</v>
      </c>
      <c r="AH19" s="22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23" t="str">
        <f t="shared" si="2"/>
        <v>泡芙</v>
      </c>
      <c r="AJ19" s="24"/>
    </row>
    <row r="20" spans="1:36" ht="18" customHeight="1">
      <c r="A20" s="18" t="s">
        <v>174</v>
      </c>
      <c r="B20" s="19" t="s">
        <v>90</v>
      </c>
      <c r="C20" s="20"/>
      <c r="D20" s="18"/>
      <c r="E20" s="20"/>
      <c r="F20" s="2"/>
      <c r="G20" s="20"/>
      <c r="H20" s="2"/>
      <c r="I20" s="20"/>
      <c r="J20" s="20"/>
      <c r="K20" s="20"/>
      <c r="L20" s="20"/>
      <c r="M20" s="2"/>
      <c r="N20" s="20">
        <v>1</v>
      </c>
      <c r="O20" s="2"/>
      <c r="P20" s="20"/>
      <c r="Q20" s="20"/>
      <c r="R20" s="20"/>
      <c r="S20" s="20"/>
      <c r="T20" s="2"/>
      <c r="U20" s="20"/>
      <c r="V20" s="2"/>
      <c r="W20" s="20"/>
      <c r="X20" s="20"/>
      <c r="Y20" s="20"/>
      <c r="Z20" s="20"/>
      <c r="AA20" s="2"/>
      <c r="AB20" s="20"/>
      <c r="AC20" s="12"/>
      <c r="AD20" s="18"/>
      <c r="AE20" s="18"/>
      <c r="AF20" s="18"/>
      <c r="AG20" s="21">
        <f t="shared" si="1"/>
        <v>1</v>
      </c>
      <c r="AH20" s="22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23" t="str">
        <f t="shared" si="2"/>
        <v>蓓蓓</v>
      </c>
      <c r="AJ20" s="24"/>
    </row>
    <row r="21" spans="1:36" ht="18" customHeight="1">
      <c r="A21" s="18" t="s">
        <v>174</v>
      </c>
      <c r="B21" s="19" t="s">
        <v>150</v>
      </c>
      <c r="C21" s="20"/>
      <c r="D21" s="18"/>
      <c r="E21" s="20"/>
      <c r="F21" s="2"/>
      <c r="G21" s="20">
        <v>1</v>
      </c>
      <c r="H21" s="2"/>
      <c r="I21" s="20"/>
      <c r="J21" s="20"/>
      <c r="K21" s="20"/>
      <c r="L21" s="20"/>
      <c r="M21" s="2"/>
      <c r="N21" s="20">
        <v>1</v>
      </c>
      <c r="O21" s="2"/>
      <c r="P21" s="20"/>
      <c r="Q21" s="20"/>
      <c r="R21" s="20"/>
      <c r="S21" s="20"/>
      <c r="T21" s="2"/>
      <c r="U21" s="20"/>
      <c r="V21" s="2"/>
      <c r="W21" s="20"/>
      <c r="X21" s="20"/>
      <c r="Y21" s="20"/>
      <c r="Z21" s="20"/>
      <c r="AA21" s="2"/>
      <c r="AB21" s="20"/>
      <c r="AC21" s="12"/>
      <c r="AD21" s="18">
        <v>1</v>
      </c>
      <c r="AE21" s="18">
        <v>1</v>
      </c>
      <c r="AF21" s="18"/>
      <c r="AG21" s="21">
        <f t="shared" si="1"/>
        <v>4</v>
      </c>
      <c r="AH21" s="22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23" t="str">
        <f t="shared" si="2"/>
        <v>高麗菜</v>
      </c>
      <c r="AJ21" s="24"/>
    </row>
    <row r="22" spans="1:36" ht="18" customHeight="1">
      <c r="A22" s="18" t="s">
        <v>174</v>
      </c>
      <c r="B22" s="19" t="s">
        <v>164</v>
      </c>
      <c r="C22" s="20"/>
      <c r="D22" s="18"/>
      <c r="E22" s="20"/>
      <c r="F22" s="2"/>
      <c r="G22" s="20"/>
      <c r="H22" s="2"/>
      <c r="I22" s="20"/>
      <c r="J22" s="20"/>
      <c r="K22" s="20"/>
      <c r="L22" s="20"/>
      <c r="M22" s="2"/>
      <c r="N22" s="20">
        <v>1</v>
      </c>
      <c r="O22" s="2"/>
      <c r="P22" s="20"/>
      <c r="Q22" s="20"/>
      <c r="R22" s="20"/>
      <c r="S22" s="20"/>
      <c r="T22" s="2"/>
      <c r="U22" s="20"/>
      <c r="V22" s="2"/>
      <c r="W22" s="20"/>
      <c r="X22" s="20"/>
      <c r="Y22" s="20"/>
      <c r="Z22" s="20"/>
      <c r="AA22" s="2"/>
      <c r="AB22" s="20"/>
      <c r="AC22" s="12"/>
      <c r="AD22" s="18">
        <v>1</v>
      </c>
      <c r="AE22" s="18"/>
      <c r="AF22" s="18"/>
      <c r="AG22" s="21">
        <f t="shared" si="1"/>
        <v>2</v>
      </c>
      <c r="AH22" s="22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23" t="str">
        <f t="shared" si="2"/>
        <v>小菜</v>
      </c>
      <c r="AJ22" s="25"/>
    </row>
    <row r="23" spans="1:36" ht="18" customHeight="1">
      <c r="A23" s="18" t="s">
        <v>174</v>
      </c>
      <c r="B23" s="19" t="s">
        <v>94</v>
      </c>
      <c r="C23" s="20"/>
      <c r="D23" s="18"/>
      <c r="E23" s="20"/>
      <c r="F23" s="2"/>
      <c r="G23" s="20"/>
      <c r="H23" s="2"/>
      <c r="I23" s="20"/>
      <c r="J23" s="20"/>
      <c r="K23" s="20"/>
      <c r="L23" s="20"/>
      <c r="M23" s="2"/>
      <c r="N23" s="20"/>
      <c r="O23" s="2"/>
      <c r="P23" s="20"/>
      <c r="Q23" s="20"/>
      <c r="R23" s="20"/>
      <c r="S23" s="20"/>
      <c r="T23" s="2"/>
      <c r="U23" s="20"/>
      <c r="V23" s="2"/>
      <c r="W23" s="20"/>
      <c r="X23" s="20"/>
      <c r="Y23" s="20"/>
      <c r="Z23" s="20"/>
      <c r="AA23" s="2"/>
      <c r="AB23" s="20"/>
      <c r="AC23" s="12"/>
      <c r="AD23" s="18">
        <v>1</v>
      </c>
      <c r="AE23" s="18"/>
      <c r="AF23" s="18"/>
      <c r="AG23" s="21">
        <f t="shared" si="1"/>
        <v>1</v>
      </c>
      <c r="AH23" s="22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23" t="str">
        <f t="shared" si="2"/>
        <v>小花</v>
      </c>
      <c r="AJ23" s="25"/>
    </row>
    <row r="24" spans="1:36" ht="18" customHeight="1">
      <c r="A24" s="18" t="s">
        <v>174</v>
      </c>
      <c r="B24" s="19" t="s">
        <v>102</v>
      </c>
      <c r="C24" s="20"/>
      <c r="D24" s="18"/>
      <c r="E24" s="20"/>
      <c r="F24" s="2"/>
      <c r="G24" s="20"/>
      <c r="H24" s="2"/>
      <c r="I24" s="20"/>
      <c r="J24" s="20"/>
      <c r="K24" s="20"/>
      <c r="L24" s="20"/>
      <c r="M24" s="2"/>
      <c r="N24" s="20"/>
      <c r="O24" s="2"/>
      <c r="P24" s="20"/>
      <c r="Q24" s="20"/>
      <c r="R24" s="20"/>
      <c r="S24" s="20"/>
      <c r="T24" s="2"/>
      <c r="U24" s="20"/>
      <c r="V24" s="2"/>
      <c r="W24" s="20"/>
      <c r="X24" s="20"/>
      <c r="Y24" s="20"/>
      <c r="Z24" s="20"/>
      <c r="AA24" s="2"/>
      <c r="AB24" s="20">
        <v>1</v>
      </c>
      <c r="AC24" s="12"/>
      <c r="AD24" s="18"/>
      <c r="AE24" s="18"/>
      <c r="AF24" s="18"/>
      <c r="AG24" s="21">
        <f t="shared" si="1"/>
        <v>1</v>
      </c>
      <c r="AH24" s="22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23" t="str">
        <f t="shared" si="2"/>
        <v>妮妮</v>
      </c>
      <c r="AJ24" s="24"/>
    </row>
    <row r="25" spans="1:36" ht="18" customHeight="1">
      <c r="A25" s="18" t="s">
        <v>174</v>
      </c>
      <c r="B25" s="19" t="s">
        <v>165</v>
      </c>
      <c r="C25" s="20"/>
      <c r="D25" s="18"/>
      <c r="E25" s="20"/>
      <c r="F25" s="2"/>
      <c r="G25" s="20"/>
      <c r="H25" s="2"/>
      <c r="I25" s="20"/>
      <c r="J25" s="20"/>
      <c r="K25" s="20"/>
      <c r="L25" s="20"/>
      <c r="M25" s="2"/>
      <c r="N25" s="20">
        <v>1</v>
      </c>
      <c r="O25" s="2"/>
      <c r="P25" s="20"/>
      <c r="Q25" s="20"/>
      <c r="R25" s="20"/>
      <c r="S25" s="20"/>
      <c r="T25" s="2"/>
      <c r="U25" s="20">
        <v>1</v>
      </c>
      <c r="V25" s="2"/>
      <c r="W25" s="20"/>
      <c r="X25" s="20"/>
      <c r="Y25" s="20">
        <v>1</v>
      </c>
      <c r="Z25" s="20"/>
      <c r="AA25" s="2"/>
      <c r="AB25" s="20">
        <v>1</v>
      </c>
      <c r="AC25" s="12"/>
      <c r="AD25" s="18"/>
      <c r="AE25" s="18"/>
      <c r="AF25" s="18"/>
      <c r="AG25" s="21">
        <f t="shared" si="1"/>
        <v>4</v>
      </c>
      <c r="AH25" s="22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23" t="str">
        <f t="shared" si="2"/>
        <v>小貓</v>
      </c>
      <c r="AJ25" s="25"/>
    </row>
    <row r="26" spans="1:36" ht="18" customHeight="1">
      <c r="A26" s="18" t="s">
        <v>174</v>
      </c>
      <c r="B26" s="19" t="s">
        <v>166</v>
      </c>
      <c r="C26" s="20"/>
      <c r="D26" s="18"/>
      <c r="E26" s="20"/>
      <c r="F26" s="2"/>
      <c r="G26" s="20"/>
      <c r="H26" s="2"/>
      <c r="I26" s="20"/>
      <c r="J26" s="20"/>
      <c r="K26" s="20"/>
      <c r="L26" s="20"/>
      <c r="M26" s="2"/>
      <c r="N26" s="20"/>
      <c r="O26" s="2"/>
      <c r="P26" s="20"/>
      <c r="Q26" s="20"/>
      <c r="R26" s="20"/>
      <c r="S26" s="20"/>
      <c r="T26" s="2"/>
      <c r="U26" s="20"/>
      <c r="V26" s="2"/>
      <c r="W26" s="20"/>
      <c r="X26" s="20"/>
      <c r="Y26" s="20"/>
      <c r="Z26" s="20"/>
      <c r="AA26" s="2"/>
      <c r="AB26" s="20"/>
      <c r="AC26" s="12"/>
      <c r="AD26" s="18">
        <v>1</v>
      </c>
      <c r="AE26" s="18"/>
      <c r="AF26" s="18"/>
      <c r="AG26" s="21">
        <f t="shared" si="1"/>
        <v>1</v>
      </c>
      <c r="AH26" s="22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23" t="str">
        <f t="shared" si="2"/>
        <v>哈比</v>
      </c>
      <c r="AJ26" s="24"/>
    </row>
    <row r="27" spans="1:36" ht="18" customHeight="1">
      <c r="A27" s="18" t="s">
        <v>174</v>
      </c>
      <c r="B27" s="19" t="s">
        <v>91</v>
      </c>
      <c r="C27" s="20"/>
      <c r="D27" s="18"/>
      <c r="E27" s="20"/>
      <c r="F27" s="2"/>
      <c r="G27" s="20">
        <v>1</v>
      </c>
      <c r="H27" s="2"/>
      <c r="I27" s="20"/>
      <c r="J27" s="20"/>
      <c r="K27" s="20"/>
      <c r="L27" s="20"/>
      <c r="M27" s="2"/>
      <c r="N27" s="20"/>
      <c r="O27" s="2"/>
      <c r="P27" s="20"/>
      <c r="Q27" s="20"/>
      <c r="R27" s="20"/>
      <c r="S27" s="20"/>
      <c r="T27" s="2"/>
      <c r="U27" s="20"/>
      <c r="V27" s="2"/>
      <c r="W27" s="20"/>
      <c r="X27" s="20"/>
      <c r="Y27" s="20"/>
      <c r="Z27" s="20"/>
      <c r="AA27" s="2"/>
      <c r="AB27" s="20"/>
      <c r="AC27" s="12"/>
      <c r="AD27" s="18"/>
      <c r="AE27" s="18"/>
      <c r="AF27" s="18"/>
      <c r="AG27" s="21">
        <f t="shared" si="1"/>
        <v>1</v>
      </c>
      <c r="AH27" s="22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23" t="str">
        <f t="shared" si="2"/>
        <v>柔柔</v>
      </c>
      <c r="AJ27" s="24"/>
    </row>
    <row r="28" spans="1:36" ht="18" customHeight="1">
      <c r="A28" s="18" t="s">
        <v>174</v>
      </c>
      <c r="B28" s="19" t="s">
        <v>176</v>
      </c>
      <c r="C28" s="20"/>
      <c r="D28" s="18"/>
      <c r="E28" s="20"/>
      <c r="F28" s="2"/>
      <c r="G28" s="20"/>
      <c r="H28" s="2"/>
      <c r="I28" s="20"/>
      <c r="J28" s="20"/>
      <c r="K28" s="20"/>
      <c r="L28" s="20"/>
      <c r="M28" s="2"/>
      <c r="N28" s="20"/>
      <c r="O28" s="2"/>
      <c r="P28" s="20"/>
      <c r="Q28" s="20"/>
      <c r="R28" s="20"/>
      <c r="S28" s="20"/>
      <c r="T28" s="2"/>
      <c r="U28" s="20"/>
      <c r="V28" s="2"/>
      <c r="W28" s="20"/>
      <c r="X28" s="20"/>
      <c r="Y28" s="20"/>
      <c r="Z28" s="20"/>
      <c r="AA28" s="2"/>
      <c r="AB28" s="20"/>
      <c r="AC28" s="12"/>
      <c r="AD28" s="18"/>
      <c r="AE28" s="18"/>
      <c r="AF28" s="18"/>
      <c r="AG28" s="21">
        <f t="shared" si="1"/>
        <v>0</v>
      </c>
      <c r="AH28" s="22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23" t="str">
        <f t="shared" si="2"/>
        <v>芮芮</v>
      </c>
      <c r="AJ28" s="25"/>
    </row>
    <row r="29" spans="1:36" ht="18" customHeight="1">
      <c r="A29" s="18" t="s">
        <v>174</v>
      </c>
      <c r="B29" s="19" t="s">
        <v>123</v>
      </c>
      <c r="C29" s="20"/>
      <c r="D29" s="18"/>
      <c r="E29" s="20"/>
      <c r="F29" s="2"/>
      <c r="G29" s="20"/>
      <c r="H29" s="2"/>
      <c r="I29" s="20"/>
      <c r="J29" s="20"/>
      <c r="K29" s="20"/>
      <c r="L29" s="20"/>
      <c r="M29" s="2"/>
      <c r="N29" s="20"/>
      <c r="O29" s="2"/>
      <c r="P29" s="20"/>
      <c r="Q29" s="20">
        <v>1</v>
      </c>
      <c r="R29" s="20"/>
      <c r="S29" s="20"/>
      <c r="T29" s="2"/>
      <c r="U29" s="20"/>
      <c r="V29" s="2"/>
      <c r="W29" s="20"/>
      <c r="X29" s="20">
        <v>1</v>
      </c>
      <c r="Y29" s="20"/>
      <c r="Z29" s="20"/>
      <c r="AA29" s="2"/>
      <c r="AB29" s="20"/>
      <c r="AC29" s="12"/>
      <c r="AD29" s="18"/>
      <c r="AE29" s="18"/>
      <c r="AF29" s="18"/>
      <c r="AG29" s="21">
        <f t="shared" si="1"/>
        <v>2</v>
      </c>
      <c r="AH29" s="22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23" t="str">
        <f t="shared" si="2"/>
        <v>瑤瑤</v>
      </c>
      <c r="AJ29" s="24"/>
    </row>
    <row r="30" spans="1:36" ht="18" customHeight="1">
      <c r="A30" s="18" t="s">
        <v>174</v>
      </c>
      <c r="B30" s="19" t="s">
        <v>147</v>
      </c>
      <c r="C30" s="20"/>
      <c r="D30" s="18"/>
      <c r="E30" s="20"/>
      <c r="F30" s="2"/>
      <c r="G30" s="20">
        <v>1</v>
      </c>
      <c r="H30" s="2"/>
      <c r="I30" s="20">
        <v>1</v>
      </c>
      <c r="J30" s="20"/>
      <c r="K30" s="20"/>
      <c r="L30" s="20"/>
      <c r="M30" s="2"/>
      <c r="N30" s="20">
        <v>1</v>
      </c>
      <c r="O30" s="2"/>
      <c r="P30" s="20"/>
      <c r="Q30" s="20"/>
      <c r="R30" s="20"/>
      <c r="S30" s="20"/>
      <c r="T30" s="2"/>
      <c r="U30" s="20"/>
      <c r="V30" s="2"/>
      <c r="W30" s="20"/>
      <c r="X30" s="20"/>
      <c r="Y30" s="20"/>
      <c r="Z30" s="20"/>
      <c r="AA30" s="2"/>
      <c r="AB30" s="20"/>
      <c r="AC30" s="12"/>
      <c r="AD30" s="18"/>
      <c r="AE30" s="18"/>
      <c r="AF30" s="18"/>
      <c r="AG30" s="21">
        <f t="shared" si="1"/>
        <v>3</v>
      </c>
      <c r="AH30" s="22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23" t="str">
        <f t="shared" si="2"/>
        <v>湘苡</v>
      </c>
      <c r="AJ30" s="25"/>
    </row>
    <row r="31" spans="1:36" ht="18" customHeight="1">
      <c r="A31" s="18" t="s">
        <v>174</v>
      </c>
      <c r="B31" s="19" t="s">
        <v>93</v>
      </c>
      <c r="C31" s="20"/>
      <c r="D31" s="18"/>
      <c r="E31" s="20"/>
      <c r="F31" s="2"/>
      <c r="G31" s="20"/>
      <c r="H31" s="2"/>
      <c r="I31" s="20"/>
      <c r="J31" s="20"/>
      <c r="K31" s="20"/>
      <c r="L31" s="20"/>
      <c r="M31" s="2"/>
      <c r="N31" s="20">
        <v>1</v>
      </c>
      <c r="O31" s="2"/>
      <c r="P31" s="20"/>
      <c r="Q31" s="20"/>
      <c r="R31" s="20"/>
      <c r="S31" s="20"/>
      <c r="T31" s="2"/>
      <c r="U31" s="20"/>
      <c r="V31" s="2"/>
      <c r="W31" s="20"/>
      <c r="X31" s="20"/>
      <c r="Y31" s="20"/>
      <c r="Z31" s="20"/>
      <c r="AA31" s="2"/>
      <c r="AB31" s="20"/>
      <c r="AC31" s="12"/>
      <c r="AD31" s="18">
        <v>1</v>
      </c>
      <c r="AE31" s="18"/>
      <c r="AF31" s="18"/>
      <c r="AG31" s="21">
        <f t="shared" si="1"/>
        <v>2</v>
      </c>
      <c r="AH31" s="22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23" t="str">
        <f t="shared" si="2"/>
        <v>冠婷</v>
      </c>
      <c r="AJ31" s="24"/>
    </row>
    <row r="32" spans="1:36" ht="18" customHeight="1">
      <c r="A32" s="18" t="s">
        <v>174</v>
      </c>
      <c r="B32" s="19" t="s">
        <v>149</v>
      </c>
      <c r="C32" s="20"/>
      <c r="D32" s="18"/>
      <c r="E32" s="20"/>
      <c r="F32" s="2"/>
      <c r="G32" s="20"/>
      <c r="H32" s="2"/>
      <c r="I32" s="20"/>
      <c r="J32" s="20"/>
      <c r="K32" s="20"/>
      <c r="L32" s="20"/>
      <c r="M32" s="2"/>
      <c r="N32" s="20">
        <v>1</v>
      </c>
      <c r="O32" s="2"/>
      <c r="P32" s="20"/>
      <c r="Q32" s="20"/>
      <c r="R32" s="20"/>
      <c r="S32" s="20"/>
      <c r="T32" s="2"/>
      <c r="U32" s="20"/>
      <c r="V32" s="2"/>
      <c r="W32" s="20"/>
      <c r="X32" s="20"/>
      <c r="Y32" s="20"/>
      <c r="Z32" s="20"/>
      <c r="AA32" s="2"/>
      <c r="AB32" s="20"/>
      <c r="AC32" s="12"/>
      <c r="AD32" s="18"/>
      <c r="AE32" s="18"/>
      <c r="AF32" s="18"/>
      <c r="AG32" s="21">
        <f t="shared" si="1"/>
        <v>1</v>
      </c>
      <c r="AH32" s="22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23" t="str">
        <f t="shared" si="2"/>
        <v>晏寧</v>
      </c>
      <c r="AJ32" s="24" t="s">
        <v>177</v>
      </c>
    </row>
    <row r="33" spans="1:36" ht="18" customHeight="1">
      <c r="A33" s="18" t="s">
        <v>174</v>
      </c>
      <c r="B33" s="19" t="s">
        <v>146</v>
      </c>
      <c r="C33" s="20"/>
      <c r="D33" s="18"/>
      <c r="E33" s="20"/>
      <c r="F33" s="2"/>
      <c r="G33" s="20"/>
      <c r="H33" s="2"/>
      <c r="I33" s="20"/>
      <c r="J33" s="20"/>
      <c r="K33" s="20"/>
      <c r="L33" s="20"/>
      <c r="M33" s="2"/>
      <c r="N33" s="20"/>
      <c r="O33" s="2"/>
      <c r="P33" s="20">
        <v>1</v>
      </c>
      <c r="Q33" s="20"/>
      <c r="R33" s="20"/>
      <c r="S33" s="20"/>
      <c r="T33" s="2"/>
      <c r="U33" s="20"/>
      <c r="V33" s="2"/>
      <c r="W33" s="20"/>
      <c r="X33" s="20"/>
      <c r="Y33" s="20"/>
      <c r="Z33" s="20"/>
      <c r="AA33" s="2"/>
      <c r="AB33" s="20"/>
      <c r="AC33" s="12"/>
      <c r="AD33" s="18"/>
      <c r="AE33" s="18"/>
      <c r="AF33" s="18"/>
      <c r="AG33" s="21">
        <f t="shared" si="1"/>
        <v>1</v>
      </c>
      <c r="AH33" s="22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23" t="str">
        <f t="shared" si="2"/>
        <v>飛飛</v>
      </c>
      <c r="AJ33" s="24" t="s">
        <v>177</v>
      </c>
    </row>
    <row r="34" spans="1:36" ht="18" customHeight="1">
      <c r="A34" s="26" t="s">
        <v>174</v>
      </c>
      <c r="B34" s="27" t="s">
        <v>116</v>
      </c>
      <c r="C34" s="28"/>
      <c r="D34" s="26"/>
      <c r="E34" s="28"/>
      <c r="F34" s="2"/>
      <c r="G34" s="28"/>
      <c r="H34" s="2"/>
      <c r="I34" s="28"/>
      <c r="J34" s="28"/>
      <c r="K34" s="28"/>
      <c r="L34" s="28"/>
      <c r="M34" s="2"/>
      <c r="N34" s="28"/>
      <c r="O34" s="2"/>
      <c r="P34" s="28"/>
      <c r="Q34" s="28"/>
      <c r="R34" s="28"/>
      <c r="S34" s="28"/>
      <c r="T34" s="2"/>
      <c r="U34" s="28"/>
      <c r="V34" s="2"/>
      <c r="W34" s="28"/>
      <c r="X34" s="28"/>
      <c r="Y34" s="28"/>
      <c r="Z34" s="28"/>
      <c r="AA34" s="2"/>
      <c r="AB34" s="28"/>
      <c r="AC34" s="12"/>
      <c r="AD34" s="26"/>
      <c r="AE34" s="26"/>
      <c r="AF34" s="26"/>
      <c r="AG34" s="29">
        <f t="shared" si="1"/>
        <v>0</v>
      </c>
      <c r="AH34" s="30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31" t="str">
        <f t="shared" si="2"/>
        <v>大汪</v>
      </c>
      <c r="AJ34" s="32"/>
    </row>
    <row r="35" spans="1:36" ht="18" customHeight="1">
      <c r="A35" s="26" t="s">
        <v>174</v>
      </c>
      <c r="B35" s="27" t="s">
        <v>118</v>
      </c>
      <c r="C35" s="28"/>
      <c r="D35" s="26"/>
      <c r="E35" s="28"/>
      <c r="F35" s="2"/>
      <c r="G35" s="28"/>
      <c r="H35" s="2"/>
      <c r="I35" s="28"/>
      <c r="J35" s="28"/>
      <c r="K35" s="28"/>
      <c r="L35" s="28"/>
      <c r="M35" s="2"/>
      <c r="N35" s="28"/>
      <c r="O35" s="2"/>
      <c r="P35" s="28"/>
      <c r="Q35" s="28"/>
      <c r="R35" s="28"/>
      <c r="S35" s="28"/>
      <c r="T35" s="2"/>
      <c r="U35" s="28"/>
      <c r="V35" s="2"/>
      <c r="W35" s="28">
        <v>1</v>
      </c>
      <c r="X35" s="28"/>
      <c r="Y35" s="28"/>
      <c r="Z35" s="28"/>
      <c r="AA35" s="2"/>
      <c r="AB35" s="28"/>
      <c r="AC35" s="12"/>
      <c r="AD35" s="26">
        <v>1</v>
      </c>
      <c r="AE35" s="26"/>
      <c r="AF35" s="26"/>
      <c r="AG35" s="29">
        <f t="shared" si="1"/>
        <v>2</v>
      </c>
      <c r="AH35" s="30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31" t="str">
        <f t="shared" si="2"/>
        <v>雅筑</v>
      </c>
      <c r="AJ35" s="32"/>
    </row>
    <row r="36" spans="1:36" ht="18" customHeight="1">
      <c r="A36" s="26" t="s">
        <v>174</v>
      </c>
      <c r="B36" s="27" t="s">
        <v>141</v>
      </c>
      <c r="C36" s="28"/>
      <c r="D36" s="26"/>
      <c r="E36" s="28"/>
      <c r="F36" s="2"/>
      <c r="G36" s="28"/>
      <c r="H36" s="2"/>
      <c r="I36" s="28"/>
      <c r="J36" s="28"/>
      <c r="K36" s="28"/>
      <c r="L36" s="28"/>
      <c r="M36" s="2"/>
      <c r="N36" s="28"/>
      <c r="O36" s="2"/>
      <c r="P36" s="28"/>
      <c r="Q36" s="28">
        <v>1</v>
      </c>
      <c r="R36" s="28"/>
      <c r="S36" s="28"/>
      <c r="T36" s="2"/>
      <c r="U36" s="28"/>
      <c r="V36" s="2"/>
      <c r="W36" s="28"/>
      <c r="X36" s="28">
        <v>1</v>
      </c>
      <c r="Y36" s="28"/>
      <c r="Z36" s="28"/>
      <c r="AA36" s="2"/>
      <c r="AB36" s="28"/>
      <c r="AC36" s="12"/>
      <c r="AD36" s="26"/>
      <c r="AE36" s="26"/>
      <c r="AF36" s="26"/>
      <c r="AG36" s="29">
        <f t="shared" ref="AG36:AG67" si="3">COUNTA(C36:AF36)</f>
        <v>2</v>
      </c>
      <c r="AH36" s="30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31" t="str">
        <f t="shared" ref="AI36:AI67" si="4">B36</f>
        <v>Cindy</v>
      </c>
      <c r="AJ36" s="32"/>
    </row>
    <row r="37" spans="1:36" ht="18" customHeight="1">
      <c r="A37" s="26" t="s">
        <v>174</v>
      </c>
      <c r="B37" s="27" t="s">
        <v>103</v>
      </c>
      <c r="C37" s="28"/>
      <c r="D37" s="26"/>
      <c r="E37" s="28"/>
      <c r="F37" s="2"/>
      <c r="G37" s="28"/>
      <c r="H37" s="2"/>
      <c r="I37" s="28"/>
      <c r="J37" s="28"/>
      <c r="K37" s="28"/>
      <c r="L37" s="28"/>
      <c r="M37" s="2"/>
      <c r="N37" s="28"/>
      <c r="O37" s="2"/>
      <c r="P37" s="28"/>
      <c r="Q37" s="28"/>
      <c r="R37" s="28"/>
      <c r="S37" s="28"/>
      <c r="T37" s="2"/>
      <c r="U37" s="28"/>
      <c r="V37" s="2"/>
      <c r="W37" s="28"/>
      <c r="X37" s="28"/>
      <c r="Y37" s="28"/>
      <c r="Z37" s="28"/>
      <c r="AA37" s="2"/>
      <c r="AB37" s="28"/>
      <c r="AC37" s="12"/>
      <c r="AD37" s="26"/>
      <c r="AE37" s="26"/>
      <c r="AF37" s="26"/>
      <c r="AG37" s="29">
        <f t="shared" si="3"/>
        <v>0</v>
      </c>
      <c r="AH37" s="30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31" t="str">
        <f t="shared" si="4"/>
        <v>圈圈</v>
      </c>
      <c r="AJ37" s="33"/>
    </row>
    <row r="38" spans="1:36" ht="18" customHeight="1">
      <c r="A38" s="26" t="s">
        <v>174</v>
      </c>
      <c r="B38" s="27" t="s">
        <v>120</v>
      </c>
      <c r="C38" s="28"/>
      <c r="D38" s="26"/>
      <c r="E38" s="28"/>
      <c r="F38" s="2"/>
      <c r="G38" s="28"/>
      <c r="H38" s="2"/>
      <c r="I38" s="28"/>
      <c r="J38" s="28"/>
      <c r="K38" s="28"/>
      <c r="L38" s="28"/>
      <c r="M38" s="2"/>
      <c r="N38" s="28"/>
      <c r="O38" s="2"/>
      <c r="P38" s="28">
        <v>1</v>
      </c>
      <c r="Q38" s="28"/>
      <c r="R38" s="28"/>
      <c r="S38" s="28"/>
      <c r="T38" s="2"/>
      <c r="U38" s="28"/>
      <c r="V38" s="2"/>
      <c r="W38" s="28">
        <v>1</v>
      </c>
      <c r="X38" s="28"/>
      <c r="Y38" s="28"/>
      <c r="Z38" s="28"/>
      <c r="AA38" s="2"/>
      <c r="AB38" s="28"/>
      <c r="AC38" s="12"/>
      <c r="AD38" s="26">
        <v>1</v>
      </c>
      <c r="AE38" s="26"/>
      <c r="AF38" s="26"/>
      <c r="AG38" s="29">
        <f t="shared" si="3"/>
        <v>3</v>
      </c>
      <c r="AH38" s="30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31" t="str">
        <f t="shared" si="4"/>
        <v>品君</v>
      </c>
      <c r="AJ38" s="33"/>
    </row>
    <row r="39" spans="1:36" ht="18" customHeight="1">
      <c r="A39" s="26" t="s">
        <v>174</v>
      </c>
      <c r="B39" s="27" t="s">
        <v>142</v>
      </c>
      <c r="C39" s="28"/>
      <c r="D39" s="26"/>
      <c r="E39" s="28"/>
      <c r="F39" s="2"/>
      <c r="G39" s="28"/>
      <c r="H39" s="2"/>
      <c r="I39" s="28"/>
      <c r="J39" s="28"/>
      <c r="K39" s="28"/>
      <c r="L39" s="28"/>
      <c r="M39" s="2"/>
      <c r="N39" s="28"/>
      <c r="O39" s="2"/>
      <c r="P39" s="28"/>
      <c r="Q39" s="28"/>
      <c r="R39" s="28"/>
      <c r="S39" s="28"/>
      <c r="T39" s="2"/>
      <c r="U39" s="28"/>
      <c r="V39" s="2"/>
      <c r="W39" s="28"/>
      <c r="X39" s="28"/>
      <c r="Y39" s="28"/>
      <c r="Z39" s="28"/>
      <c r="AA39" s="2"/>
      <c r="AB39" s="28"/>
      <c r="AC39" s="12"/>
      <c r="AD39" s="26"/>
      <c r="AE39" s="26"/>
      <c r="AF39" s="26"/>
      <c r="AG39" s="29">
        <f t="shared" si="3"/>
        <v>0</v>
      </c>
      <c r="AH39" s="30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31" t="str">
        <f t="shared" si="4"/>
        <v>如靜</v>
      </c>
      <c r="AJ39" s="33"/>
    </row>
    <row r="40" spans="1:36" ht="18" customHeight="1">
      <c r="A40" s="26" t="s">
        <v>174</v>
      </c>
      <c r="B40" s="27" t="s">
        <v>143</v>
      </c>
      <c r="C40" s="28"/>
      <c r="D40" s="26"/>
      <c r="E40" s="28"/>
      <c r="F40" s="2"/>
      <c r="G40" s="28"/>
      <c r="H40" s="2"/>
      <c r="I40" s="28"/>
      <c r="J40" s="28"/>
      <c r="K40" s="28"/>
      <c r="L40" s="28"/>
      <c r="M40" s="2"/>
      <c r="N40" s="28"/>
      <c r="O40" s="2"/>
      <c r="P40" s="28"/>
      <c r="Q40" s="28"/>
      <c r="R40" s="28"/>
      <c r="S40" s="28"/>
      <c r="T40" s="2"/>
      <c r="U40" s="28"/>
      <c r="V40" s="2"/>
      <c r="W40" s="28"/>
      <c r="X40" s="28"/>
      <c r="Y40" s="28"/>
      <c r="Z40" s="28"/>
      <c r="AA40" s="2"/>
      <c r="AB40" s="28"/>
      <c r="AC40" s="12"/>
      <c r="AD40" s="26"/>
      <c r="AE40" s="26"/>
      <c r="AF40" s="26"/>
      <c r="AG40" s="29">
        <f t="shared" si="3"/>
        <v>0</v>
      </c>
      <c r="AH40" s="30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31" t="str">
        <f t="shared" si="4"/>
        <v>毓玫</v>
      </c>
      <c r="AJ40" s="33"/>
    </row>
    <row r="41" spans="1:36" ht="18" customHeight="1">
      <c r="A41" s="26" t="s">
        <v>174</v>
      </c>
      <c r="B41" s="27" t="s">
        <v>144</v>
      </c>
      <c r="C41" s="28"/>
      <c r="D41" s="26"/>
      <c r="E41" s="28"/>
      <c r="F41" s="2"/>
      <c r="G41" s="28"/>
      <c r="H41" s="2"/>
      <c r="I41" s="28"/>
      <c r="J41" s="28"/>
      <c r="K41" s="28"/>
      <c r="L41" s="28"/>
      <c r="M41" s="2"/>
      <c r="N41" s="28"/>
      <c r="O41" s="2"/>
      <c r="P41" s="28"/>
      <c r="Q41" s="28"/>
      <c r="R41" s="28"/>
      <c r="S41" s="28"/>
      <c r="T41" s="2"/>
      <c r="U41" s="28"/>
      <c r="V41" s="2"/>
      <c r="W41" s="28"/>
      <c r="X41" s="28"/>
      <c r="Y41" s="28"/>
      <c r="Z41" s="28"/>
      <c r="AA41" s="2"/>
      <c r="AB41" s="28"/>
      <c r="AC41" s="12"/>
      <c r="AD41" s="26"/>
      <c r="AE41" s="26"/>
      <c r="AF41" s="26"/>
      <c r="AG41" s="29">
        <f t="shared" si="3"/>
        <v>0</v>
      </c>
      <c r="AH41" s="30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31" t="str">
        <f t="shared" si="4"/>
        <v>美枝</v>
      </c>
      <c r="AJ41" s="32"/>
    </row>
    <row r="42" spans="1:36" ht="18" customHeight="1">
      <c r="A42" s="26" t="s">
        <v>174</v>
      </c>
      <c r="B42" s="27" t="s">
        <v>145</v>
      </c>
      <c r="C42" s="28"/>
      <c r="D42" s="26"/>
      <c r="E42" s="28"/>
      <c r="F42" s="2"/>
      <c r="G42" s="28"/>
      <c r="H42" s="2"/>
      <c r="I42" s="28"/>
      <c r="J42" s="28"/>
      <c r="K42" s="28"/>
      <c r="L42" s="28"/>
      <c r="M42" s="2"/>
      <c r="N42" s="28">
        <v>1</v>
      </c>
      <c r="O42" s="2"/>
      <c r="P42" s="28">
        <v>1</v>
      </c>
      <c r="Q42" s="28">
        <v>1</v>
      </c>
      <c r="R42" s="28"/>
      <c r="S42" s="28"/>
      <c r="T42" s="2"/>
      <c r="U42" s="28"/>
      <c r="V42" s="2"/>
      <c r="W42" s="28"/>
      <c r="X42" s="28">
        <v>1</v>
      </c>
      <c r="Y42" s="28"/>
      <c r="Z42" s="28"/>
      <c r="AA42" s="2"/>
      <c r="AB42" s="28"/>
      <c r="AC42" s="12"/>
      <c r="AD42" s="26"/>
      <c r="AE42" s="26"/>
      <c r="AF42" s="26"/>
      <c r="AG42" s="29">
        <f t="shared" si="3"/>
        <v>4</v>
      </c>
      <c r="AH42" s="30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31" t="str">
        <f t="shared" si="4"/>
        <v>魯魯咪</v>
      </c>
      <c r="AJ42" s="34" t="s">
        <v>177</v>
      </c>
    </row>
    <row r="43" spans="1:36" ht="18" customHeight="1">
      <c r="A43" s="9" t="s">
        <v>58</v>
      </c>
      <c r="B43" s="10" t="s">
        <v>23</v>
      </c>
      <c r="C43" s="11"/>
      <c r="D43" s="9"/>
      <c r="E43" s="11"/>
      <c r="F43" s="2"/>
      <c r="G43" s="11">
        <v>1</v>
      </c>
      <c r="H43" s="2"/>
      <c r="I43" s="11">
        <v>1</v>
      </c>
      <c r="J43" s="11"/>
      <c r="K43" s="11"/>
      <c r="L43" s="11"/>
      <c r="M43" s="2"/>
      <c r="N43" s="11">
        <v>1</v>
      </c>
      <c r="O43" s="2"/>
      <c r="P43" s="11">
        <v>1</v>
      </c>
      <c r="Q43" s="11"/>
      <c r="R43" s="11"/>
      <c r="S43" s="11"/>
      <c r="T43" s="2"/>
      <c r="U43" s="11"/>
      <c r="V43" s="2"/>
      <c r="W43" s="11">
        <v>1</v>
      </c>
      <c r="X43" s="11"/>
      <c r="Y43" s="11"/>
      <c r="Z43" s="11"/>
      <c r="AA43" s="2"/>
      <c r="AB43" s="11">
        <v>1</v>
      </c>
      <c r="AC43" s="12"/>
      <c r="AD43" s="9"/>
      <c r="AE43" s="9">
        <v>1</v>
      </c>
      <c r="AF43" s="9">
        <v>1</v>
      </c>
      <c r="AG43" s="13">
        <f t="shared" si="3"/>
        <v>8</v>
      </c>
      <c r="AH43" s="14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15" t="str">
        <f t="shared" si="4"/>
        <v>ㄈㄈ</v>
      </c>
      <c r="AJ43" s="17"/>
    </row>
    <row r="44" spans="1:36" ht="18" customHeight="1">
      <c r="A44" s="9" t="s">
        <v>58</v>
      </c>
      <c r="B44" s="10" t="s">
        <v>24</v>
      </c>
      <c r="C44" s="11"/>
      <c r="D44" s="9"/>
      <c r="E44" s="11"/>
      <c r="F44" s="2"/>
      <c r="G44" s="11"/>
      <c r="H44" s="2"/>
      <c r="I44" s="11"/>
      <c r="J44" s="11"/>
      <c r="K44" s="11"/>
      <c r="L44" s="11"/>
      <c r="M44" s="2"/>
      <c r="N44" s="11"/>
      <c r="O44" s="2"/>
      <c r="P44" s="11"/>
      <c r="Q44" s="11"/>
      <c r="R44" s="11"/>
      <c r="S44" s="11"/>
      <c r="T44" s="2"/>
      <c r="U44" s="11"/>
      <c r="V44" s="2"/>
      <c r="W44" s="11"/>
      <c r="X44" s="11"/>
      <c r="Y44" s="11"/>
      <c r="Z44" s="11"/>
      <c r="AA44" s="2"/>
      <c r="AB44" s="11"/>
      <c r="AC44" s="12"/>
      <c r="AD44" s="9"/>
      <c r="AE44" s="9"/>
      <c r="AF44" s="9"/>
      <c r="AG44" s="13">
        <f t="shared" si="3"/>
        <v>0</v>
      </c>
      <c r="AH44" s="14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15" t="str">
        <f t="shared" si="4"/>
        <v>大熊</v>
      </c>
      <c r="AJ44" s="17"/>
    </row>
    <row r="45" spans="1:36" ht="18" customHeight="1">
      <c r="A45" s="9" t="s">
        <v>58</v>
      </c>
      <c r="B45" s="10" t="s">
        <v>67</v>
      </c>
      <c r="C45" s="11"/>
      <c r="D45" s="9"/>
      <c r="E45" s="11"/>
      <c r="F45" s="2"/>
      <c r="G45" s="11"/>
      <c r="H45" s="2"/>
      <c r="I45" s="11"/>
      <c r="J45" s="11"/>
      <c r="K45" s="11"/>
      <c r="L45" s="11"/>
      <c r="M45" s="2"/>
      <c r="N45" s="11"/>
      <c r="O45" s="2"/>
      <c r="P45" s="11"/>
      <c r="Q45" s="11"/>
      <c r="R45" s="11"/>
      <c r="S45" s="11"/>
      <c r="T45" s="2"/>
      <c r="U45" s="11"/>
      <c r="V45" s="2"/>
      <c r="W45" s="11"/>
      <c r="X45" s="11"/>
      <c r="Y45" s="11"/>
      <c r="Z45" s="11"/>
      <c r="AA45" s="2"/>
      <c r="AB45" s="11"/>
      <c r="AC45" s="12"/>
      <c r="AD45" s="9">
        <v>1</v>
      </c>
      <c r="AE45" s="9"/>
      <c r="AF45" s="9"/>
      <c r="AG45" s="13">
        <f t="shared" si="3"/>
        <v>1</v>
      </c>
      <c r="AH45" s="14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15" t="str">
        <f t="shared" si="4"/>
        <v>歐吉</v>
      </c>
      <c r="AJ45" s="17"/>
    </row>
    <row r="46" spans="1:36" ht="18" customHeight="1">
      <c r="A46" s="9" t="s">
        <v>58</v>
      </c>
      <c r="B46" s="10" t="s">
        <v>65</v>
      </c>
      <c r="C46" s="11"/>
      <c r="D46" s="9"/>
      <c r="E46" s="11"/>
      <c r="F46" s="2"/>
      <c r="G46" s="11"/>
      <c r="H46" s="2"/>
      <c r="I46" s="11"/>
      <c r="J46" s="11"/>
      <c r="K46" s="11"/>
      <c r="L46" s="11"/>
      <c r="M46" s="2"/>
      <c r="N46" s="11"/>
      <c r="O46" s="2"/>
      <c r="P46" s="11"/>
      <c r="Q46" s="11"/>
      <c r="R46" s="11"/>
      <c r="S46" s="11"/>
      <c r="T46" s="2"/>
      <c r="U46" s="11"/>
      <c r="V46" s="2"/>
      <c r="W46" s="11"/>
      <c r="X46" s="11"/>
      <c r="Y46" s="11"/>
      <c r="Z46" s="11"/>
      <c r="AA46" s="2"/>
      <c r="AB46" s="11"/>
      <c r="AC46" s="12"/>
      <c r="AD46" s="9"/>
      <c r="AE46" s="9"/>
      <c r="AF46" s="9"/>
      <c r="AG46" s="13">
        <f t="shared" si="3"/>
        <v>0</v>
      </c>
      <c r="AH46" s="14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15" t="str">
        <f t="shared" si="4"/>
        <v>文淵</v>
      </c>
      <c r="AJ46" s="17"/>
    </row>
    <row r="47" spans="1:36" ht="18" customHeight="1">
      <c r="A47" s="9" t="s">
        <v>58</v>
      </c>
      <c r="B47" s="10" t="s">
        <v>69</v>
      </c>
      <c r="C47" s="11"/>
      <c r="D47" s="9"/>
      <c r="E47" s="11"/>
      <c r="F47" s="2"/>
      <c r="G47" s="11"/>
      <c r="H47" s="2"/>
      <c r="I47" s="11"/>
      <c r="J47" s="11"/>
      <c r="K47" s="11"/>
      <c r="L47" s="11"/>
      <c r="M47" s="2"/>
      <c r="N47" s="11"/>
      <c r="O47" s="2"/>
      <c r="P47" s="11"/>
      <c r="Q47" s="11"/>
      <c r="R47" s="11"/>
      <c r="S47" s="11"/>
      <c r="T47" s="2"/>
      <c r="U47" s="11"/>
      <c r="V47" s="2"/>
      <c r="W47" s="11"/>
      <c r="X47" s="11"/>
      <c r="Y47" s="11"/>
      <c r="Z47" s="11"/>
      <c r="AA47" s="2"/>
      <c r="AB47" s="11"/>
      <c r="AC47" s="12"/>
      <c r="AD47" s="9"/>
      <c r="AE47" s="9"/>
      <c r="AF47" s="9"/>
      <c r="AG47" s="13">
        <f t="shared" si="3"/>
        <v>0</v>
      </c>
      <c r="AH47" s="14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15" t="str">
        <f t="shared" si="4"/>
        <v>小馬</v>
      </c>
      <c r="AJ47" s="17"/>
    </row>
    <row r="48" spans="1:36" ht="18" customHeight="1">
      <c r="A48" s="9" t="s">
        <v>58</v>
      </c>
      <c r="B48" s="10" t="s">
        <v>64</v>
      </c>
      <c r="C48" s="11"/>
      <c r="D48" s="9"/>
      <c r="E48" s="11"/>
      <c r="F48" s="2"/>
      <c r="G48" s="11">
        <v>1</v>
      </c>
      <c r="H48" s="2"/>
      <c r="I48" s="11">
        <v>1</v>
      </c>
      <c r="J48" s="11"/>
      <c r="K48" s="11"/>
      <c r="L48" s="11"/>
      <c r="M48" s="2"/>
      <c r="N48" s="11">
        <v>1</v>
      </c>
      <c r="O48" s="2"/>
      <c r="P48" s="11"/>
      <c r="Q48" s="11"/>
      <c r="R48" s="11"/>
      <c r="S48" s="11"/>
      <c r="T48" s="2"/>
      <c r="U48" s="11"/>
      <c r="V48" s="2"/>
      <c r="W48" s="11"/>
      <c r="X48" s="11"/>
      <c r="Y48" s="11"/>
      <c r="Z48" s="11"/>
      <c r="AA48" s="2"/>
      <c r="AB48" s="11"/>
      <c r="AC48" s="12"/>
      <c r="AD48" s="9">
        <v>1</v>
      </c>
      <c r="AE48" s="9"/>
      <c r="AF48" s="9"/>
      <c r="AG48" s="13">
        <f t="shared" si="3"/>
        <v>4</v>
      </c>
      <c r="AH48" s="14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15" t="str">
        <f t="shared" si="4"/>
        <v>園棠</v>
      </c>
      <c r="AJ48" s="17"/>
    </row>
    <row r="49" spans="1:36" ht="18" customHeight="1">
      <c r="A49" s="9" t="s">
        <v>58</v>
      </c>
      <c r="B49" s="10" t="s">
        <v>31</v>
      </c>
      <c r="C49" s="11"/>
      <c r="D49" s="9"/>
      <c r="E49" s="11"/>
      <c r="F49" s="2"/>
      <c r="G49" s="11"/>
      <c r="H49" s="2"/>
      <c r="I49" s="11"/>
      <c r="J49" s="11"/>
      <c r="K49" s="11"/>
      <c r="L49" s="11"/>
      <c r="M49" s="2"/>
      <c r="N49" s="11">
        <v>1</v>
      </c>
      <c r="O49" s="2"/>
      <c r="P49" s="11">
        <v>1</v>
      </c>
      <c r="Q49" s="11"/>
      <c r="R49" s="11"/>
      <c r="S49" s="11"/>
      <c r="T49" s="2"/>
      <c r="U49" s="11"/>
      <c r="V49" s="2"/>
      <c r="W49" s="11"/>
      <c r="X49" s="11"/>
      <c r="Y49" s="11">
        <v>1</v>
      </c>
      <c r="Z49" s="11"/>
      <c r="AA49" s="2"/>
      <c r="AB49" s="11"/>
      <c r="AC49" s="12"/>
      <c r="AD49" s="9"/>
      <c r="AE49" s="9"/>
      <c r="AF49" s="9"/>
      <c r="AG49" s="13">
        <f t="shared" si="3"/>
        <v>3</v>
      </c>
      <c r="AH49" s="14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15" t="str">
        <f t="shared" si="4"/>
        <v>阿美</v>
      </c>
      <c r="AJ49" s="17"/>
    </row>
    <row r="50" spans="1:36" ht="18" customHeight="1">
      <c r="A50" s="9" t="s">
        <v>58</v>
      </c>
      <c r="B50" s="10" t="s">
        <v>75</v>
      </c>
      <c r="C50" s="11"/>
      <c r="D50" s="9"/>
      <c r="E50" s="11"/>
      <c r="F50" s="2"/>
      <c r="G50" s="11"/>
      <c r="H50" s="2"/>
      <c r="I50" s="11"/>
      <c r="J50" s="11"/>
      <c r="K50" s="11"/>
      <c r="L50" s="11"/>
      <c r="M50" s="2"/>
      <c r="N50" s="11"/>
      <c r="O50" s="2"/>
      <c r="P50" s="11"/>
      <c r="Q50" s="11"/>
      <c r="R50" s="11"/>
      <c r="S50" s="11"/>
      <c r="T50" s="2"/>
      <c r="U50" s="11"/>
      <c r="V50" s="2"/>
      <c r="W50" s="11"/>
      <c r="X50" s="11"/>
      <c r="Y50" s="11"/>
      <c r="Z50" s="11"/>
      <c r="AA50" s="2"/>
      <c r="AB50" s="11"/>
      <c r="AC50" s="12"/>
      <c r="AD50" s="9"/>
      <c r="AE50" s="9"/>
      <c r="AF50" s="9"/>
      <c r="AG50" s="13">
        <f t="shared" si="3"/>
        <v>0</v>
      </c>
      <c r="AH50" s="14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15" t="str">
        <f t="shared" si="4"/>
        <v>叮噹</v>
      </c>
      <c r="AJ50" s="17"/>
    </row>
    <row r="51" spans="1:36" ht="18" customHeight="1">
      <c r="A51" s="9" t="s">
        <v>58</v>
      </c>
      <c r="B51" s="10" t="s">
        <v>33</v>
      </c>
      <c r="C51" s="11"/>
      <c r="D51" s="9"/>
      <c r="E51" s="11"/>
      <c r="F51" s="2"/>
      <c r="G51" s="11"/>
      <c r="H51" s="2"/>
      <c r="I51" s="11"/>
      <c r="J51" s="11"/>
      <c r="K51" s="11"/>
      <c r="L51" s="11"/>
      <c r="M51" s="2"/>
      <c r="N51" s="11"/>
      <c r="O51" s="2"/>
      <c r="P51" s="11"/>
      <c r="Q51" s="11"/>
      <c r="R51" s="11"/>
      <c r="S51" s="11"/>
      <c r="T51" s="2"/>
      <c r="U51" s="11"/>
      <c r="V51" s="2"/>
      <c r="W51" s="11"/>
      <c r="X51" s="11"/>
      <c r="Y51" s="11"/>
      <c r="Z51" s="11"/>
      <c r="AA51" s="2"/>
      <c r="AB51" s="11"/>
      <c r="AC51" s="12"/>
      <c r="AD51" s="9"/>
      <c r="AE51" s="9"/>
      <c r="AF51" s="9"/>
      <c r="AG51" s="13">
        <f t="shared" si="3"/>
        <v>0</v>
      </c>
      <c r="AH51" s="14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15" t="str">
        <f t="shared" si="4"/>
        <v>一飛</v>
      </c>
      <c r="AJ51" s="17"/>
    </row>
    <row r="52" spans="1:36" ht="18" customHeight="1">
      <c r="A52" s="9" t="s">
        <v>58</v>
      </c>
      <c r="B52" s="10" t="s">
        <v>29</v>
      </c>
      <c r="C52" s="11"/>
      <c r="D52" s="9"/>
      <c r="E52" s="11"/>
      <c r="F52" s="2"/>
      <c r="G52" s="11"/>
      <c r="H52" s="2"/>
      <c r="I52" s="11"/>
      <c r="J52" s="11"/>
      <c r="K52" s="11"/>
      <c r="L52" s="11"/>
      <c r="M52" s="2"/>
      <c r="N52" s="11">
        <v>1</v>
      </c>
      <c r="O52" s="2"/>
      <c r="P52" s="11"/>
      <c r="Q52" s="11"/>
      <c r="R52" s="11"/>
      <c r="S52" s="11"/>
      <c r="T52" s="2"/>
      <c r="U52" s="11"/>
      <c r="V52" s="2"/>
      <c r="W52" s="11"/>
      <c r="X52" s="11"/>
      <c r="Y52" s="11"/>
      <c r="Z52" s="11"/>
      <c r="AA52" s="2"/>
      <c r="AB52" s="11"/>
      <c r="AC52" s="12"/>
      <c r="AD52" s="9"/>
      <c r="AE52" s="9"/>
      <c r="AF52" s="9"/>
      <c r="AG52" s="13">
        <f t="shared" si="3"/>
        <v>1</v>
      </c>
      <c r="AH52" s="14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15" t="str">
        <f t="shared" si="4"/>
        <v>大頭</v>
      </c>
      <c r="AJ52" s="17"/>
    </row>
    <row r="53" spans="1:36" ht="18" customHeight="1">
      <c r="A53" s="9" t="s">
        <v>58</v>
      </c>
      <c r="B53" s="10" t="s">
        <v>28</v>
      </c>
      <c r="C53" s="11"/>
      <c r="D53" s="9"/>
      <c r="E53" s="11"/>
      <c r="F53" s="2"/>
      <c r="G53" s="11"/>
      <c r="H53" s="2"/>
      <c r="I53" s="11"/>
      <c r="J53" s="11"/>
      <c r="K53" s="11"/>
      <c r="L53" s="11"/>
      <c r="M53" s="2"/>
      <c r="N53" s="11">
        <v>1</v>
      </c>
      <c r="O53" s="2"/>
      <c r="P53" s="11"/>
      <c r="Q53" s="11"/>
      <c r="R53" s="11"/>
      <c r="S53" s="11"/>
      <c r="T53" s="2"/>
      <c r="U53" s="11"/>
      <c r="V53" s="2"/>
      <c r="W53" s="11">
        <v>1</v>
      </c>
      <c r="X53" s="11"/>
      <c r="Y53" s="11"/>
      <c r="Z53" s="11"/>
      <c r="AA53" s="2"/>
      <c r="AB53" s="11"/>
      <c r="AC53" s="12"/>
      <c r="AD53" s="9"/>
      <c r="AE53" s="9"/>
      <c r="AF53" s="9"/>
      <c r="AG53" s="13">
        <f t="shared" si="3"/>
        <v>2</v>
      </c>
      <c r="AH53" s="14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15" t="str">
        <f t="shared" si="4"/>
        <v>克勤</v>
      </c>
      <c r="AJ53" s="17"/>
    </row>
    <row r="54" spans="1:36" ht="18" customHeight="1">
      <c r="A54" s="9" t="s">
        <v>58</v>
      </c>
      <c r="B54" s="10" t="s">
        <v>85</v>
      </c>
      <c r="C54" s="11"/>
      <c r="D54" s="9"/>
      <c r="E54" s="11"/>
      <c r="F54" s="2"/>
      <c r="G54" s="11"/>
      <c r="H54" s="2"/>
      <c r="I54" s="11"/>
      <c r="J54" s="11"/>
      <c r="K54" s="11"/>
      <c r="L54" s="11"/>
      <c r="M54" s="2"/>
      <c r="N54" s="11"/>
      <c r="O54" s="2"/>
      <c r="P54" s="11"/>
      <c r="Q54" s="11"/>
      <c r="R54" s="11"/>
      <c r="S54" s="11"/>
      <c r="T54" s="2"/>
      <c r="U54" s="11"/>
      <c r="V54" s="2"/>
      <c r="W54" s="11"/>
      <c r="X54" s="11"/>
      <c r="Y54" s="11"/>
      <c r="Z54" s="11"/>
      <c r="AA54" s="2"/>
      <c r="AB54" s="11"/>
      <c r="AC54" s="12"/>
      <c r="AD54" s="9"/>
      <c r="AE54" s="9"/>
      <c r="AF54" s="9"/>
      <c r="AG54" s="13">
        <f t="shared" si="3"/>
        <v>0</v>
      </c>
      <c r="AH54" s="14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15" t="str">
        <f t="shared" si="4"/>
        <v>阿璽</v>
      </c>
      <c r="AJ54" s="17"/>
    </row>
    <row r="55" spans="1:36" ht="18" customHeight="1">
      <c r="A55" s="9" t="s">
        <v>58</v>
      </c>
      <c r="B55" s="10" t="s">
        <v>68</v>
      </c>
      <c r="C55" s="11"/>
      <c r="D55" s="9"/>
      <c r="E55" s="11"/>
      <c r="F55" s="2"/>
      <c r="G55" s="11"/>
      <c r="H55" s="2"/>
      <c r="I55" s="11"/>
      <c r="J55" s="11"/>
      <c r="K55" s="11"/>
      <c r="L55" s="11"/>
      <c r="M55" s="2"/>
      <c r="N55" s="11"/>
      <c r="O55" s="2"/>
      <c r="P55" s="11"/>
      <c r="Q55" s="11"/>
      <c r="R55" s="11"/>
      <c r="S55" s="11"/>
      <c r="T55" s="2"/>
      <c r="U55" s="11"/>
      <c r="V55" s="2"/>
      <c r="W55" s="11"/>
      <c r="X55" s="11"/>
      <c r="Y55" s="11"/>
      <c r="Z55" s="11"/>
      <c r="AA55" s="2"/>
      <c r="AB55" s="11"/>
      <c r="AC55" s="12"/>
      <c r="AD55" s="9"/>
      <c r="AE55" s="9"/>
      <c r="AF55" s="9"/>
      <c r="AG55" s="13">
        <f t="shared" si="3"/>
        <v>0</v>
      </c>
      <c r="AH55" s="14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15" t="str">
        <f t="shared" si="4"/>
        <v>兔子</v>
      </c>
      <c r="AJ55" s="17"/>
    </row>
    <row r="56" spans="1:36" ht="18" customHeight="1">
      <c r="A56" s="9" t="s">
        <v>58</v>
      </c>
      <c r="B56" s="10" t="s">
        <v>178</v>
      </c>
      <c r="C56" s="11"/>
      <c r="D56" s="9"/>
      <c r="E56" s="11"/>
      <c r="F56" s="2"/>
      <c r="G56" s="11"/>
      <c r="H56" s="2"/>
      <c r="I56" s="11"/>
      <c r="J56" s="11"/>
      <c r="K56" s="11"/>
      <c r="L56" s="11"/>
      <c r="M56" s="2"/>
      <c r="N56" s="11"/>
      <c r="O56" s="2"/>
      <c r="P56" s="11"/>
      <c r="Q56" s="11"/>
      <c r="R56" s="11"/>
      <c r="S56" s="11"/>
      <c r="T56" s="2"/>
      <c r="U56" s="11"/>
      <c r="V56" s="2"/>
      <c r="W56" s="11"/>
      <c r="X56" s="11"/>
      <c r="Y56" s="11"/>
      <c r="Z56" s="11"/>
      <c r="AA56" s="2"/>
      <c r="AB56" s="11">
        <v>1</v>
      </c>
      <c r="AC56" s="12"/>
      <c r="AD56" s="9"/>
      <c r="AE56" s="9"/>
      <c r="AF56" s="9">
        <v>1</v>
      </c>
      <c r="AG56" s="13">
        <f t="shared" si="3"/>
        <v>2</v>
      </c>
      <c r="AH56" s="14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15" t="str">
        <f t="shared" si="4"/>
        <v>Fish</v>
      </c>
      <c r="AJ56" s="17"/>
    </row>
    <row r="57" spans="1:36" ht="18" customHeight="1">
      <c r="A57" s="9" t="s">
        <v>58</v>
      </c>
      <c r="B57" s="10" t="s">
        <v>77</v>
      </c>
      <c r="C57" s="11"/>
      <c r="D57" s="9"/>
      <c r="E57" s="11"/>
      <c r="F57" s="2"/>
      <c r="G57" s="11"/>
      <c r="H57" s="2"/>
      <c r="I57" s="11"/>
      <c r="J57" s="11"/>
      <c r="K57" s="11"/>
      <c r="L57" s="11"/>
      <c r="M57" s="2"/>
      <c r="N57" s="11"/>
      <c r="O57" s="2"/>
      <c r="P57" s="11"/>
      <c r="Q57" s="11"/>
      <c r="R57" s="11"/>
      <c r="S57" s="11"/>
      <c r="T57" s="2"/>
      <c r="U57" s="11"/>
      <c r="V57" s="2"/>
      <c r="W57" s="11"/>
      <c r="X57" s="11"/>
      <c r="Y57" s="11"/>
      <c r="Z57" s="11"/>
      <c r="AA57" s="2"/>
      <c r="AB57" s="11"/>
      <c r="AC57" s="12"/>
      <c r="AD57" s="9"/>
      <c r="AE57" s="9"/>
      <c r="AF57" s="9"/>
      <c r="AG57" s="13">
        <f t="shared" si="3"/>
        <v>0</v>
      </c>
      <c r="AH57" s="14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15" t="str">
        <f t="shared" si="4"/>
        <v>小夫</v>
      </c>
      <c r="AJ57" s="17"/>
    </row>
    <row r="58" spans="1:36" ht="18" customHeight="1">
      <c r="A58" s="9" t="s">
        <v>58</v>
      </c>
      <c r="B58" s="10" t="s">
        <v>78</v>
      </c>
      <c r="C58" s="11"/>
      <c r="D58" s="9"/>
      <c r="E58" s="11"/>
      <c r="F58" s="2"/>
      <c r="G58" s="11"/>
      <c r="H58" s="2"/>
      <c r="I58" s="11"/>
      <c r="J58" s="11"/>
      <c r="K58" s="11"/>
      <c r="L58" s="11"/>
      <c r="M58" s="2"/>
      <c r="N58" s="11"/>
      <c r="O58" s="2"/>
      <c r="P58" s="11"/>
      <c r="Q58" s="11"/>
      <c r="R58" s="11"/>
      <c r="S58" s="11"/>
      <c r="T58" s="2"/>
      <c r="U58" s="11"/>
      <c r="V58" s="2"/>
      <c r="W58" s="11"/>
      <c r="X58" s="11"/>
      <c r="Y58" s="11"/>
      <c r="Z58" s="11"/>
      <c r="AA58" s="2"/>
      <c r="AB58" s="11"/>
      <c r="AC58" s="12"/>
      <c r="AD58" s="9"/>
      <c r="AE58" s="9"/>
      <c r="AF58" s="9"/>
      <c r="AG58" s="13">
        <f t="shared" si="3"/>
        <v>0</v>
      </c>
      <c r="AH58" s="14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15" t="str">
        <f t="shared" si="4"/>
        <v>小邱</v>
      </c>
      <c r="AJ58" s="17"/>
    </row>
    <row r="59" spans="1:36" ht="18" customHeight="1">
      <c r="A59" s="9" t="s">
        <v>58</v>
      </c>
      <c r="B59" s="10" t="s">
        <v>79</v>
      </c>
      <c r="C59" s="11"/>
      <c r="D59" s="9"/>
      <c r="E59" s="11"/>
      <c r="F59" s="2"/>
      <c r="G59" s="11"/>
      <c r="H59" s="2"/>
      <c r="I59" s="11"/>
      <c r="J59" s="11"/>
      <c r="K59" s="11"/>
      <c r="L59" s="11"/>
      <c r="M59" s="2"/>
      <c r="N59" s="11"/>
      <c r="O59" s="2"/>
      <c r="P59" s="11"/>
      <c r="Q59" s="11"/>
      <c r="R59" s="11"/>
      <c r="S59" s="11"/>
      <c r="T59" s="2"/>
      <c r="U59" s="11"/>
      <c r="V59" s="2"/>
      <c r="W59" s="11"/>
      <c r="X59" s="11"/>
      <c r="Y59" s="11"/>
      <c r="Z59" s="11"/>
      <c r="AA59" s="2"/>
      <c r="AB59" s="11"/>
      <c r="AC59" s="12"/>
      <c r="AD59" s="9"/>
      <c r="AE59" s="9"/>
      <c r="AF59" s="9"/>
      <c r="AG59" s="13">
        <f t="shared" si="3"/>
        <v>0</v>
      </c>
      <c r="AH59" s="14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15" t="str">
        <f t="shared" si="4"/>
        <v>淳淳</v>
      </c>
      <c r="AJ59" s="17"/>
    </row>
    <row r="60" spans="1:36" ht="18" customHeight="1">
      <c r="A60" s="9" t="s">
        <v>58</v>
      </c>
      <c r="B60" s="10" t="s">
        <v>80</v>
      </c>
      <c r="C60" s="11"/>
      <c r="D60" s="9"/>
      <c r="E60" s="11"/>
      <c r="F60" s="2"/>
      <c r="G60" s="11"/>
      <c r="H60" s="2"/>
      <c r="I60" s="11"/>
      <c r="J60" s="11"/>
      <c r="K60" s="11"/>
      <c r="L60" s="11"/>
      <c r="M60" s="2"/>
      <c r="N60" s="11"/>
      <c r="O60" s="2"/>
      <c r="P60" s="11"/>
      <c r="Q60" s="11"/>
      <c r="R60" s="11"/>
      <c r="S60" s="11"/>
      <c r="T60" s="2"/>
      <c r="U60" s="11"/>
      <c r="V60" s="2"/>
      <c r="W60" s="11"/>
      <c r="X60" s="11"/>
      <c r="Y60" s="11"/>
      <c r="Z60" s="11"/>
      <c r="AA60" s="2"/>
      <c r="AB60" s="11"/>
      <c r="AC60" s="12"/>
      <c r="AD60" s="9"/>
      <c r="AE60" s="9"/>
      <c r="AF60" s="9"/>
      <c r="AG60" s="13">
        <f t="shared" si="3"/>
        <v>0</v>
      </c>
      <c r="AH60" s="14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15" t="str">
        <f t="shared" si="4"/>
        <v>禿鷹</v>
      </c>
      <c r="AJ60" s="17"/>
    </row>
    <row r="61" spans="1:36" ht="18" customHeight="1">
      <c r="A61" s="9" t="s">
        <v>58</v>
      </c>
      <c r="B61" s="10" t="s">
        <v>30</v>
      </c>
      <c r="C61" s="11"/>
      <c r="D61" s="9"/>
      <c r="E61" s="11"/>
      <c r="F61" s="2"/>
      <c r="G61" s="11">
        <v>1</v>
      </c>
      <c r="H61" s="2"/>
      <c r="I61" s="11"/>
      <c r="J61" s="11"/>
      <c r="K61" s="11"/>
      <c r="L61" s="11"/>
      <c r="M61" s="2"/>
      <c r="N61" s="11"/>
      <c r="O61" s="2"/>
      <c r="P61" s="11"/>
      <c r="Q61" s="11"/>
      <c r="R61" s="11"/>
      <c r="S61" s="11"/>
      <c r="T61" s="2"/>
      <c r="U61" s="11"/>
      <c r="V61" s="2"/>
      <c r="W61" s="11">
        <v>1</v>
      </c>
      <c r="X61" s="11"/>
      <c r="Y61" s="11"/>
      <c r="Z61" s="11"/>
      <c r="AA61" s="2"/>
      <c r="AB61" s="11">
        <v>1</v>
      </c>
      <c r="AC61" s="12"/>
      <c r="AD61" s="9"/>
      <c r="AE61" s="9"/>
      <c r="AF61" s="9"/>
      <c r="AG61" s="13">
        <f t="shared" si="3"/>
        <v>3</v>
      </c>
      <c r="AH61" s="14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15" t="str">
        <f t="shared" si="4"/>
        <v>鯰魚</v>
      </c>
      <c r="AJ61" s="17"/>
    </row>
    <row r="62" spans="1:36" ht="18" customHeight="1">
      <c r="A62" s="9" t="s">
        <v>58</v>
      </c>
      <c r="B62" s="10" t="s">
        <v>81</v>
      </c>
      <c r="C62" s="11"/>
      <c r="D62" s="9"/>
      <c r="E62" s="11"/>
      <c r="F62" s="2"/>
      <c r="G62" s="11"/>
      <c r="H62" s="2"/>
      <c r="I62" s="11"/>
      <c r="J62" s="11"/>
      <c r="K62" s="11"/>
      <c r="L62" s="11"/>
      <c r="M62" s="2"/>
      <c r="N62" s="11"/>
      <c r="O62" s="2"/>
      <c r="P62" s="11"/>
      <c r="Q62" s="11"/>
      <c r="R62" s="11"/>
      <c r="S62" s="11"/>
      <c r="T62" s="2"/>
      <c r="U62" s="11"/>
      <c r="V62" s="2"/>
      <c r="W62" s="11"/>
      <c r="X62" s="11"/>
      <c r="Y62" s="11"/>
      <c r="Z62" s="11"/>
      <c r="AA62" s="2"/>
      <c r="AB62" s="11"/>
      <c r="AC62" s="12"/>
      <c r="AD62" s="9"/>
      <c r="AE62" s="9"/>
      <c r="AF62" s="9"/>
      <c r="AG62" s="13">
        <f t="shared" si="3"/>
        <v>0</v>
      </c>
      <c r="AH62" s="14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15" t="str">
        <f t="shared" si="4"/>
        <v>王宏</v>
      </c>
      <c r="AJ62" s="17"/>
    </row>
    <row r="63" spans="1:36" ht="18" customHeight="1">
      <c r="A63" s="9" t="s">
        <v>58</v>
      </c>
      <c r="B63" s="10" t="s">
        <v>76</v>
      </c>
      <c r="C63" s="11"/>
      <c r="D63" s="9"/>
      <c r="E63" s="11"/>
      <c r="F63" s="2"/>
      <c r="G63" s="11"/>
      <c r="H63" s="2"/>
      <c r="I63" s="11"/>
      <c r="J63" s="11"/>
      <c r="K63" s="11"/>
      <c r="L63" s="11"/>
      <c r="M63" s="2"/>
      <c r="N63" s="11"/>
      <c r="O63" s="2"/>
      <c r="P63" s="11"/>
      <c r="Q63" s="11"/>
      <c r="R63" s="11"/>
      <c r="S63" s="11"/>
      <c r="T63" s="2"/>
      <c r="U63" s="11"/>
      <c r="V63" s="2"/>
      <c r="W63" s="11"/>
      <c r="X63" s="11"/>
      <c r="Y63" s="11"/>
      <c r="Z63" s="11"/>
      <c r="AA63" s="2"/>
      <c r="AB63" s="11"/>
      <c r="AC63" s="12"/>
      <c r="AD63" s="9"/>
      <c r="AE63" s="9"/>
      <c r="AF63" s="9"/>
      <c r="AG63" s="13">
        <f t="shared" si="3"/>
        <v>0</v>
      </c>
      <c r="AH63" s="14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15" t="str">
        <f t="shared" si="4"/>
        <v>肥肥</v>
      </c>
      <c r="AJ63" s="17"/>
    </row>
    <row r="64" spans="1:36" ht="18" customHeight="1">
      <c r="A64" s="9" t="s">
        <v>58</v>
      </c>
      <c r="B64" s="10" t="s">
        <v>74</v>
      </c>
      <c r="C64" s="11"/>
      <c r="D64" s="9"/>
      <c r="E64" s="11"/>
      <c r="F64" s="2"/>
      <c r="G64" s="11"/>
      <c r="H64" s="2"/>
      <c r="I64" s="11"/>
      <c r="J64" s="11"/>
      <c r="K64" s="11"/>
      <c r="L64" s="11"/>
      <c r="M64" s="2"/>
      <c r="N64" s="11">
        <v>1</v>
      </c>
      <c r="O64" s="2"/>
      <c r="P64" s="11"/>
      <c r="Q64" s="11"/>
      <c r="R64" s="11"/>
      <c r="S64" s="11"/>
      <c r="T64" s="2"/>
      <c r="U64" s="11"/>
      <c r="V64" s="2"/>
      <c r="W64" s="11"/>
      <c r="X64" s="11"/>
      <c r="Y64" s="11"/>
      <c r="Z64" s="11"/>
      <c r="AA64" s="2"/>
      <c r="AB64" s="11"/>
      <c r="AC64" s="12"/>
      <c r="AD64" s="9"/>
      <c r="AE64" s="9"/>
      <c r="AF64" s="9"/>
      <c r="AG64" s="13">
        <f t="shared" si="3"/>
        <v>1</v>
      </c>
      <c r="AH64" s="14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15" t="str">
        <f t="shared" si="4"/>
        <v>蘆葦</v>
      </c>
      <c r="AJ64" s="17"/>
    </row>
    <row r="65" spans="1:36" ht="18" customHeight="1">
      <c r="A65" s="9" t="s">
        <v>58</v>
      </c>
      <c r="B65" s="10" t="s">
        <v>82</v>
      </c>
      <c r="C65" s="11"/>
      <c r="D65" s="9"/>
      <c r="E65" s="11"/>
      <c r="F65" s="2"/>
      <c r="G65" s="11"/>
      <c r="H65" s="2"/>
      <c r="I65" s="11"/>
      <c r="J65" s="11"/>
      <c r="K65" s="11"/>
      <c r="L65" s="11"/>
      <c r="M65" s="2"/>
      <c r="N65" s="11"/>
      <c r="O65" s="2"/>
      <c r="P65" s="11"/>
      <c r="Q65" s="11"/>
      <c r="R65" s="11"/>
      <c r="S65" s="11"/>
      <c r="T65" s="2"/>
      <c r="U65" s="11"/>
      <c r="V65" s="2"/>
      <c r="W65" s="11"/>
      <c r="X65" s="11"/>
      <c r="Y65" s="11"/>
      <c r="Z65" s="11"/>
      <c r="AA65" s="2"/>
      <c r="AB65" s="11"/>
      <c r="AC65" s="12"/>
      <c r="AD65" s="9"/>
      <c r="AE65" s="9"/>
      <c r="AF65" s="9"/>
      <c r="AG65" s="13">
        <f t="shared" si="3"/>
        <v>0</v>
      </c>
      <c r="AH65" s="14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15" t="str">
        <f t="shared" si="4"/>
        <v>犀牛</v>
      </c>
      <c r="AJ65" s="17"/>
    </row>
    <row r="66" spans="1:36" ht="18" customHeight="1">
      <c r="A66" s="9" t="s">
        <v>58</v>
      </c>
      <c r="B66" s="10" t="s">
        <v>83</v>
      </c>
      <c r="C66" s="11"/>
      <c r="D66" s="9"/>
      <c r="E66" s="11"/>
      <c r="F66" s="2"/>
      <c r="G66" s="11"/>
      <c r="H66" s="2"/>
      <c r="I66" s="11"/>
      <c r="J66" s="11"/>
      <c r="K66" s="11"/>
      <c r="L66" s="11"/>
      <c r="M66" s="2"/>
      <c r="N66" s="11"/>
      <c r="O66" s="2"/>
      <c r="P66" s="11"/>
      <c r="Q66" s="11"/>
      <c r="R66" s="11"/>
      <c r="S66" s="11"/>
      <c r="T66" s="2"/>
      <c r="U66" s="11"/>
      <c r="V66" s="2"/>
      <c r="W66" s="11"/>
      <c r="X66" s="11"/>
      <c r="Y66" s="11"/>
      <c r="Z66" s="11"/>
      <c r="AA66" s="2"/>
      <c r="AB66" s="11"/>
      <c r="AC66" s="12"/>
      <c r="AD66" s="9"/>
      <c r="AE66" s="9"/>
      <c r="AF66" s="9"/>
      <c r="AG66" s="13">
        <f t="shared" si="3"/>
        <v>0</v>
      </c>
      <c r="AH66" s="14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15" t="str">
        <f t="shared" si="4"/>
        <v>來福</v>
      </c>
      <c r="AJ66" s="17"/>
    </row>
    <row r="67" spans="1:36" ht="18" customHeight="1">
      <c r="A67" s="9" t="s">
        <v>58</v>
      </c>
      <c r="B67" s="10" t="s">
        <v>27</v>
      </c>
      <c r="C67" s="11"/>
      <c r="D67" s="9"/>
      <c r="E67" s="11"/>
      <c r="F67" s="2"/>
      <c r="G67" s="11"/>
      <c r="H67" s="2"/>
      <c r="I67" s="11"/>
      <c r="J67" s="11"/>
      <c r="K67" s="11"/>
      <c r="L67" s="11"/>
      <c r="M67" s="2"/>
      <c r="N67" s="11">
        <v>1</v>
      </c>
      <c r="O67" s="2"/>
      <c r="P67" s="11"/>
      <c r="Q67" s="11"/>
      <c r="R67" s="11"/>
      <c r="S67" s="11"/>
      <c r="T67" s="2"/>
      <c r="U67" s="11"/>
      <c r="V67" s="2"/>
      <c r="W67" s="11"/>
      <c r="X67" s="11"/>
      <c r="Y67" s="11"/>
      <c r="Z67" s="11"/>
      <c r="AA67" s="2"/>
      <c r="AB67" s="11"/>
      <c r="AC67" s="12"/>
      <c r="AD67" s="9"/>
      <c r="AE67" s="9"/>
      <c r="AF67" s="9"/>
      <c r="AG67" s="13">
        <f t="shared" si="3"/>
        <v>1</v>
      </c>
      <c r="AH67" s="14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15" t="str">
        <f t="shared" si="4"/>
        <v>芋圓</v>
      </c>
      <c r="AJ67" s="17"/>
    </row>
    <row r="68" spans="1:36" ht="18" customHeight="1">
      <c r="A68" s="9" t="s">
        <v>58</v>
      </c>
      <c r="B68" s="10" t="s">
        <v>84</v>
      </c>
      <c r="C68" s="11"/>
      <c r="D68" s="9"/>
      <c r="E68" s="11"/>
      <c r="F68" s="2"/>
      <c r="G68" s="11"/>
      <c r="H68" s="2"/>
      <c r="I68" s="11"/>
      <c r="J68" s="11"/>
      <c r="K68" s="11"/>
      <c r="L68" s="11"/>
      <c r="M68" s="2"/>
      <c r="N68" s="11"/>
      <c r="O68" s="2"/>
      <c r="P68" s="11"/>
      <c r="Q68" s="11"/>
      <c r="R68" s="11"/>
      <c r="S68" s="11"/>
      <c r="T68" s="2"/>
      <c r="U68" s="11"/>
      <c r="V68" s="2"/>
      <c r="W68" s="11"/>
      <c r="X68" s="11"/>
      <c r="Y68" s="11"/>
      <c r="Z68" s="11"/>
      <c r="AA68" s="2"/>
      <c r="AB68" s="11"/>
      <c r="AC68" s="12"/>
      <c r="AD68" s="9"/>
      <c r="AE68" s="9"/>
      <c r="AF68" s="9"/>
      <c r="AG68" s="13">
        <f t="shared" ref="AG68:AG99" si="5">COUNTA(C68:AF68)</f>
        <v>0</v>
      </c>
      <c r="AH68" s="14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15" t="str">
        <f t="shared" ref="AI68:AI99" si="6">B68</f>
        <v>誌誌</v>
      </c>
      <c r="AJ68" s="17"/>
    </row>
    <row r="69" spans="1:36" ht="18" customHeight="1">
      <c r="A69" s="9" t="s">
        <v>58</v>
      </c>
      <c r="B69" s="10" t="s">
        <v>86</v>
      </c>
      <c r="C69" s="11"/>
      <c r="D69" s="9"/>
      <c r="E69" s="11"/>
      <c r="F69" s="2"/>
      <c r="G69" s="11"/>
      <c r="H69" s="2"/>
      <c r="I69" s="11"/>
      <c r="J69" s="11"/>
      <c r="K69" s="11"/>
      <c r="L69" s="11"/>
      <c r="M69" s="2"/>
      <c r="N69" s="11"/>
      <c r="O69" s="2"/>
      <c r="P69" s="11"/>
      <c r="Q69" s="11"/>
      <c r="R69" s="11"/>
      <c r="S69" s="11"/>
      <c r="T69" s="2"/>
      <c r="U69" s="11"/>
      <c r="V69" s="2"/>
      <c r="W69" s="11"/>
      <c r="X69" s="11"/>
      <c r="Y69" s="11"/>
      <c r="Z69" s="11"/>
      <c r="AA69" s="2"/>
      <c r="AB69" s="11"/>
      <c r="AC69" s="12"/>
      <c r="AD69" s="9"/>
      <c r="AE69" s="9"/>
      <c r="AF69" s="9"/>
      <c r="AG69" s="13">
        <f t="shared" si="5"/>
        <v>0</v>
      </c>
      <c r="AH69" s="14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15" t="str">
        <f t="shared" si="6"/>
        <v>正誼</v>
      </c>
      <c r="AJ69" s="17"/>
    </row>
    <row r="70" spans="1:36" ht="18" customHeight="1">
      <c r="A70" s="9" t="s">
        <v>58</v>
      </c>
      <c r="B70" s="10" t="s">
        <v>32</v>
      </c>
      <c r="C70" s="11"/>
      <c r="D70" s="9"/>
      <c r="E70" s="11"/>
      <c r="F70" s="2"/>
      <c r="G70" s="11"/>
      <c r="H70" s="2"/>
      <c r="I70" s="11"/>
      <c r="J70" s="11"/>
      <c r="K70" s="11"/>
      <c r="L70" s="11"/>
      <c r="M70" s="2"/>
      <c r="N70" s="11"/>
      <c r="O70" s="2"/>
      <c r="P70" s="11"/>
      <c r="Q70" s="11"/>
      <c r="R70" s="11"/>
      <c r="S70" s="11"/>
      <c r="T70" s="2"/>
      <c r="U70" s="11"/>
      <c r="V70" s="2"/>
      <c r="W70" s="11"/>
      <c r="X70" s="11"/>
      <c r="Y70" s="11"/>
      <c r="Z70" s="11"/>
      <c r="AA70" s="2"/>
      <c r="AB70" s="11"/>
      <c r="AC70" s="12"/>
      <c r="AD70" s="9"/>
      <c r="AE70" s="9"/>
      <c r="AF70" s="9"/>
      <c r="AG70" s="13">
        <f t="shared" si="5"/>
        <v>0</v>
      </c>
      <c r="AH70" s="14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15" t="str">
        <f t="shared" si="6"/>
        <v>小翔</v>
      </c>
      <c r="AJ70" s="17"/>
    </row>
    <row r="71" spans="1:36" ht="18" customHeight="1">
      <c r="A71" s="9" t="s">
        <v>58</v>
      </c>
      <c r="B71" s="10" t="s">
        <v>66</v>
      </c>
      <c r="C71" s="11"/>
      <c r="D71" s="9"/>
      <c r="E71" s="11"/>
      <c r="F71" s="2"/>
      <c r="G71" s="11"/>
      <c r="H71" s="2"/>
      <c r="I71" s="11">
        <v>1</v>
      </c>
      <c r="J71" s="11"/>
      <c r="K71" s="11"/>
      <c r="L71" s="11"/>
      <c r="M71" s="2"/>
      <c r="N71" s="11"/>
      <c r="O71" s="2"/>
      <c r="P71" s="11"/>
      <c r="Q71" s="11"/>
      <c r="R71" s="11"/>
      <c r="S71" s="11"/>
      <c r="T71" s="2"/>
      <c r="U71" s="11"/>
      <c r="V71" s="2"/>
      <c r="W71" s="11">
        <v>1</v>
      </c>
      <c r="X71" s="11">
        <v>1</v>
      </c>
      <c r="Y71" s="11"/>
      <c r="Z71" s="11"/>
      <c r="AA71" s="2"/>
      <c r="AB71" s="11"/>
      <c r="AC71" s="12"/>
      <c r="AD71" s="9"/>
      <c r="AE71" s="9"/>
      <c r="AF71" s="9"/>
      <c r="AG71" s="13">
        <f t="shared" si="5"/>
        <v>3</v>
      </c>
      <c r="AH71" s="14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15" t="str">
        <f t="shared" si="6"/>
        <v>昆佑</v>
      </c>
      <c r="AJ71" s="17"/>
    </row>
    <row r="72" spans="1:36" ht="18" customHeight="1">
      <c r="A72" s="9" t="s">
        <v>58</v>
      </c>
      <c r="B72" s="10" t="s">
        <v>179</v>
      </c>
      <c r="C72" s="11"/>
      <c r="D72" s="9"/>
      <c r="E72" s="11"/>
      <c r="F72" s="2"/>
      <c r="G72" s="11"/>
      <c r="H72" s="2"/>
      <c r="I72" s="11"/>
      <c r="J72" s="11"/>
      <c r="K72" s="11"/>
      <c r="L72" s="11"/>
      <c r="M72" s="2"/>
      <c r="N72" s="11"/>
      <c r="O72" s="2"/>
      <c r="P72" s="11"/>
      <c r="Q72" s="11"/>
      <c r="R72" s="11"/>
      <c r="S72" s="11"/>
      <c r="T72" s="2"/>
      <c r="U72" s="11"/>
      <c r="V72" s="2"/>
      <c r="W72" s="11"/>
      <c r="X72" s="11"/>
      <c r="Y72" s="11"/>
      <c r="Z72" s="11"/>
      <c r="AA72" s="2"/>
      <c r="AB72" s="11"/>
      <c r="AC72" s="12"/>
      <c r="AD72" s="9"/>
      <c r="AE72" s="9"/>
      <c r="AF72" s="9"/>
      <c r="AG72" s="13">
        <f t="shared" si="5"/>
        <v>0</v>
      </c>
      <c r="AH72" s="14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15" t="str">
        <f t="shared" si="6"/>
        <v>玹玹</v>
      </c>
      <c r="AJ72" s="17"/>
    </row>
    <row r="73" spans="1:36" ht="18" customHeight="1">
      <c r="A73" s="9" t="s">
        <v>58</v>
      </c>
      <c r="B73" s="10" t="s">
        <v>70</v>
      </c>
      <c r="C73" s="11"/>
      <c r="D73" s="9"/>
      <c r="E73" s="11"/>
      <c r="F73" s="2"/>
      <c r="G73" s="11">
        <v>1</v>
      </c>
      <c r="H73" s="2"/>
      <c r="I73" s="11"/>
      <c r="J73" s="11"/>
      <c r="K73" s="11"/>
      <c r="L73" s="11"/>
      <c r="M73" s="2"/>
      <c r="N73" s="11"/>
      <c r="O73" s="2"/>
      <c r="P73" s="11"/>
      <c r="Q73" s="11"/>
      <c r="R73" s="11"/>
      <c r="S73" s="11"/>
      <c r="T73" s="2"/>
      <c r="U73" s="11"/>
      <c r="V73" s="2"/>
      <c r="W73" s="11"/>
      <c r="X73" s="11"/>
      <c r="Y73" s="11"/>
      <c r="Z73" s="11"/>
      <c r="AA73" s="2"/>
      <c r="AB73" s="11"/>
      <c r="AC73" s="12"/>
      <c r="AD73" s="9"/>
      <c r="AE73" s="9"/>
      <c r="AF73" s="9"/>
      <c r="AG73" s="13">
        <f t="shared" si="5"/>
        <v>1</v>
      </c>
      <c r="AH73" s="14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15" t="str">
        <f t="shared" si="6"/>
        <v>Allen</v>
      </c>
      <c r="AJ73" s="17"/>
    </row>
    <row r="74" spans="1:36" ht="18" customHeight="1">
      <c r="A74" s="9" t="s">
        <v>58</v>
      </c>
      <c r="B74" s="10" t="s">
        <v>25</v>
      </c>
      <c r="C74" s="11"/>
      <c r="D74" s="9"/>
      <c r="E74" s="11"/>
      <c r="F74" s="2"/>
      <c r="G74" s="11"/>
      <c r="H74" s="2"/>
      <c r="I74" s="11"/>
      <c r="J74" s="11"/>
      <c r="K74" s="11"/>
      <c r="L74" s="11"/>
      <c r="M74" s="2"/>
      <c r="N74" s="11"/>
      <c r="O74" s="2"/>
      <c r="P74" s="11"/>
      <c r="Q74" s="11"/>
      <c r="R74" s="11"/>
      <c r="S74" s="11"/>
      <c r="T74" s="2"/>
      <c r="U74" s="11"/>
      <c r="V74" s="2"/>
      <c r="W74" s="11"/>
      <c r="X74" s="11"/>
      <c r="Y74" s="11"/>
      <c r="Z74" s="11"/>
      <c r="AA74" s="2"/>
      <c r="AB74" s="11"/>
      <c r="AC74" s="12"/>
      <c r="AD74" s="9"/>
      <c r="AE74" s="9">
        <v>1</v>
      </c>
      <c r="AF74" s="9"/>
      <c r="AG74" s="13">
        <f t="shared" si="5"/>
        <v>1</v>
      </c>
      <c r="AH74" s="14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15" t="str">
        <f t="shared" si="6"/>
        <v>潘潘</v>
      </c>
      <c r="AJ74" s="17"/>
    </row>
    <row r="75" spans="1:36" ht="18" customHeight="1">
      <c r="A75" s="18" t="s">
        <v>58</v>
      </c>
      <c r="B75" s="19" t="s">
        <v>152</v>
      </c>
      <c r="C75" s="20"/>
      <c r="D75" s="18"/>
      <c r="E75" s="20"/>
      <c r="F75" s="2"/>
      <c r="G75" s="20"/>
      <c r="H75" s="2"/>
      <c r="I75" s="20"/>
      <c r="J75" s="20"/>
      <c r="K75" s="20"/>
      <c r="L75" s="20"/>
      <c r="M75" s="2"/>
      <c r="N75" s="20"/>
      <c r="O75" s="2"/>
      <c r="P75" s="20"/>
      <c r="Q75" s="20"/>
      <c r="R75" s="20"/>
      <c r="S75" s="20"/>
      <c r="T75" s="2"/>
      <c r="U75" s="20"/>
      <c r="V75" s="2"/>
      <c r="W75" s="20"/>
      <c r="X75" s="20"/>
      <c r="Y75" s="20"/>
      <c r="Z75" s="20"/>
      <c r="AA75" s="2"/>
      <c r="AB75" s="20"/>
      <c r="AC75" s="12"/>
      <c r="AD75" s="18"/>
      <c r="AE75" s="18"/>
      <c r="AF75" s="18"/>
      <c r="AG75" s="21">
        <f t="shared" si="5"/>
        <v>0</v>
      </c>
      <c r="AH75" s="22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23" t="str">
        <f t="shared" si="6"/>
        <v>阿俗</v>
      </c>
      <c r="AJ75" s="25"/>
    </row>
    <row r="76" spans="1:36" ht="18" customHeight="1">
      <c r="A76" s="18" t="s">
        <v>58</v>
      </c>
      <c r="B76" s="19" t="s">
        <v>151</v>
      </c>
      <c r="C76" s="20"/>
      <c r="D76" s="18"/>
      <c r="E76" s="20"/>
      <c r="F76" s="2"/>
      <c r="G76" s="20"/>
      <c r="H76" s="2"/>
      <c r="I76" s="20"/>
      <c r="J76" s="20"/>
      <c r="K76" s="20"/>
      <c r="L76" s="20"/>
      <c r="M76" s="2"/>
      <c r="N76" s="20"/>
      <c r="O76" s="2"/>
      <c r="P76" s="20"/>
      <c r="Q76" s="20"/>
      <c r="R76" s="20"/>
      <c r="S76" s="20"/>
      <c r="T76" s="2"/>
      <c r="U76" s="20"/>
      <c r="V76" s="2"/>
      <c r="W76" s="20"/>
      <c r="X76" s="20"/>
      <c r="Y76" s="20"/>
      <c r="Z76" s="20"/>
      <c r="AA76" s="2"/>
      <c r="AB76" s="20"/>
      <c r="AC76" s="12"/>
      <c r="AD76" s="18"/>
      <c r="AE76" s="18"/>
      <c r="AF76" s="18"/>
      <c r="AG76" s="21">
        <f t="shared" si="5"/>
        <v>0</v>
      </c>
      <c r="AH76" s="22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23" t="str">
        <f t="shared" si="6"/>
        <v>宇嬅</v>
      </c>
      <c r="AJ76" s="25"/>
    </row>
    <row r="77" spans="1:36" ht="18" customHeight="1">
      <c r="A77" s="18" t="s">
        <v>58</v>
      </c>
      <c r="B77" s="19" t="s">
        <v>154</v>
      </c>
      <c r="C77" s="20"/>
      <c r="D77" s="18"/>
      <c r="E77" s="20"/>
      <c r="F77" s="2"/>
      <c r="G77" s="20"/>
      <c r="H77" s="2"/>
      <c r="I77" s="20"/>
      <c r="J77" s="20"/>
      <c r="K77" s="20"/>
      <c r="L77" s="20"/>
      <c r="M77" s="2"/>
      <c r="N77" s="20"/>
      <c r="O77" s="2"/>
      <c r="P77" s="20"/>
      <c r="Q77" s="20"/>
      <c r="R77" s="20"/>
      <c r="S77" s="20"/>
      <c r="T77" s="2"/>
      <c r="U77" s="20"/>
      <c r="V77" s="2"/>
      <c r="W77" s="20"/>
      <c r="X77" s="20"/>
      <c r="Y77" s="20"/>
      <c r="Z77" s="20"/>
      <c r="AA77" s="2"/>
      <c r="AB77" s="20"/>
      <c r="AC77" s="12"/>
      <c r="AD77" s="18"/>
      <c r="AE77" s="18"/>
      <c r="AF77" s="18"/>
      <c r="AG77" s="21">
        <f t="shared" si="5"/>
        <v>0</v>
      </c>
      <c r="AH77" s="22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23" t="str">
        <f t="shared" si="6"/>
        <v>筱攸</v>
      </c>
      <c r="AJ77" s="25"/>
    </row>
    <row r="78" spans="1:36" ht="18" customHeight="1">
      <c r="A78" s="18" t="s">
        <v>58</v>
      </c>
      <c r="B78" s="19" t="s">
        <v>153</v>
      </c>
      <c r="C78" s="20"/>
      <c r="D78" s="18"/>
      <c r="E78" s="20"/>
      <c r="F78" s="2"/>
      <c r="G78" s="20"/>
      <c r="H78" s="2"/>
      <c r="I78" s="20">
        <v>1</v>
      </c>
      <c r="J78" s="20"/>
      <c r="K78" s="20"/>
      <c r="L78" s="20"/>
      <c r="M78" s="2"/>
      <c r="N78" s="20"/>
      <c r="O78" s="2"/>
      <c r="P78" s="20"/>
      <c r="Q78" s="20"/>
      <c r="R78" s="20"/>
      <c r="S78" s="20"/>
      <c r="T78" s="2"/>
      <c r="U78" s="20"/>
      <c r="V78" s="2"/>
      <c r="W78" s="20"/>
      <c r="X78" s="20"/>
      <c r="Y78" s="20"/>
      <c r="Z78" s="20"/>
      <c r="AA78" s="2"/>
      <c r="AB78" s="20"/>
      <c r="AC78" s="12"/>
      <c r="AD78" s="18"/>
      <c r="AE78" s="18">
        <v>1</v>
      </c>
      <c r="AF78" s="18"/>
      <c r="AG78" s="21">
        <f t="shared" si="5"/>
        <v>2</v>
      </c>
      <c r="AH78" s="22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23" t="str">
        <f t="shared" si="6"/>
        <v>傻妹</v>
      </c>
      <c r="AJ78" s="25"/>
    </row>
    <row r="79" spans="1:36" ht="18" customHeight="1">
      <c r="A79" s="18" t="s">
        <v>58</v>
      </c>
      <c r="B79" s="19" t="s">
        <v>96</v>
      </c>
      <c r="C79" s="20"/>
      <c r="D79" s="18"/>
      <c r="E79" s="20"/>
      <c r="F79" s="2"/>
      <c r="G79" s="20"/>
      <c r="H79" s="2"/>
      <c r="I79" s="20"/>
      <c r="J79" s="20"/>
      <c r="K79" s="20"/>
      <c r="L79" s="20"/>
      <c r="M79" s="2"/>
      <c r="N79" s="20"/>
      <c r="O79" s="2"/>
      <c r="P79" s="20"/>
      <c r="Q79" s="20"/>
      <c r="R79" s="20"/>
      <c r="S79" s="20"/>
      <c r="T79" s="2"/>
      <c r="U79" s="20"/>
      <c r="V79" s="2"/>
      <c r="W79" s="20"/>
      <c r="X79" s="20"/>
      <c r="Y79" s="20"/>
      <c r="Z79" s="20"/>
      <c r="AA79" s="2"/>
      <c r="AB79" s="20"/>
      <c r="AC79" s="12"/>
      <c r="AD79" s="18"/>
      <c r="AE79" s="18"/>
      <c r="AF79" s="18"/>
      <c r="AG79" s="21">
        <f t="shared" si="5"/>
        <v>0</v>
      </c>
      <c r="AH79" s="22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23" t="str">
        <f t="shared" si="6"/>
        <v>靜婷</v>
      </c>
      <c r="AJ79" s="25"/>
    </row>
    <row r="80" spans="1:36" ht="18" customHeight="1">
      <c r="A80" s="18" t="s">
        <v>58</v>
      </c>
      <c r="B80" s="19" t="s">
        <v>155</v>
      </c>
      <c r="C80" s="20"/>
      <c r="D80" s="18"/>
      <c r="E80" s="20"/>
      <c r="F80" s="2"/>
      <c r="G80" s="20"/>
      <c r="H80" s="2"/>
      <c r="I80" s="20"/>
      <c r="J80" s="20"/>
      <c r="K80" s="20"/>
      <c r="L80" s="20"/>
      <c r="M80" s="2"/>
      <c r="N80" s="20"/>
      <c r="O80" s="2"/>
      <c r="P80" s="20"/>
      <c r="Q80" s="20"/>
      <c r="R80" s="20"/>
      <c r="S80" s="20"/>
      <c r="T80" s="2"/>
      <c r="U80" s="20"/>
      <c r="V80" s="2"/>
      <c r="W80" s="20"/>
      <c r="X80" s="20"/>
      <c r="Y80" s="20"/>
      <c r="Z80" s="20"/>
      <c r="AA80" s="2"/>
      <c r="AB80" s="20"/>
      <c r="AC80" s="12"/>
      <c r="AD80" s="18"/>
      <c r="AE80" s="18"/>
      <c r="AF80" s="18"/>
      <c r="AG80" s="21">
        <f t="shared" si="5"/>
        <v>0</v>
      </c>
      <c r="AH80" s="22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23" t="str">
        <f t="shared" si="6"/>
        <v>康康</v>
      </c>
      <c r="AJ80" s="25"/>
    </row>
    <row r="81" spans="1:36" ht="18" customHeight="1">
      <c r="A81" s="18" t="s">
        <v>58</v>
      </c>
      <c r="B81" s="19" t="s">
        <v>92</v>
      </c>
      <c r="C81" s="20"/>
      <c r="D81" s="18"/>
      <c r="E81" s="20"/>
      <c r="F81" s="2"/>
      <c r="G81" s="20"/>
      <c r="H81" s="2"/>
      <c r="I81" s="20"/>
      <c r="J81" s="20"/>
      <c r="K81" s="20"/>
      <c r="L81" s="20"/>
      <c r="M81" s="2"/>
      <c r="N81" s="20"/>
      <c r="O81" s="2"/>
      <c r="P81" s="20"/>
      <c r="Q81" s="20"/>
      <c r="R81" s="20"/>
      <c r="S81" s="20"/>
      <c r="T81" s="2"/>
      <c r="U81" s="20"/>
      <c r="V81" s="2"/>
      <c r="W81" s="20"/>
      <c r="X81" s="20"/>
      <c r="Y81" s="20"/>
      <c r="Z81" s="20"/>
      <c r="AA81" s="2"/>
      <c r="AB81" s="20"/>
      <c r="AC81" s="12"/>
      <c r="AD81" s="18"/>
      <c r="AE81" s="18"/>
      <c r="AF81" s="18"/>
      <c r="AG81" s="21">
        <f t="shared" si="5"/>
        <v>0</v>
      </c>
      <c r="AH81" s="22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23" t="str">
        <f t="shared" si="6"/>
        <v>婉晴</v>
      </c>
      <c r="AJ81" s="25"/>
    </row>
    <row r="82" spans="1:36" ht="18" customHeight="1">
      <c r="A82" s="18" t="s">
        <v>58</v>
      </c>
      <c r="B82" s="19" t="s">
        <v>156</v>
      </c>
      <c r="C82" s="20"/>
      <c r="D82" s="18"/>
      <c r="E82" s="20"/>
      <c r="F82" s="2"/>
      <c r="G82" s="20"/>
      <c r="H82" s="2"/>
      <c r="I82" s="20"/>
      <c r="J82" s="20"/>
      <c r="K82" s="20"/>
      <c r="L82" s="20"/>
      <c r="M82" s="2"/>
      <c r="N82" s="20"/>
      <c r="O82" s="2"/>
      <c r="P82" s="20"/>
      <c r="Q82" s="20"/>
      <c r="R82" s="20"/>
      <c r="S82" s="20"/>
      <c r="T82" s="2"/>
      <c r="U82" s="20"/>
      <c r="V82" s="2"/>
      <c r="W82" s="20"/>
      <c r="X82" s="20"/>
      <c r="Y82" s="20"/>
      <c r="Z82" s="20"/>
      <c r="AA82" s="2"/>
      <c r="AB82" s="20"/>
      <c r="AC82" s="12"/>
      <c r="AD82" s="18"/>
      <c r="AE82" s="18"/>
      <c r="AF82" s="18"/>
      <c r="AG82" s="21">
        <f t="shared" si="5"/>
        <v>0</v>
      </c>
      <c r="AH82" s="22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23" t="str">
        <f t="shared" si="6"/>
        <v>阿金</v>
      </c>
      <c r="AJ82" s="25"/>
    </row>
    <row r="83" spans="1:36" ht="18" customHeight="1">
      <c r="A83" s="18" t="s">
        <v>58</v>
      </c>
      <c r="B83" s="19" t="s">
        <v>104</v>
      </c>
      <c r="C83" s="20"/>
      <c r="D83" s="18"/>
      <c r="E83" s="20"/>
      <c r="F83" s="2"/>
      <c r="G83" s="20"/>
      <c r="H83" s="2"/>
      <c r="I83" s="20"/>
      <c r="J83" s="20"/>
      <c r="K83" s="20"/>
      <c r="L83" s="20"/>
      <c r="M83" s="2"/>
      <c r="N83" s="20"/>
      <c r="O83" s="2"/>
      <c r="P83" s="20"/>
      <c r="Q83" s="20"/>
      <c r="R83" s="20"/>
      <c r="S83" s="20"/>
      <c r="T83" s="2"/>
      <c r="U83" s="20"/>
      <c r="V83" s="2"/>
      <c r="W83" s="20"/>
      <c r="X83" s="20"/>
      <c r="Y83" s="20"/>
      <c r="Z83" s="20"/>
      <c r="AA83" s="2"/>
      <c r="AB83" s="20"/>
      <c r="AC83" s="12"/>
      <c r="AD83" s="18"/>
      <c r="AE83" s="18"/>
      <c r="AF83" s="18"/>
      <c r="AG83" s="21">
        <f t="shared" si="5"/>
        <v>0</v>
      </c>
      <c r="AH83" s="22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23" t="str">
        <f t="shared" si="6"/>
        <v>卡丘</v>
      </c>
      <c r="AJ83" s="25"/>
    </row>
    <row r="84" spans="1:36" ht="18" customHeight="1">
      <c r="A84" s="18" t="s">
        <v>58</v>
      </c>
      <c r="B84" s="19" t="s">
        <v>157</v>
      </c>
      <c r="C84" s="20"/>
      <c r="D84" s="18"/>
      <c r="E84" s="20"/>
      <c r="F84" s="2"/>
      <c r="G84" s="20"/>
      <c r="H84" s="2"/>
      <c r="I84" s="20"/>
      <c r="J84" s="20"/>
      <c r="K84" s="20"/>
      <c r="L84" s="20"/>
      <c r="M84" s="2"/>
      <c r="N84" s="20"/>
      <c r="O84" s="2"/>
      <c r="P84" s="20"/>
      <c r="Q84" s="20"/>
      <c r="R84" s="20"/>
      <c r="S84" s="20"/>
      <c r="T84" s="2"/>
      <c r="U84" s="20"/>
      <c r="V84" s="2"/>
      <c r="W84" s="20"/>
      <c r="X84" s="20"/>
      <c r="Y84" s="20"/>
      <c r="Z84" s="20"/>
      <c r="AA84" s="2"/>
      <c r="AB84" s="20"/>
      <c r="AC84" s="12"/>
      <c r="AD84" s="18"/>
      <c r="AE84" s="18"/>
      <c r="AF84" s="18"/>
      <c r="AG84" s="21">
        <f t="shared" si="5"/>
        <v>0</v>
      </c>
      <c r="AH84" s="22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23" t="str">
        <f t="shared" si="6"/>
        <v>派大</v>
      </c>
      <c r="AJ84" s="25"/>
    </row>
    <row r="85" spans="1:36" ht="18" customHeight="1">
      <c r="A85" s="18" t="s">
        <v>58</v>
      </c>
      <c r="B85" s="19" t="s">
        <v>101</v>
      </c>
      <c r="C85" s="20"/>
      <c r="D85" s="18"/>
      <c r="E85" s="20"/>
      <c r="F85" s="2"/>
      <c r="G85" s="20"/>
      <c r="H85" s="2"/>
      <c r="I85" s="20"/>
      <c r="J85" s="20"/>
      <c r="K85" s="20"/>
      <c r="L85" s="20"/>
      <c r="M85" s="2"/>
      <c r="N85" s="20"/>
      <c r="O85" s="2"/>
      <c r="P85" s="20"/>
      <c r="Q85" s="20"/>
      <c r="R85" s="20"/>
      <c r="S85" s="20"/>
      <c r="T85" s="2"/>
      <c r="U85" s="20"/>
      <c r="V85" s="2"/>
      <c r="W85" s="20"/>
      <c r="X85" s="20"/>
      <c r="Y85" s="20"/>
      <c r="Z85" s="20"/>
      <c r="AA85" s="2"/>
      <c r="AB85" s="20"/>
      <c r="AC85" s="12"/>
      <c r="AD85" s="18"/>
      <c r="AE85" s="18"/>
      <c r="AF85" s="18"/>
      <c r="AG85" s="21">
        <f t="shared" si="5"/>
        <v>0</v>
      </c>
      <c r="AH85" s="22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23" t="str">
        <f t="shared" si="6"/>
        <v>文媛</v>
      </c>
      <c r="AJ85" s="25"/>
    </row>
    <row r="86" spans="1:36" ht="18" customHeight="1">
      <c r="A86" s="18" t="s">
        <v>58</v>
      </c>
      <c r="B86" s="19" t="s">
        <v>158</v>
      </c>
      <c r="C86" s="20"/>
      <c r="D86" s="18"/>
      <c r="E86" s="20"/>
      <c r="F86" s="2"/>
      <c r="G86" s="20"/>
      <c r="H86" s="2"/>
      <c r="I86" s="20"/>
      <c r="J86" s="20"/>
      <c r="K86" s="20"/>
      <c r="L86" s="20"/>
      <c r="M86" s="2"/>
      <c r="N86" s="20"/>
      <c r="O86" s="2"/>
      <c r="P86" s="20"/>
      <c r="Q86" s="20"/>
      <c r="R86" s="20"/>
      <c r="S86" s="20"/>
      <c r="T86" s="2"/>
      <c r="U86" s="20"/>
      <c r="V86" s="2"/>
      <c r="W86" s="20"/>
      <c r="X86" s="20"/>
      <c r="Y86" s="20"/>
      <c r="Z86" s="20"/>
      <c r="AA86" s="2"/>
      <c r="AB86" s="20"/>
      <c r="AC86" s="12"/>
      <c r="AD86" s="18"/>
      <c r="AE86" s="18"/>
      <c r="AF86" s="18"/>
      <c r="AG86" s="21">
        <f t="shared" si="5"/>
        <v>0</v>
      </c>
      <c r="AH86" s="22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23" t="str">
        <f t="shared" si="6"/>
        <v>吉娃</v>
      </c>
      <c r="AJ86" s="25"/>
    </row>
    <row r="87" spans="1:36" ht="18" customHeight="1">
      <c r="A87" s="26" t="s">
        <v>58</v>
      </c>
      <c r="B87" s="27" t="s">
        <v>126</v>
      </c>
      <c r="C87" s="28"/>
      <c r="D87" s="26"/>
      <c r="E87" s="28"/>
      <c r="F87" s="2"/>
      <c r="G87" s="28"/>
      <c r="H87" s="2"/>
      <c r="I87" s="28">
        <v>1</v>
      </c>
      <c r="J87" s="28"/>
      <c r="K87" s="28"/>
      <c r="L87" s="28"/>
      <c r="M87" s="2"/>
      <c r="N87" s="28"/>
      <c r="O87" s="2"/>
      <c r="P87" s="28"/>
      <c r="Q87" s="28">
        <v>1</v>
      </c>
      <c r="R87" s="28"/>
      <c r="S87" s="28"/>
      <c r="T87" s="2"/>
      <c r="U87" s="28"/>
      <c r="V87" s="2"/>
      <c r="W87" s="28"/>
      <c r="X87" s="28">
        <v>1</v>
      </c>
      <c r="Y87" s="28"/>
      <c r="Z87" s="28"/>
      <c r="AA87" s="2"/>
      <c r="AB87" s="28"/>
      <c r="AC87" s="12"/>
      <c r="AD87" s="26"/>
      <c r="AE87" s="26"/>
      <c r="AF87" s="26"/>
      <c r="AG87" s="29">
        <f t="shared" si="5"/>
        <v>3</v>
      </c>
      <c r="AH87" s="30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31" t="str">
        <f t="shared" si="6"/>
        <v>妹妹</v>
      </c>
      <c r="AJ87" s="32"/>
    </row>
    <row r="88" spans="1:36" ht="18" customHeight="1">
      <c r="A88" s="26" t="s">
        <v>58</v>
      </c>
      <c r="B88" s="27" t="s">
        <v>160</v>
      </c>
      <c r="C88" s="28"/>
      <c r="D88" s="26"/>
      <c r="E88" s="28"/>
      <c r="F88" s="2"/>
      <c r="G88" s="28"/>
      <c r="H88" s="2"/>
      <c r="I88" s="28"/>
      <c r="J88" s="28"/>
      <c r="K88" s="28"/>
      <c r="L88" s="28"/>
      <c r="M88" s="2"/>
      <c r="N88" s="28"/>
      <c r="O88" s="2"/>
      <c r="P88" s="28"/>
      <c r="Q88" s="28"/>
      <c r="R88" s="28"/>
      <c r="S88" s="28"/>
      <c r="T88" s="2"/>
      <c r="U88" s="28"/>
      <c r="V88" s="2"/>
      <c r="W88" s="28"/>
      <c r="X88" s="28"/>
      <c r="Y88" s="28"/>
      <c r="Z88" s="28"/>
      <c r="AA88" s="2"/>
      <c r="AB88" s="28"/>
      <c r="AC88" s="12"/>
      <c r="AD88" s="26"/>
      <c r="AE88" s="26"/>
      <c r="AF88" s="26"/>
      <c r="AG88" s="29">
        <f t="shared" si="5"/>
        <v>0</v>
      </c>
      <c r="AH88" s="30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31" t="str">
        <f t="shared" si="6"/>
        <v>小妹</v>
      </c>
      <c r="AJ88" s="32"/>
    </row>
    <row r="89" spans="1:36" ht="18" customHeight="1">
      <c r="A89" s="26" t="s">
        <v>58</v>
      </c>
      <c r="B89" s="27" t="s">
        <v>130</v>
      </c>
      <c r="C89" s="28"/>
      <c r="D89" s="26"/>
      <c r="E89" s="28"/>
      <c r="F89" s="2"/>
      <c r="G89" s="28"/>
      <c r="H89" s="2"/>
      <c r="I89" s="28"/>
      <c r="J89" s="28"/>
      <c r="K89" s="28"/>
      <c r="L89" s="28"/>
      <c r="M89" s="2"/>
      <c r="N89" s="28"/>
      <c r="O89" s="2"/>
      <c r="P89" s="28"/>
      <c r="Q89" s="28"/>
      <c r="R89" s="28"/>
      <c r="S89" s="28"/>
      <c r="T89" s="2"/>
      <c r="U89" s="28"/>
      <c r="V89" s="2"/>
      <c r="W89" s="28"/>
      <c r="X89" s="28"/>
      <c r="Y89" s="28"/>
      <c r="Z89" s="28"/>
      <c r="AA89" s="2"/>
      <c r="AB89" s="28"/>
      <c r="AC89" s="12"/>
      <c r="AD89" s="26"/>
      <c r="AE89" s="26"/>
      <c r="AF89" s="26"/>
      <c r="AG89" s="29">
        <f t="shared" si="5"/>
        <v>0</v>
      </c>
      <c r="AH89" s="30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31" t="str">
        <f t="shared" si="6"/>
        <v>猛女</v>
      </c>
      <c r="AJ89" s="32"/>
    </row>
    <row r="90" spans="1:36" ht="18" customHeight="1">
      <c r="A90" s="26" t="s">
        <v>58</v>
      </c>
      <c r="B90" s="27" t="s">
        <v>131</v>
      </c>
      <c r="C90" s="28"/>
      <c r="D90" s="26"/>
      <c r="E90" s="28"/>
      <c r="F90" s="2"/>
      <c r="G90" s="28"/>
      <c r="H90" s="2"/>
      <c r="I90" s="28"/>
      <c r="J90" s="28"/>
      <c r="K90" s="28"/>
      <c r="L90" s="28"/>
      <c r="M90" s="2"/>
      <c r="N90" s="28"/>
      <c r="O90" s="2"/>
      <c r="P90" s="28"/>
      <c r="Q90" s="28"/>
      <c r="R90" s="28"/>
      <c r="S90" s="28"/>
      <c r="T90" s="2"/>
      <c r="U90" s="28"/>
      <c r="V90" s="2"/>
      <c r="W90" s="28"/>
      <c r="X90" s="28"/>
      <c r="Y90" s="28"/>
      <c r="Z90" s="28"/>
      <c r="AA90" s="2"/>
      <c r="AB90" s="28"/>
      <c r="AC90" s="12"/>
      <c r="AD90" s="26"/>
      <c r="AE90" s="26"/>
      <c r="AF90" s="26"/>
      <c r="AG90" s="29">
        <f t="shared" si="5"/>
        <v>0</v>
      </c>
      <c r="AH90" s="30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31" t="str">
        <f t="shared" si="6"/>
        <v>欣容</v>
      </c>
      <c r="AJ90" s="32"/>
    </row>
    <row r="91" spans="1:36" ht="18" customHeight="1">
      <c r="A91" s="26" t="s">
        <v>58</v>
      </c>
      <c r="B91" s="27" t="s">
        <v>132</v>
      </c>
      <c r="C91" s="28"/>
      <c r="D91" s="26"/>
      <c r="E91" s="28"/>
      <c r="F91" s="2"/>
      <c r="G91" s="28"/>
      <c r="H91" s="2"/>
      <c r="I91" s="28"/>
      <c r="J91" s="28"/>
      <c r="K91" s="28"/>
      <c r="L91" s="28"/>
      <c r="M91" s="2"/>
      <c r="N91" s="28"/>
      <c r="O91" s="2"/>
      <c r="P91" s="28"/>
      <c r="Q91" s="28"/>
      <c r="R91" s="28"/>
      <c r="S91" s="28"/>
      <c r="T91" s="2"/>
      <c r="U91" s="28"/>
      <c r="V91" s="2"/>
      <c r="W91" s="28"/>
      <c r="X91" s="28"/>
      <c r="Y91" s="28"/>
      <c r="Z91" s="28"/>
      <c r="AA91" s="2"/>
      <c r="AB91" s="28"/>
      <c r="AC91" s="12"/>
      <c r="AD91" s="26"/>
      <c r="AE91" s="26"/>
      <c r="AF91" s="26"/>
      <c r="AG91" s="29">
        <f t="shared" si="5"/>
        <v>0</v>
      </c>
      <c r="AH91" s="30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31" t="str">
        <f t="shared" si="6"/>
        <v>萁萁</v>
      </c>
      <c r="AJ91" s="32"/>
    </row>
    <row r="92" spans="1:36" ht="18" customHeight="1">
      <c r="A92" s="26" t="s">
        <v>58</v>
      </c>
      <c r="B92" s="27" t="s">
        <v>133</v>
      </c>
      <c r="C92" s="28"/>
      <c r="D92" s="26"/>
      <c r="E92" s="28"/>
      <c r="F92" s="2"/>
      <c r="G92" s="28"/>
      <c r="H92" s="2"/>
      <c r="I92" s="28"/>
      <c r="J92" s="28"/>
      <c r="K92" s="28"/>
      <c r="L92" s="28"/>
      <c r="M92" s="2"/>
      <c r="N92" s="28"/>
      <c r="O92" s="2"/>
      <c r="P92" s="28"/>
      <c r="Q92" s="28"/>
      <c r="R92" s="28"/>
      <c r="S92" s="28"/>
      <c r="T92" s="2"/>
      <c r="U92" s="28"/>
      <c r="V92" s="2"/>
      <c r="W92" s="28"/>
      <c r="X92" s="28"/>
      <c r="Y92" s="28"/>
      <c r="Z92" s="28"/>
      <c r="AA92" s="2"/>
      <c r="AB92" s="28"/>
      <c r="AC92" s="12"/>
      <c r="AD92" s="26"/>
      <c r="AE92" s="26"/>
      <c r="AF92" s="26"/>
      <c r="AG92" s="29">
        <f t="shared" si="5"/>
        <v>0</v>
      </c>
      <c r="AH92" s="30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31" t="str">
        <f t="shared" si="6"/>
        <v>萱</v>
      </c>
      <c r="AJ92" s="32"/>
    </row>
    <row r="93" spans="1:36" ht="18" customHeight="1">
      <c r="A93" s="26" t="s">
        <v>58</v>
      </c>
      <c r="B93" s="27" t="s">
        <v>134</v>
      </c>
      <c r="C93" s="28"/>
      <c r="D93" s="26"/>
      <c r="E93" s="28"/>
      <c r="F93" s="2"/>
      <c r="G93" s="28"/>
      <c r="H93" s="2"/>
      <c r="I93" s="28"/>
      <c r="J93" s="28"/>
      <c r="K93" s="28"/>
      <c r="L93" s="28"/>
      <c r="M93" s="2"/>
      <c r="N93" s="28"/>
      <c r="O93" s="2"/>
      <c r="P93" s="28"/>
      <c r="Q93" s="28"/>
      <c r="R93" s="28"/>
      <c r="S93" s="28"/>
      <c r="T93" s="2"/>
      <c r="U93" s="28"/>
      <c r="V93" s="2"/>
      <c r="W93" s="28"/>
      <c r="X93" s="28"/>
      <c r="Y93" s="28"/>
      <c r="Z93" s="28"/>
      <c r="AA93" s="2"/>
      <c r="AB93" s="28"/>
      <c r="AC93" s="12"/>
      <c r="AD93" s="26"/>
      <c r="AE93" s="26"/>
      <c r="AF93" s="26"/>
      <c r="AG93" s="29">
        <f t="shared" si="5"/>
        <v>0</v>
      </c>
      <c r="AH93" s="30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31" t="str">
        <f t="shared" si="6"/>
        <v>Mei</v>
      </c>
      <c r="AJ93" s="32"/>
    </row>
    <row r="94" spans="1:36" ht="18" customHeight="1">
      <c r="A94" s="26" t="s">
        <v>58</v>
      </c>
      <c r="B94" s="27" t="s">
        <v>161</v>
      </c>
      <c r="C94" s="28"/>
      <c r="D94" s="26"/>
      <c r="E94" s="28"/>
      <c r="F94" s="2"/>
      <c r="G94" s="28"/>
      <c r="H94" s="2"/>
      <c r="I94" s="28"/>
      <c r="J94" s="28"/>
      <c r="K94" s="28"/>
      <c r="L94" s="28"/>
      <c r="M94" s="2"/>
      <c r="N94" s="28"/>
      <c r="O94" s="2"/>
      <c r="P94" s="28"/>
      <c r="Q94" s="28"/>
      <c r="R94" s="28"/>
      <c r="S94" s="28"/>
      <c r="T94" s="2"/>
      <c r="U94" s="28"/>
      <c r="V94" s="2"/>
      <c r="W94" s="28"/>
      <c r="X94" s="28"/>
      <c r="Y94" s="28"/>
      <c r="Z94" s="28"/>
      <c r="AA94" s="2"/>
      <c r="AB94" s="28"/>
      <c r="AC94" s="12"/>
      <c r="AD94" s="26"/>
      <c r="AE94" s="26"/>
      <c r="AF94" s="26"/>
      <c r="AG94" s="29">
        <f t="shared" si="5"/>
        <v>0</v>
      </c>
      <c r="AH94" s="30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31" t="str">
        <f t="shared" si="6"/>
        <v>佩鈺</v>
      </c>
      <c r="AJ94" s="32"/>
    </row>
    <row r="95" spans="1:36" ht="18" customHeight="1">
      <c r="A95" s="26" t="s">
        <v>58</v>
      </c>
      <c r="B95" s="27" t="s">
        <v>124</v>
      </c>
      <c r="C95" s="28"/>
      <c r="D95" s="26"/>
      <c r="E95" s="28"/>
      <c r="F95" s="2"/>
      <c r="G95" s="28"/>
      <c r="H95" s="2"/>
      <c r="I95" s="28"/>
      <c r="J95" s="28"/>
      <c r="K95" s="28"/>
      <c r="L95" s="28"/>
      <c r="M95" s="2"/>
      <c r="N95" s="28"/>
      <c r="O95" s="2"/>
      <c r="P95" s="28"/>
      <c r="Q95" s="28"/>
      <c r="R95" s="28"/>
      <c r="S95" s="28"/>
      <c r="T95" s="2"/>
      <c r="U95" s="28"/>
      <c r="V95" s="2"/>
      <c r="W95" s="28"/>
      <c r="X95" s="28"/>
      <c r="Y95" s="28"/>
      <c r="Z95" s="28"/>
      <c r="AA95" s="2"/>
      <c r="AB95" s="28"/>
      <c r="AC95" s="12"/>
      <c r="AD95" s="26">
        <v>1</v>
      </c>
      <c r="AE95" s="26"/>
      <c r="AF95" s="26"/>
      <c r="AG95" s="29">
        <f t="shared" si="5"/>
        <v>1</v>
      </c>
      <c r="AH95" s="30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31" t="str">
        <f t="shared" si="6"/>
        <v>玉蕙</v>
      </c>
      <c r="AJ95" s="32"/>
    </row>
    <row r="96" spans="1:36" ht="18" customHeight="1">
      <c r="A96" s="26" t="s">
        <v>58</v>
      </c>
      <c r="B96" s="27" t="s">
        <v>159</v>
      </c>
      <c r="C96" s="28"/>
      <c r="D96" s="26"/>
      <c r="E96" s="28"/>
      <c r="F96" s="2"/>
      <c r="G96" s="28"/>
      <c r="H96" s="2"/>
      <c r="I96" s="28"/>
      <c r="J96" s="28"/>
      <c r="K96" s="28"/>
      <c r="L96" s="28"/>
      <c r="M96" s="2"/>
      <c r="N96" s="28"/>
      <c r="O96" s="2"/>
      <c r="P96" s="28"/>
      <c r="Q96" s="28"/>
      <c r="R96" s="28"/>
      <c r="S96" s="28"/>
      <c r="T96" s="2"/>
      <c r="U96" s="28"/>
      <c r="V96" s="2"/>
      <c r="W96" s="28"/>
      <c r="X96" s="28"/>
      <c r="Y96" s="28"/>
      <c r="Z96" s="28"/>
      <c r="AA96" s="2"/>
      <c r="AB96" s="28"/>
      <c r="AC96" s="12"/>
      <c r="AD96" s="26"/>
      <c r="AE96" s="26"/>
      <c r="AF96" s="26"/>
      <c r="AG96" s="29">
        <f t="shared" si="5"/>
        <v>0</v>
      </c>
      <c r="AH96" s="30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31" t="str">
        <f t="shared" si="6"/>
        <v>小寧</v>
      </c>
      <c r="AJ96" s="32"/>
    </row>
    <row r="97" spans="1:36" ht="18" customHeight="1">
      <c r="A97" s="26" t="s">
        <v>58</v>
      </c>
      <c r="B97" s="27" t="s">
        <v>135</v>
      </c>
      <c r="C97" s="28"/>
      <c r="D97" s="26"/>
      <c r="E97" s="28"/>
      <c r="F97" s="2"/>
      <c r="G97" s="28"/>
      <c r="H97" s="2"/>
      <c r="I97" s="28"/>
      <c r="J97" s="28"/>
      <c r="K97" s="28"/>
      <c r="L97" s="28"/>
      <c r="M97" s="2"/>
      <c r="N97" s="28"/>
      <c r="O97" s="2"/>
      <c r="P97" s="28"/>
      <c r="Q97" s="28"/>
      <c r="R97" s="28"/>
      <c r="S97" s="28"/>
      <c r="T97" s="2"/>
      <c r="U97" s="28"/>
      <c r="V97" s="2"/>
      <c r="W97" s="28"/>
      <c r="X97" s="28"/>
      <c r="Y97" s="28"/>
      <c r="Z97" s="28"/>
      <c r="AA97" s="2"/>
      <c r="AB97" s="28"/>
      <c r="AC97" s="12"/>
      <c r="AD97" s="26"/>
      <c r="AE97" s="26"/>
      <c r="AF97" s="26"/>
      <c r="AG97" s="29">
        <f t="shared" si="5"/>
        <v>0</v>
      </c>
      <c r="AH97" s="30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31" t="str">
        <f t="shared" si="6"/>
        <v>屁屁</v>
      </c>
      <c r="AJ97" s="32"/>
    </row>
    <row r="98" spans="1:36" ht="18" customHeight="1">
      <c r="A98" s="26" t="s">
        <v>58</v>
      </c>
      <c r="B98" s="27" t="s">
        <v>162</v>
      </c>
      <c r="C98" s="28"/>
      <c r="D98" s="26"/>
      <c r="E98" s="28"/>
      <c r="F98" s="2"/>
      <c r="G98" s="28"/>
      <c r="H98" s="2"/>
      <c r="I98" s="28"/>
      <c r="J98" s="28"/>
      <c r="K98" s="28"/>
      <c r="L98" s="28"/>
      <c r="M98" s="2"/>
      <c r="N98" s="28"/>
      <c r="O98" s="2"/>
      <c r="P98" s="28"/>
      <c r="Q98" s="28"/>
      <c r="R98" s="28"/>
      <c r="S98" s="28"/>
      <c r="T98" s="2"/>
      <c r="U98" s="28"/>
      <c r="V98" s="2"/>
      <c r="W98" s="28"/>
      <c r="X98" s="28"/>
      <c r="Y98" s="28"/>
      <c r="Z98" s="28"/>
      <c r="AA98" s="2"/>
      <c r="AB98" s="28"/>
      <c r="AC98" s="12"/>
      <c r="AD98" s="26"/>
      <c r="AE98" s="26"/>
      <c r="AF98" s="26"/>
      <c r="AG98" s="29">
        <f t="shared" si="5"/>
        <v>0</v>
      </c>
      <c r="AH98" s="30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31" t="str">
        <f t="shared" si="6"/>
        <v>阿布</v>
      </c>
      <c r="AJ98" s="32"/>
    </row>
    <row r="99" spans="1:36" ht="18" customHeight="1">
      <c r="A99" s="26" t="s">
        <v>58</v>
      </c>
      <c r="B99" s="27" t="s">
        <v>127</v>
      </c>
      <c r="C99" s="28"/>
      <c r="D99" s="26"/>
      <c r="E99" s="28"/>
      <c r="F99" s="2"/>
      <c r="G99" s="28"/>
      <c r="H99" s="2"/>
      <c r="I99" s="28"/>
      <c r="J99" s="28"/>
      <c r="K99" s="28"/>
      <c r="L99" s="28"/>
      <c r="M99" s="2"/>
      <c r="N99" s="28"/>
      <c r="O99" s="2"/>
      <c r="P99" s="28"/>
      <c r="Q99" s="28"/>
      <c r="R99" s="28"/>
      <c r="S99" s="28"/>
      <c r="T99" s="2"/>
      <c r="U99" s="28"/>
      <c r="V99" s="2"/>
      <c r="W99" s="28"/>
      <c r="X99" s="28"/>
      <c r="Y99" s="28"/>
      <c r="Z99" s="28"/>
      <c r="AA99" s="2"/>
      <c r="AB99" s="28">
        <v>1</v>
      </c>
      <c r="AC99" s="12"/>
      <c r="AD99" s="26"/>
      <c r="AE99" s="26"/>
      <c r="AF99" s="26">
        <v>1</v>
      </c>
      <c r="AG99" s="29">
        <f t="shared" si="5"/>
        <v>2</v>
      </c>
      <c r="AH99" s="30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31" t="str">
        <f t="shared" si="6"/>
        <v>小雞</v>
      </c>
      <c r="AJ99" s="32"/>
    </row>
    <row r="100" spans="1:36" ht="18" customHeight="1">
      <c r="A100" s="26" t="s">
        <v>58</v>
      </c>
      <c r="B100" s="27" t="s">
        <v>180</v>
      </c>
      <c r="C100" s="28"/>
      <c r="D100" s="26"/>
      <c r="E100" s="28"/>
      <c r="F100" s="2"/>
      <c r="G100" s="28"/>
      <c r="H100" s="2"/>
      <c r="I100" s="28"/>
      <c r="J100" s="28"/>
      <c r="K100" s="28"/>
      <c r="L100" s="28"/>
      <c r="M100" s="2"/>
      <c r="N100" s="28"/>
      <c r="O100" s="2"/>
      <c r="P100" s="28"/>
      <c r="Q100" s="28"/>
      <c r="R100" s="28"/>
      <c r="S100" s="28"/>
      <c r="T100" s="2"/>
      <c r="U100" s="28"/>
      <c r="V100" s="2"/>
      <c r="W100" s="28"/>
      <c r="X100" s="28"/>
      <c r="Y100" s="28"/>
      <c r="Z100" s="28"/>
      <c r="AA100" s="2"/>
      <c r="AB100" s="28"/>
      <c r="AC100" s="12"/>
      <c r="AD100" s="26"/>
      <c r="AE100" s="26"/>
      <c r="AF100" s="26"/>
      <c r="AG100" s="29">
        <f t="shared" ref="AG100:AG131" si="7">COUNTA(C100:AF100)</f>
        <v>0</v>
      </c>
      <c r="AH100" s="30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31" t="str">
        <f t="shared" ref="AI100:AI106" si="8">B100</f>
        <v>小茜</v>
      </c>
      <c r="AJ100" s="32"/>
    </row>
    <row r="101" spans="1:36" ht="18" customHeight="1">
      <c r="A101" s="26" t="s">
        <v>58</v>
      </c>
      <c r="B101" s="27" t="s">
        <v>137</v>
      </c>
      <c r="C101" s="28"/>
      <c r="D101" s="26"/>
      <c r="E101" s="28"/>
      <c r="F101" s="2"/>
      <c r="G101" s="28"/>
      <c r="H101" s="2"/>
      <c r="I101" s="28"/>
      <c r="J101" s="28"/>
      <c r="K101" s="28"/>
      <c r="L101" s="28"/>
      <c r="M101" s="2"/>
      <c r="N101" s="28"/>
      <c r="O101" s="2"/>
      <c r="P101" s="28"/>
      <c r="Q101" s="28"/>
      <c r="R101" s="28"/>
      <c r="S101" s="28"/>
      <c r="T101" s="2"/>
      <c r="U101" s="28"/>
      <c r="V101" s="2"/>
      <c r="W101" s="28"/>
      <c r="X101" s="28"/>
      <c r="Y101" s="28"/>
      <c r="Z101" s="28"/>
      <c r="AA101" s="2"/>
      <c r="AB101" s="28"/>
      <c r="AC101" s="12"/>
      <c r="AD101" s="26"/>
      <c r="AE101" s="26"/>
      <c r="AF101" s="26"/>
      <c r="AG101" s="29">
        <f t="shared" si="7"/>
        <v>0</v>
      </c>
      <c r="AH101" s="30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31" t="str">
        <f t="shared" si="8"/>
        <v>姚</v>
      </c>
      <c r="AJ101" s="32"/>
    </row>
    <row r="102" spans="1:36" ht="18" customHeight="1">
      <c r="A102" s="26" t="s">
        <v>58</v>
      </c>
      <c r="B102" s="27" t="s">
        <v>181</v>
      </c>
      <c r="C102" s="28"/>
      <c r="D102" s="26"/>
      <c r="E102" s="28"/>
      <c r="F102" s="2"/>
      <c r="G102" s="28"/>
      <c r="H102" s="2"/>
      <c r="I102" s="28"/>
      <c r="J102" s="28"/>
      <c r="K102" s="28"/>
      <c r="L102" s="28"/>
      <c r="M102" s="2"/>
      <c r="N102" s="28"/>
      <c r="O102" s="2"/>
      <c r="P102" s="28"/>
      <c r="Q102" s="28"/>
      <c r="R102" s="28"/>
      <c r="S102" s="28"/>
      <c r="T102" s="2"/>
      <c r="U102" s="28"/>
      <c r="V102" s="2"/>
      <c r="W102" s="28"/>
      <c r="X102" s="28"/>
      <c r="Y102" s="28"/>
      <c r="Z102" s="28"/>
      <c r="AA102" s="2"/>
      <c r="AB102" s="28"/>
      <c r="AC102" s="12"/>
      <c r="AD102" s="26"/>
      <c r="AE102" s="26"/>
      <c r="AF102" s="26"/>
      <c r="AG102" s="29">
        <f t="shared" si="7"/>
        <v>0</v>
      </c>
      <c r="AH102" s="30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31" t="str">
        <f t="shared" si="8"/>
        <v>毛毛</v>
      </c>
      <c r="AJ102" s="32"/>
    </row>
    <row r="103" spans="1:36" ht="18" customHeight="1">
      <c r="A103" s="35"/>
      <c r="B103" s="36"/>
      <c r="C103" s="37"/>
      <c r="D103" s="35"/>
      <c r="E103" s="37"/>
      <c r="F103" s="2"/>
      <c r="G103" s="37"/>
      <c r="H103" s="2"/>
      <c r="I103" s="37"/>
      <c r="J103" s="37"/>
      <c r="K103" s="37"/>
      <c r="L103" s="37"/>
      <c r="M103" s="2"/>
      <c r="N103" s="37"/>
      <c r="O103" s="2"/>
      <c r="P103" s="37"/>
      <c r="Q103" s="37"/>
      <c r="R103" s="37"/>
      <c r="S103" s="37"/>
      <c r="T103" s="2"/>
      <c r="U103" s="37"/>
      <c r="V103" s="2"/>
      <c r="W103" s="37"/>
      <c r="X103" s="37"/>
      <c r="Y103" s="37"/>
      <c r="Z103" s="37"/>
      <c r="AA103" s="2"/>
      <c r="AB103" s="37"/>
      <c r="AC103" s="12"/>
      <c r="AD103" s="35"/>
      <c r="AE103" s="35"/>
      <c r="AF103" s="35"/>
      <c r="AG103" s="38">
        <f t="shared" si="7"/>
        <v>0</v>
      </c>
      <c r="AH103" s="39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40">
        <f t="shared" si="8"/>
        <v>0</v>
      </c>
      <c r="AJ103" s="41"/>
    </row>
    <row r="104" spans="1:36" ht="18" customHeight="1">
      <c r="A104" s="35"/>
      <c r="B104" s="36"/>
      <c r="C104" s="37"/>
      <c r="D104" s="35"/>
      <c r="E104" s="37"/>
      <c r="F104" s="2"/>
      <c r="G104" s="37"/>
      <c r="H104" s="2"/>
      <c r="I104" s="37"/>
      <c r="J104" s="37"/>
      <c r="K104" s="37"/>
      <c r="L104" s="37"/>
      <c r="M104" s="2"/>
      <c r="N104" s="37"/>
      <c r="O104" s="2"/>
      <c r="P104" s="37"/>
      <c r="Q104" s="37"/>
      <c r="R104" s="37"/>
      <c r="S104" s="37"/>
      <c r="T104" s="2"/>
      <c r="U104" s="37"/>
      <c r="V104" s="2"/>
      <c r="W104" s="37"/>
      <c r="X104" s="37"/>
      <c r="Y104" s="37"/>
      <c r="Z104" s="37"/>
      <c r="AA104" s="2"/>
      <c r="AB104" s="37"/>
      <c r="AC104" s="12"/>
      <c r="AD104" s="35"/>
      <c r="AE104" s="35"/>
      <c r="AF104" s="35"/>
      <c r="AG104" s="38">
        <f t="shared" si="7"/>
        <v>0</v>
      </c>
      <c r="AH104" s="39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40">
        <f t="shared" si="8"/>
        <v>0</v>
      </c>
      <c r="AJ104" s="41"/>
    </row>
    <row r="105" spans="1:36" ht="18" customHeight="1">
      <c r="A105" s="35"/>
      <c r="B105" s="36"/>
      <c r="C105" s="37"/>
      <c r="D105" s="35"/>
      <c r="E105" s="37"/>
      <c r="F105" s="2"/>
      <c r="G105" s="37"/>
      <c r="H105" s="2"/>
      <c r="I105" s="37"/>
      <c r="J105" s="37"/>
      <c r="K105" s="37"/>
      <c r="L105" s="37"/>
      <c r="M105" s="2"/>
      <c r="N105" s="37"/>
      <c r="O105" s="2"/>
      <c r="P105" s="37"/>
      <c r="Q105" s="37"/>
      <c r="R105" s="37"/>
      <c r="S105" s="37"/>
      <c r="T105" s="2"/>
      <c r="U105" s="37"/>
      <c r="V105" s="2"/>
      <c r="W105" s="37"/>
      <c r="X105" s="37"/>
      <c r="Y105" s="37"/>
      <c r="Z105" s="37"/>
      <c r="AA105" s="2"/>
      <c r="AB105" s="37"/>
      <c r="AC105" s="12"/>
      <c r="AD105" s="35"/>
      <c r="AE105" s="35"/>
      <c r="AF105" s="35"/>
      <c r="AG105" s="38">
        <f t="shared" si="7"/>
        <v>0</v>
      </c>
      <c r="AH105" s="39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40">
        <f t="shared" si="8"/>
        <v>0</v>
      </c>
      <c r="AJ105" s="41"/>
    </row>
    <row r="106" spans="1:36" ht="18" customHeight="1">
      <c r="A106" s="35"/>
      <c r="B106" s="36"/>
      <c r="C106" s="37"/>
      <c r="D106" s="35"/>
      <c r="E106" s="37"/>
      <c r="F106" s="2"/>
      <c r="G106" s="37"/>
      <c r="H106" s="2"/>
      <c r="I106" s="37"/>
      <c r="J106" s="37"/>
      <c r="K106" s="37"/>
      <c r="L106" s="37"/>
      <c r="M106" s="2"/>
      <c r="N106" s="37"/>
      <c r="O106" s="2"/>
      <c r="P106" s="37"/>
      <c r="Q106" s="37"/>
      <c r="R106" s="37"/>
      <c r="S106" s="37"/>
      <c r="T106" s="2"/>
      <c r="U106" s="37"/>
      <c r="V106" s="2"/>
      <c r="W106" s="37"/>
      <c r="X106" s="37"/>
      <c r="Y106" s="37"/>
      <c r="Z106" s="37"/>
      <c r="AA106" s="2"/>
      <c r="AB106" s="37"/>
      <c r="AC106" s="12"/>
      <c r="AD106" s="35"/>
      <c r="AE106" s="35"/>
      <c r="AF106" s="35"/>
      <c r="AG106" s="38">
        <f t="shared" si="7"/>
        <v>0</v>
      </c>
      <c r="AH106" s="39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40">
        <f t="shared" si="8"/>
        <v>0</v>
      </c>
      <c r="AJ106" s="41"/>
    </row>
  </sheetData>
  <mergeCells count="5">
    <mergeCell ref="AI1:AI3"/>
    <mergeCell ref="AJ1:AJ2"/>
    <mergeCell ref="AH1:AH3"/>
    <mergeCell ref="A1:B1"/>
    <mergeCell ref="AG1:AG3"/>
  </mergeCells>
  <phoneticPr fontId="12" type="noConversion"/>
  <printOptions horizontalCentered="1" gridLines="1"/>
  <pageMargins left="0.25" right="0.25" top="0.19685039370078741" bottom="0.19685039370078741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K10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3" max="34" width="4.453125" customWidth="1"/>
    <col min="35" max="35" width="6" customWidth="1"/>
    <col min="36" max="36" width="6.1796875" customWidth="1"/>
    <col min="37" max="37" width="16.26953125" customWidth="1"/>
  </cols>
  <sheetData>
    <row r="1" spans="1:37" ht="18" customHeight="1">
      <c r="A1" s="279" t="s">
        <v>0</v>
      </c>
      <c r="B1" s="280"/>
      <c r="C1" s="1" t="s">
        <v>182</v>
      </c>
      <c r="D1" s="2"/>
      <c r="E1" s="1" t="s">
        <v>183</v>
      </c>
      <c r="F1" s="2"/>
      <c r="G1" s="1" t="s">
        <v>184</v>
      </c>
      <c r="H1" s="1" t="s">
        <v>185</v>
      </c>
      <c r="I1" s="1"/>
      <c r="J1" s="1" t="s">
        <v>182</v>
      </c>
      <c r="K1" s="2"/>
      <c r="L1" s="1" t="s">
        <v>183</v>
      </c>
      <c r="M1" s="2"/>
      <c r="N1" s="1" t="s">
        <v>184</v>
      </c>
      <c r="O1" s="1" t="s">
        <v>185</v>
      </c>
      <c r="P1" s="1" t="s">
        <v>185</v>
      </c>
      <c r="Q1" s="1" t="s">
        <v>182</v>
      </c>
      <c r="R1" s="2"/>
      <c r="S1" s="1" t="s">
        <v>183</v>
      </c>
      <c r="T1" s="2"/>
      <c r="U1" s="1" t="s">
        <v>184</v>
      </c>
      <c r="V1" s="1" t="s">
        <v>185</v>
      </c>
      <c r="W1" s="1" t="s">
        <v>186</v>
      </c>
      <c r="X1" s="1" t="s">
        <v>182</v>
      </c>
      <c r="Y1" s="2"/>
      <c r="Z1" s="1" t="s">
        <v>183</v>
      </c>
      <c r="AA1" s="2"/>
      <c r="AB1" s="1" t="s">
        <v>184</v>
      </c>
      <c r="AC1" s="1" t="s">
        <v>185</v>
      </c>
      <c r="AD1" s="1"/>
      <c r="AE1" s="1" t="s">
        <v>182</v>
      </c>
      <c r="AF1" s="2"/>
      <c r="AG1" s="1" t="s">
        <v>183</v>
      </c>
      <c r="AH1" s="281" t="s">
        <v>6</v>
      </c>
      <c r="AI1" s="276" t="s">
        <v>7</v>
      </c>
      <c r="AJ1" s="271" t="s">
        <v>172</v>
      </c>
      <c r="AK1" s="274" t="s">
        <v>187</v>
      </c>
    </row>
    <row r="2" spans="1:37" ht="18" customHeight="1">
      <c r="A2" s="4" t="s">
        <v>2</v>
      </c>
      <c r="B2" s="5" t="s">
        <v>3</v>
      </c>
      <c r="C2" s="7">
        <v>45047</v>
      </c>
      <c r="D2" s="6">
        <v>45048</v>
      </c>
      <c r="E2" s="7">
        <v>45049</v>
      </c>
      <c r="F2" s="6">
        <v>45050</v>
      </c>
      <c r="G2" s="7">
        <v>45051</v>
      </c>
      <c r="H2" s="7">
        <v>45052</v>
      </c>
      <c r="I2" s="7">
        <v>45053</v>
      </c>
      <c r="J2" s="7">
        <v>45054</v>
      </c>
      <c r="K2" s="6">
        <v>45055</v>
      </c>
      <c r="L2" s="7">
        <v>45056</v>
      </c>
      <c r="M2" s="6">
        <v>45057</v>
      </c>
      <c r="N2" s="7">
        <v>45058</v>
      </c>
      <c r="O2" s="7">
        <v>45059</v>
      </c>
      <c r="P2" s="7">
        <v>45060</v>
      </c>
      <c r="Q2" s="7">
        <v>45061</v>
      </c>
      <c r="R2" s="6">
        <v>45062</v>
      </c>
      <c r="S2" s="7">
        <v>45063</v>
      </c>
      <c r="T2" s="6">
        <v>45064</v>
      </c>
      <c r="U2" s="7">
        <v>45065</v>
      </c>
      <c r="V2" s="7">
        <v>45066</v>
      </c>
      <c r="W2" s="7">
        <v>45067</v>
      </c>
      <c r="X2" s="7">
        <v>45068</v>
      </c>
      <c r="Y2" s="6">
        <v>45069</v>
      </c>
      <c r="Z2" s="7">
        <v>45070</v>
      </c>
      <c r="AA2" s="6">
        <v>45071</v>
      </c>
      <c r="AB2" s="7">
        <v>45072</v>
      </c>
      <c r="AC2" s="7">
        <v>45073</v>
      </c>
      <c r="AD2" s="7">
        <v>45074</v>
      </c>
      <c r="AE2" s="7">
        <v>45075</v>
      </c>
      <c r="AF2" s="6">
        <v>45076</v>
      </c>
      <c r="AG2" s="7">
        <v>45077</v>
      </c>
      <c r="AH2" s="282"/>
      <c r="AI2" s="277"/>
      <c r="AJ2" s="272"/>
      <c r="AK2" s="275"/>
    </row>
    <row r="3" spans="1:37" ht="18" customHeight="1">
      <c r="A3" s="4" t="s">
        <v>4</v>
      </c>
      <c r="B3" s="5" t="s">
        <v>5</v>
      </c>
      <c r="C3" s="1">
        <v>1</v>
      </c>
      <c r="D3" s="2">
        <v>2</v>
      </c>
      <c r="E3" s="1">
        <v>3</v>
      </c>
      <c r="F3" s="2">
        <v>4</v>
      </c>
      <c r="G3" s="1">
        <v>5</v>
      </c>
      <c r="H3" s="1">
        <v>6</v>
      </c>
      <c r="I3" s="1">
        <v>7</v>
      </c>
      <c r="J3" s="1">
        <v>1</v>
      </c>
      <c r="K3" s="2">
        <v>2</v>
      </c>
      <c r="L3" s="1">
        <v>3</v>
      </c>
      <c r="M3" s="2">
        <v>4</v>
      </c>
      <c r="N3" s="1">
        <v>5</v>
      </c>
      <c r="O3" s="1">
        <v>6</v>
      </c>
      <c r="P3" s="1">
        <v>7</v>
      </c>
      <c r="Q3" s="1">
        <v>1</v>
      </c>
      <c r="R3" s="2">
        <v>2</v>
      </c>
      <c r="S3" s="1">
        <v>3</v>
      </c>
      <c r="T3" s="2">
        <v>4</v>
      </c>
      <c r="U3" s="1">
        <v>5</v>
      </c>
      <c r="V3" s="1">
        <v>6</v>
      </c>
      <c r="W3" s="1">
        <v>7</v>
      </c>
      <c r="X3" s="1">
        <v>1</v>
      </c>
      <c r="Y3" s="2">
        <v>2</v>
      </c>
      <c r="Z3" s="1">
        <v>3</v>
      </c>
      <c r="AA3" s="2">
        <v>4</v>
      </c>
      <c r="AB3" s="1">
        <v>5</v>
      </c>
      <c r="AC3" s="1">
        <v>6</v>
      </c>
      <c r="AD3" s="1">
        <v>7</v>
      </c>
      <c r="AE3" s="1">
        <v>1</v>
      </c>
      <c r="AF3" s="2">
        <v>2</v>
      </c>
      <c r="AG3" s="1">
        <v>3</v>
      </c>
      <c r="AH3" s="283"/>
      <c r="AI3" s="278"/>
      <c r="AJ3" s="273"/>
      <c r="AK3" s="8" t="e">
        <f ca="1">SUM(AI4:AI107)</f>
        <v>#NAME?</v>
      </c>
    </row>
    <row r="4" spans="1:37" ht="18" customHeight="1">
      <c r="A4" s="9" t="s">
        <v>174</v>
      </c>
      <c r="B4" s="10" t="s">
        <v>10</v>
      </c>
      <c r="C4" s="11">
        <v>1</v>
      </c>
      <c r="D4" s="2"/>
      <c r="E4" s="11">
        <v>1</v>
      </c>
      <c r="F4" s="2"/>
      <c r="G4" s="11">
        <v>1</v>
      </c>
      <c r="H4" s="11">
        <v>1</v>
      </c>
      <c r="I4" s="11"/>
      <c r="J4" s="11">
        <v>1</v>
      </c>
      <c r="K4" s="2"/>
      <c r="L4" s="11">
        <v>1</v>
      </c>
      <c r="M4" s="2"/>
      <c r="N4" s="11">
        <v>1</v>
      </c>
      <c r="O4" s="11">
        <v>1</v>
      </c>
      <c r="P4" s="11"/>
      <c r="Q4" s="11">
        <v>1</v>
      </c>
      <c r="R4" s="2"/>
      <c r="S4" s="11">
        <v>1</v>
      </c>
      <c r="T4" s="2"/>
      <c r="U4" s="11">
        <v>1</v>
      </c>
      <c r="V4" s="11">
        <v>1</v>
      </c>
      <c r="W4" s="11">
        <v>1</v>
      </c>
      <c r="X4" s="11"/>
      <c r="Y4" s="2"/>
      <c r="Z4" s="11"/>
      <c r="AA4" s="12"/>
      <c r="AB4" s="9">
        <v>1</v>
      </c>
      <c r="AC4" s="9">
        <v>1</v>
      </c>
      <c r="AD4" s="9"/>
      <c r="AE4" s="9">
        <v>1</v>
      </c>
      <c r="AF4" s="12"/>
      <c r="AG4" s="9">
        <v>1</v>
      </c>
      <c r="AH4" s="13">
        <f t="shared" ref="AH4:AH35" si="0">COUNTA(C4:AG4)</f>
        <v>17</v>
      </c>
      <c r="AI4" s="14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15" t="str">
        <f t="shared" ref="AJ4:AJ35" si="1">B4</f>
        <v>阿發</v>
      </c>
      <c r="AK4" s="16">
        <v>45059</v>
      </c>
    </row>
    <row r="5" spans="1:37" ht="18" customHeight="1">
      <c r="A5" s="9" t="s">
        <v>174</v>
      </c>
      <c r="B5" s="10" t="s">
        <v>13</v>
      </c>
      <c r="C5" s="11"/>
      <c r="D5" s="2"/>
      <c r="E5" s="11">
        <v>1</v>
      </c>
      <c r="F5" s="2"/>
      <c r="G5" s="11">
        <v>1</v>
      </c>
      <c r="H5" s="11"/>
      <c r="I5" s="11"/>
      <c r="J5" s="11">
        <v>1</v>
      </c>
      <c r="K5" s="2"/>
      <c r="L5" s="11">
        <v>1</v>
      </c>
      <c r="M5" s="2"/>
      <c r="N5" s="11">
        <v>1</v>
      </c>
      <c r="O5" s="11"/>
      <c r="P5" s="11"/>
      <c r="Q5" s="11">
        <v>1</v>
      </c>
      <c r="R5" s="2"/>
      <c r="S5" s="11">
        <v>1</v>
      </c>
      <c r="T5" s="2"/>
      <c r="U5" s="11">
        <v>1</v>
      </c>
      <c r="V5" s="11">
        <v>1</v>
      </c>
      <c r="W5" s="11"/>
      <c r="X5" s="11">
        <v>1</v>
      </c>
      <c r="Y5" s="2"/>
      <c r="Z5" s="11">
        <v>1</v>
      </c>
      <c r="AA5" s="12"/>
      <c r="AB5" s="9">
        <v>1</v>
      </c>
      <c r="AC5" s="9">
        <v>1</v>
      </c>
      <c r="AD5" s="9"/>
      <c r="AE5" s="9">
        <v>1</v>
      </c>
      <c r="AF5" s="12"/>
      <c r="AG5" s="9">
        <v>1</v>
      </c>
      <c r="AH5" s="13">
        <f t="shared" si="0"/>
        <v>15</v>
      </c>
      <c r="AI5" s="14" t="e">
        <f ca="1">IF(A5="O", (VALUE(_xludf.IFS(AH5=0,"0",AH5=1,"150",AH5=2,"300",AH5=3,"450",AH5=4,"600",AH5=5,"750",AH5&gt;=6,"800"))),(VALUE(_xludf.IFS(AH5=0,"0",AH5=1,"150",AH5=2,"300",AH5=3,"450",AH5=4,"600",AH5=5,"750",AH5=6,"900",AH5&gt;=7,"1,000"))))</f>
        <v>#NAME?</v>
      </c>
      <c r="AJ5" s="15" t="str">
        <f t="shared" si="1"/>
        <v>李洋</v>
      </c>
      <c r="AK5" s="16">
        <v>45059</v>
      </c>
    </row>
    <row r="6" spans="1:37" ht="18" customHeight="1">
      <c r="A6" s="9" t="s">
        <v>174</v>
      </c>
      <c r="B6" s="10" t="s">
        <v>11</v>
      </c>
      <c r="C6" s="11"/>
      <c r="D6" s="2"/>
      <c r="E6" s="11">
        <v>1</v>
      </c>
      <c r="F6" s="2"/>
      <c r="G6" s="11">
        <v>1</v>
      </c>
      <c r="H6" s="11">
        <v>1</v>
      </c>
      <c r="I6" s="11"/>
      <c r="J6" s="11">
        <v>1</v>
      </c>
      <c r="K6" s="2"/>
      <c r="L6" s="11">
        <v>1</v>
      </c>
      <c r="M6" s="2"/>
      <c r="N6" s="11">
        <v>1</v>
      </c>
      <c r="O6" s="11">
        <v>1</v>
      </c>
      <c r="P6" s="11"/>
      <c r="Q6" s="11">
        <v>1</v>
      </c>
      <c r="R6" s="2"/>
      <c r="S6" s="11">
        <v>1</v>
      </c>
      <c r="T6" s="2"/>
      <c r="U6" s="11">
        <v>1</v>
      </c>
      <c r="V6" s="11">
        <v>1</v>
      </c>
      <c r="W6" s="11"/>
      <c r="X6" s="11">
        <v>1</v>
      </c>
      <c r="Y6" s="2"/>
      <c r="Z6" s="11"/>
      <c r="AA6" s="12"/>
      <c r="AB6" s="9">
        <v>1</v>
      </c>
      <c r="AC6" s="9"/>
      <c r="AD6" s="9"/>
      <c r="AE6" s="9">
        <v>1</v>
      </c>
      <c r="AF6" s="12"/>
      <c r="AG6" s="9">
        <v>1</v>
      </c>
      <c r="AH6" s="13">
        <f t="shared" si="0"/>
        <v>15</v>
      </c>
      <c r="AI6" s="14" t="e">
        <f ca="1">IF(A6="O", (VALUE(_xludf.IFS(AH6=0,"0",AH6=1,"150",AH6=2,"300",AH6=3,"450",AH6=4,"600",AH6=5,"750",AH6&gt;=6,"800"))),(VALUE(_xludf.IFS(AH6=0,"0",AH6=1,"150",AH6=2,"300",AH6=3,"450",AH6=4,"600",AH6=5,"750",AH6=6,"900",AH6&gt;=7,"1,000"))))</f>
        <v>#NAME?</v>
      </c>
      <c r="AJ6" s="15" t="str">
        <f t="shared" si="1"/>
        <v>捷升</v>
      </c>
      <c r="AK6" s="16">
        <v>45059</v>
      </c>
    </row>
    <row r="7" spans="1:37" ht="18" customHeight="1">
      <c r="A7" s="9" t="s">
        <v>174</v>
      </c>
      <c r="B7" s="10" t="s">
        <v>19</v>
      </c>
      <c r="C7" s="11">
        <v>1</v>
      </c>
      <c r="D7" s="2"/>
      <c r="E7" s="11">
        <v>1</v>
      </c>
      <c r="F7" s="2"/>
      <c r="G7" s="11">
        <v>1</v>
      </c>
      <c r="H7" s="11">
        <v>1</v>
      </c>
      <c r="I7" s="11"/>
      <c r="J7" s="11">
        <v>1</v>
      </c>
      <c r="K7" s="2"/>
      <c r="L7" s="11">
        <v>1</v>
      </c>
      <c r="M7" s="2"/>
      <c r="N7" s="11">
        <v>1</v>
      </c>
      <c r="O7" s="11">
        <v>1</v>
      </c>
      <c r="P7" s="11"/>
      <c r="Q7" s="11">
        <v>1</v>
      </c>
      <c r="R7" s="2"/>
      <c r="S7" s="11">
        <v>1</v>
      </c>
      <c r="T7" s="2"/>
      <c r="U7" s="11"/>
      <c r="V7" s="11">
        <v>1</v>
      </c>
      <c r="W7" s="11">
        <v>1</v>
      </c>
      <c r="X7" s="11">
        <v>1</v>
      </c>
      <c r="Y7" s="2"/>
      <c r="Z7" s="11"/>
      <c r="AA7" s="12"/>
      <c r="AB7" s="9">
        <v>1</v>
      </c>
      <c r="AC7" s="9">
        <v>1</v>
      </c>
      <c r="AD7" s="9"/>
      <c r="AE7" s="9">
        <v>1</v>
      </c>
      <c r="AF7" s="12"/>
      <c r="AG7" s="9">
        <v>1</v>
      </c>
      <c r="AH7" s="13">
        <f t="shared" si="0"/>
        <v>17</v>
      </c>
      <c r="AI7" s="14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15" t="str">
        <f t="shared" si="1"/>
        <v>青蛙</v>
      </c>
      <c r="AK7" s="16">
        <v>45059</v>
      </c>
    </row>
    <row r="8" spans="1:37" ht="18" customHeight="1">
      <c r="A8" s="9" t="s">
        <v>174</v>
      </c>
      <c r="B8" s="10" t="s">
        <v>14</v>
      </c>
      <c r="C8" s="11"/>
      <c r="D8" s="2"/>
      <c r="E8" s="11">
        <v>1</v>
      </c>
      <c r="F8" s="2"/>
      <c r="G8" s="11">
        <v>1</v>
      </c>
      <c r="H8" s="11">
        <v>1</v>
      </c>
      <c r="I8" s="11"/>
      <c r="J8" s="11">
        <v>1</v>
      </c>
      <c r="K8" s="2"/>
      <c r="L8" s="11">
        <v>1</v>
      </c>
      <c r="M8" s="2"/>
      <c r="N8" s="11">
        <v>1</v>
      </c>
      <c r="O8" s="11">
        <v>1</v>
      </c>
      <c r="P8" s="11">
        <v>1</v>
      </c>
      <c r="Q8" s="11">
        <v>1</v>
      </c>
      <c r="R8" s="2"/>
      <c r="S8" s="11">
        <v>1</v>
      </c>
      <c r="T8" s="2"/>
      <c r="U8" s="11">
        <v>1</v>
      </c>
      <c r="V8" s="11">
        <v>1</v>
      </c>
      <c r="W8" s="11">
        <v>1</v>
      </c>
      <c r="X8" s="11">
        <v>1</v>
      </c>
      <c r="Y8" s="2"/>
      <c r="Z8" s="11">
        <v>1</v>
      </c>
      <c r="AA8" s="12"/>
      <c r="AB8" s="9"/>
      <c r="AC8" s="9">
        <v>1</v>
      </c>
      <c r="AD8" s="9"/>
      <c r="AE8" s="9">
        <v>1</v>
      </c>
      <c r="AF8" s="12"/>
      <c r="AG8" s="9"/>
      <c r="AH8" s="13">
        <f t="shared" si="0"/>
        <v>17</v>
      </c>
      <c r="AI8" s="14" t="e">
        <f ca="1">IF(A8="O", (VALUE(_xludf.IFS(AH8=0,"0",AH8=1,"150",AH8=2,"300",AH8=3,"450",AH8=4,"600",AH8=5,"750",AH8&gt;=6,"800"))),(VALUE(_xludf.IFS(AH8=0,"0",AH8=1,"150",AH8=2,"300",AH8=3,"450",AH8=4,"600",AH8=5,"750",AH8=6,"900",AH8&gt;=7,"1,000"))))</f>
        <v>#NAME?</v>
      </c>
      <c r="AJ8" s="15" t="str">
        <f t="shared" si="1"/>
        <v>曉明</v>
      </c>
      <c r="AK8" s="16">
        <v>45059</v>
      </c>
    </row>
    <row r="9" spans="1:37" ht="18" customHeight="1">
      <c r="A9" s="9" t="s">
        <v>174</v>
      </c>
      <c r="B9" s="10" t="s">
        <v>18</v>
      </c>
      <c r="C9" s="11"/>
      <c r="D9" s="2"/>
      <c r="E9" s="11">
        <v>1</v>
      </c>
      <c r="F9" s="2"/>
      <c r="G9" s="11">
        <v>1</v>
      </c>
      <c r="H9" s="11">
        <v>1</v>
      </c>
      <c r="I9" s="11"/>
      <c r="J9" s="11">
        <v>1</v>
      </c>
      <c r="K9" s="2"/>
      <c r="L9" s="11">
        <v>1</v>
      </c>
      <c r="M9" s="2"/>
      <c r="N9" s="11">
        <v>1</v>
      </c>
      <c r="O9" s="11">
        <v>1</v>
      </c>
      <c r="P9" s="11"/>
      <c r="Q9" s="11"/>
      <c r="R9" s="2"/>
      <c r="S9" s="11">
        <v>1</v>
      </c>
      <c r="T9" s="2"/>
      <c r="U9" s="11">
        <v>1</v>
      </c>
      <c r="V9" s="11">
        <v>1</v>
      </c>
      <c r="W9" s="11"/>
      <c r="X9" s="11"/>
      <c r="Y9" s="2"/>
      <c r="Z9" s="11">
        <v>1</v>
      </c>
      <c r="AA9" s="12"/>
      <c r="AB9" s="9">
        <v>1</v>
      </c>
      <c r="AC9" s="9">
        <v>1</v>
      </c>
      <c r="AD9" s="9"/>
      <c r="AE9" s="9">
        <v>1</v>
      </c>
      <c r="AF9" s="12"/>
      <c r="AG9" s="9">
        <v>1</v>
      </c>
      <c r="AH9" s="13">
        <f t="shared" si="0"/>
        <v>15</v>
      </c>
      <c r="AI9" s="14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15" t="str">
        <f t="shared" si="1"/>
        <v>皓元</v>
      </c>
      <c r="AK9" s="16">
        <v>45059</v>
      </c>
    </row>
    <row r="10" spans="1:37" ht="18" customHeight="1">
      <c r="A10" s="9" t="s">
        <v>174</v>
      </c>
      <c r="B10" s="10" t="s">
        <v>21</v>
      </c>
      <c r="C10" s="11"/>
      <c r="D10" s="2"/>
      <c r="E10" s="11"/>
      <c r="F10" s="2"/>
      <c r="G10" s="11"/>
      <c r="H10" s="11"/>
      <c r="I10" s="11"/>
      <c r="J10" s="11"/>
      <c r="K10" s="2"/>
      <c r="L10" s="11"/>
      <c r="M10" s="2"/>
      <c r="N10" s="11"/>
      <c r="O10" s="11"/>
      <c r="P10" s="11"/>
      <c r="Q10" s="11"/>
      <c r="R10" s="2"/>
      <c r="S10" s="11"/>
      <c r="T10" s="2"/>
      <c r="U10" s="11"/>
      <c r="V10" s="11"/>
      <c r="W10" s="11"/>
      <c r="X10" s="11"/>
      <c r="Y10" s="2"/>
      <c r="Z10" s="11"/>
      <c r="AA10" s="12"/>
      <c r="AB10" s="9"/>
      <c r="AC10" s="9"/>
      <c r="AD10" s="9"/>
      <c r="AE10" s="9"/>
      <c r="AF10" s="12"/>
      <c r="AG10" s="9"/>
      <c r="AH10" s="13">
        <f t="shared" si="0"/>
        <v>0</v>
      </c>
      <c r="AI10" s="14" t="e">
        <f ca="1">IF(A10="O", (VALUE(_xludf.IFS(AH10=0,"0",AH10=1,"150",AH10=2,"300",AH10=3,"450",AH10=4,"600",AH10=5,"750",AH10&gt;=6,"800"))),(VALUE(_xludf.IFS(AH10=0,"0",AH10=1,"150",AH10=2,"300",AH10=3,"450",AH10=4,"600",AH10=5,"750",AH10=6,"900",AH10&gt;=7,"1,000"))))</f>
        <v>#NAME?</v>
      </c>
      <c r="AJ10" s="15" t="str">
        <f t="shared" si="1"/>
        <v>晧全</v>
      </c>
      <c r="AK10" s="17"/>
    </row>
    <row r="11" spans="1:37" ht="18" customHeight="1">
      <c r="A11" s="9" t="s">
        <v>174</v>
      </c>
      <c r="B11" s="10" t="s">
        <v>72</v>
      </c>
      <c r="C11" s="11"/>
      <c r="D11" s="2"/>
      <c r="E11" s="11">
        <v>1</v>
      </c>
      <c r="F11" s="2"/>
      <c r="G11" s="11"/>
      <c r="H11" s="11"/>
      <c r="I11" s="11"/>
      <c r="J11" s="11">
        <v>1</v>
      </c>
      <c r="K11" s="2"/>
      <c r="L11" s="11">
        <v>1</v>
      </c>
      <c r="M11" s="2"/>
      <c r="N11" s="11"/>
      <c r="O11" s="11"/>
      <c r="P11" s="11"/>
      <c r="Q11" s="11">
        <v>1</v>
      </c>
      <c r="R11" s="2"/>
      <c r="S11" s="11">
        <v>1</v>
      </c>
      <c r="T11" s="2"/>
      <c r="U11" s="11">
        <v>1</v>
      </c>
      <c r="V11" s="11"/>
      <c r="W11" s="11"/>
      <c r="X11" s="11">
        <v>1</v>
      </c>
      <c r="Y11" s="2"/>
      <c r="Z11" s="11">
        <v>1</v>
      </c>
      <c r="AA11" s="12"/>
      <c r="AB11" s="9">
        <v>1</v>
      </c>
      <c r="AC11" s="9"/>
      <c r="AD11" s="9"/>
      <c r="AE11" s="9">
        <v>1</v>
      </c>
      <c r="AF11" s="12"/>
      <c r="AG11" s="9"/>
      <c r="AH11" s="13">
        <f t="shared" si="0"/>
        <v>10</v>
      </c>
      <c r="AI11" s="14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15" t="str">
        <f t="shared" si="1"/>
        <v>八卦</v>
      </c>
      <c r="AK11" s="16">
        <v>45059</v>
      </c>
    </row>
    <row r="12" spans="1:37" ht="18" customHeight="1">
      <c r="A12" s="9" t="s">
        <v>174</v>
      </c>
      <c r="B12" s="10" t="s">
        <v>175</v>
      </c>
      <c r="C12" s="11"/>
      <c r="D12" s="2"/>
      <c r="E12" s="11">
        <v>1</v>
      </c>
      <c r="F12" s="2"/>
      <c r="G12" s="11">
        <v>1</v>
      </c>
      <c r="H12" s="11"/>
      <c r="I12" s="11"/>
      <c r="J12" s="11">
        <v>1</v>
      </c>
      <c r="K12" s="2"/>
      <c r="L12" s="11">
        <v>1</v>
      </c>
      <c r="M12" s="2"/>
      <c r="N12" s="11"/>
      <c r="O12" s="11">
        <v>1</v>
      </c>
      <c r="P12" s="11"/>
      <c r="Q12" s="11"/>
      <c r="R12" s="2"/>
      <c r="S12" s="11">
        <v>1</v>
      </c>
      <c r="T12" s="2"/>
      <c r="U12" s="11">
        <v>1</v>
      </c>
      <c r="V12" s="11">
        <v>1</v>
      </c>
      <c r="W12" s="11"/>
      <c r="X12" s="11"/>
      <c r="Y12" s="2"/>
      <c r="Z12" s="11">
        <v>1</v>
      </c>
      <c r="AA12" s="12"/>
      <c r="AB12" s="9">
        <v>1</v>
      </c>
      <c r="AC12" s="9"/>
      <c r="AD12" s="9"/>
      <c r="AE12" s="9"/>
      <c r="AF12" s="12"/>
      <c r="AG12" s="9">
        <v>1</v>
      </c>
      <c r="AH12" s="13">
        <f t="shared" si="0"/>
        <v>11</v>
      </c>
      <c r="AI12" s="14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15" t="str">
        <f t="shared" si="1"/>
        <v>咪咪</v>
      </c>
      <c r="AK12" s="16">
        <v>45059</v>
      </c>
    </row>
    <row r="13" spans="1:37" ht="18" customHeight="1">
      <c r="A13" s="9" t="s">
        <v>174</v>
      </c>
      <c r="B13" s="10" t="s">
        <v>17</v>
      </c>
      <c r="C13" s="11"/>
      <c r="D13" s="2"/>
      <c r="E13" s="11"/>
      <c r="F13" s="2"/>
      <c r="G13" s="11"/>
      <c r="H13" s="11"/>
      <c r="I13" s="11"/>
      <c r="J13" s="11"/>
      <c r="K13" s="2"/>
      <c r="L13" s="11"/>
      <c r="M13" s="2"/>
      <c r="N13" s="11"/>
      <c r="O13" s="11"/>
      <c r="P13" s="11"/>
      <c r="Q13" s="11"/>
      <c r="R13" s="2"/>
      <c r="S13" s="11"/>
      <c r="T13" s="2"/>
      <c r="U13" s="11"/>
      <c r="V13" s="11"/>
      <c r="W13" s="11"/>
      <c r="X13" s="11"/>
      <c r="Y13" s="2"/>
      <c r="Z13" s="11"/>
      <c r="AA13" s="12"/>
      <c r="AB13" s="9"/>
      <c r="AC13" s="9"/>
      <c r="AD13" s="9"/>
      <c r="AE13" s="9"/>
      <c r="AF13" s="12"/>
      <c r="AG13" s="9"/>
      <c r="AH13" s="13">
        <f t="shared" si="0"/>
        <v>0</v>
      </c>
      <c r="AI13" s="14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15" t="str">
        <f t="shared" si="1"/>
        <v>光曜</v>
      </c>
      <c r="AK13" s="16"/>
    </row>
    <row r="14" spans="1:37" ht="18" customHeight="1">
      <c r="A14" s="9" t="s">
        <v>174</v>
      </c>
      <c r="B14" s="10" t="s">
        <v>15</v>
      </c>
      <c r="C14" s="11"/>
      <c r="D14" s="2"/>
      <c r="E14" s="11">
        <v>1</v>
      </c>
      <c r="F14" s="2"/>
      <c r="G14" s="11">
        <v>1</v>
      </c>
      <c r="H14" s="11"/>
      <c r="I14" s="11"/>
      <c r="J14" s="11">
        <v>1</v>
      </c>
      <c r="K14" s="2"/>
      <c r="L14" s="11">
        <v>1</v>
      </c>
      <c r="M14" s="2"/>
      <c r="N14" s="11">
        <v>1</v>
      </c>
      <c r="O14" s="11">
        <v>1</v>
      </c>
      <c r="P14" s="11">
        <v>1</v>
      </c>
      <c r="Q14" s="11">
        <v>1</v>
      </c>
      <c r="R14" s="2"/>
      <c r="S14" s="11">
        <v>1</v>
      </c>
      <c r="T14" s="2"/>
      <c r="U14" s="11">
        <v>1</v>
      </c>
      <c r="V14" s="11"/>
      <c r="W14" s="11"/>
      <c r="X14" s="11">
        <v>1</v>
      </c>
      <c r="Y14" s="2"/>
      <c r="Z14" s="11">
        <v>1</v>
      </c>
      <c r="AA14" s="12"/>
      <c r="AB14" s="9">
        <v>1</v>
      </c>
      <c r="AC14" s="9">
        <v>1</v>
      </c>
      <c r="AD14" s="9"/>
      <c r="AE14" s="9">
        <v>1</v>
      </c>
      <c r="AF14" s="12"/>
      <c r="AG14" s="9">
        <v>1</v>
      </c>
      <c r="AH14" s="13">
        <f t="shared" si="0"/>
        <v>16</v>
      </c>
      <c r="AI14" s="14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15" t="str">
        <f t="shared" si="1"/>
        <v>大支</v>
      </c>
      <c r="AK14" s="16">
        <v>45059</v>
      </c>
    </row>
    <row r="15" spans="1:37" ht="18" customHeight="1">
      <c r="A15" s="9" t="s">
        <v>174</v>
      </c>
      <c r="B15" s="10" t="s">
        <v>61</v>
      </c>
      <c r="C15" s="11"/>
      <c r="D15" s="2"/>
      <c r="E15" s="11">
        <v>1</v>
      </c>
      <c r="F15" s="2"/>
      <c r="G15" s="11">
        <v>1</v>
      </c>
      <c r="H15" s="11"/>
      <c r="I15" s="11"/>
      <c r="J15" s="11">
        <v>1</v>
      </c>
      <c r="K15" s="2"/>
      <c r="L15" s="11">
        <v>1</v>
      </c>
      <c r="M15" s="2"/>
      <c r="N15" s="11"/>
      <c r="O15" s="11">
        <v>1</v>
      </c>
      <c r="P15" s="11"/>
      <c r="Q15" s="11">
        <v>1</v>
      </c>
      <c r="R15" s="2"/>
      <c r="S15" s="11"/>
      <c r="T15" s="2"/>
      <c r="U15" s="11">
        <v>1</v>
      </c>
      <c r="V15" s="11"/>
      <c r="W15" s="11"/>
      <c r="X15" s="11"/>
      <c r="Y15" s="2"/>
      <c r="Z15" s="11"/>
      <c r="AA15" s="12"/>
      <c r="AB15" s="9">
        <v>1</v>
      </c>
      <c r="AC15" s="9"/>
      <c r="AD15" s="9"/>
      <c r="AE15" s="9"/>
      <c r="AF15" s="12"/>
      <c r="AG15" s="9">
        <v>1</v>
      </c>
      <c r="AH15" s="13">
        <f t="shared" si="0"/>
        <v>9</v>
      </c>
      <c r="AI15" s="14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15" t="str">
        <f t="shared" si="1"/>
        <v>韋融</v>
      </c>
      <c r="AK15" s="16"/>
    </row>
    <row r="16" spans="1:37" ht="18" customHeight="1">
      <c r="A16" s="9" t="s">
        <v>174</v>
      </c>
      <c r="B16" s="10" t="s">
        <v>20</v>
      </c>
      <c r="C16" s="11"/>
      <c r="D16" s="2"/>
      <c r="E16" s="11">
        <v>1</v>
      </c>
      <c r="F16" s="2"/>
      <c r="G16" s="11">
        <v>1</v>
      </c>
      <c r="H16" s="11">
        <v>1</v>
      </c>
      <c r="I16" s="11"/>
      <c r="J16" s="11"/>
      <c r="K16" s="2"/>
      <c r="L16" s="11">
        <v>1</v>
      </c>
      <c r="M16" s="2"/>
      <c r="N16" s="11">
        <v>1</v>
      </c>
      <c r="O16" s="11">
        <v>1</v>
      </c>
      <c r="P16" s="11"/>
      <c r="Q16" s="11">
        <v>1</v>
      </c>
      <c r="R16" s="2"/>
      <c r="S16" s="11">
        <v>1</v>
      </c>
      <c r="T16" s="2"/>
      <c r="U16" s="11"/>
      <c r="V16" s="11">
        <v>1</v>
      </c>
      <c r="W16" s="11"/>
      <c r="X16" s="11"/>
      <c r="Y16" s="2"/>
      <c r="Z16" s="11">
        <v>1</v>
      </c>
      <c r="AA16" s="12"/>
      <c r="AB16" s="9">
        <v>1</v>
      </c>
      <c r="AC16" s="9">
        <v>1</v>
      </c>
      <c r="AD16" s="9"/>
      <c r="AE16" s="9">
        <v>1</v>
      </c>
      <c r="AF16" s="12"/>
      <c r="AG16" s="9">
        <v>1</v>
      </c>
      <c r="AH16" s="13">
        <f t="shared" si="0"/>
        <v>14</v>
      </c>
      <c r="AI16" s="14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15" t="str">
        <f t="shared" si="1"/>
        <v>港弟</v>
      </c>
      <c r="AK16" s="16">
        <v>45059</v>
      </c>
    </row>
    <row r="17" spans="1:37" ht="18" customHeight="1">
      <c r="A17" s="9" t="s">
        <v>174</v>
      </c>
      <c r="B17" s="10" t="s">
        <v>16</v>
      </c>
      <c r="C17" s="11"/>
      <c r="D17" s="2"/>
      <c r="E17" s="11">
        <v>1</v>
      </c>
      <c r="F17" s="2"/>
      <c r="G17" s="11">
        <v>1</v>
      </c>
      <c r="H17" s="11"/>
      <c r="I17" s="11"/>
      <c r="J17" s="11">
        <v>1</v>
      </c>
      <c r="K17" s="2"/>
      <c r="L17" s="11">
        <v>1</v>
      </c>
      <c r="M17" s="2"/>
      <c r="N17" s="11">
        <v>1</v>
      </c>
      <c r="O17" s="11"/>
      <c r="P17" s="11">
        <v>1</v>
      </c>
      <c r="Q17" s="11">
        <v>1</v>
      </c>
      <c r="R17" s="2"/>
      <c r="S17" s="11">
        <v>1</v>
      </c>
      <c r="T17" s="2"/>
      <c r="U17" s="11">
        <v>1</v>
      </c>
      <c r="V17" s="11">
        <v>1</v>
      </c>
      <c r="W17" s="11"/>
      <c r="X17" s="11">
        <v>1</v>
      </c>
      <c r="Y17" s="2"/>
      <c r="Z17" s="11">
        <v>1</v>
      </c>
      <c r="AA17" s="12"/>
      <c r="AB17" s="9">
        <v>1</v>
      </c>
      <c r="AC17" s="9">
        <v>1</v>
      </c>
      <c r="AD17" s="9"/>
      <c r="AE17" s="9">
        <v>1</v>
      </c>
      <c r="AF17" s="12"/>
      <c r="AG17" s="9"/>
      <c r="AH17" s="13">
        <f t="shared" si="0"/>
        <v>15</v>
      </c>
      <c r="AI17" s="14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15" t="str">
        <f t="shared" si="1"/>
        <v>弼善</v>
      </c>
      <c r="AK17" s="16">
        <v>45059</v>
      </c>
    </row>
    <row r="18" spans="1:37" ht="18" customHeight="1">
      <c r="A18" s="9" t="s">
        <v>174</v>
      </c>
      <c r="B18" s="10" t="s">
        <v>62</v>
      </c>
      <c r="C18" s="11"/>
      <c r="D18" s="2"/>
      <c r="E18" s="11">
        <v>1</v>
      </c>
      <c r="F18" s="2"/>
      <c r="G18" s="11"/>
      <c r="H18" s="11"/>
      <c r="I18" s="11"/>
      <c r="J18" s="11"/>
      <c r="K18" s="2"/>
      <c r="L18" s="11"/>
      <c r="M18" s="2"/>
      <c r="N18" s="11"/>
      <c r="O18" s="11"/>
      <c r="P18" s="11"/>
      <c r="Q18" s="11">
        <v>1</v>
      </c>
      <c r="R18" s="2"/>
      <c r="S18" s="11">
        <v>1</v>
      </c>
      <c r="T18" s="2"/>
      <c r="U18" s="11"/>
      <c r="V18" s="11"/>
      <c r="W18" s="11"/>
      <c r="X18" s="11"/>
      <c r="Y18" s="2"/>
      <c r="Z18" s="11">
        <v>1</v>
      </c>
      <c r="AA18" s="12"/>
      <c r="AB18" s="9">
        <v>1</v>
      </c>
      <c r="AC18" s="9"/>
      <c r="AD18" s="9"/>
      <c r="AE18" s="9">
        <v>1</v>
      </c>
      <c r="AF18" s="12"/>
      <c r="AG18" s="9">
        <v>1</v>
      </c>
      <c r="AH18" s="13">
        <f t="shared" si="0"/>
        <v>7</v>
      </c>
      <c r="AI18" s="14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15" t="str">
        <f t="shared" si="1"/>
        <v>國源</v>
      </c>
      <c r="AK18" s="17"/>
    </row>
    <row r="19" spans="1:37" ht="18" customHeight="1">
      <c r="A19" s="18" t="s">
        <v>174</v>
      </c>
      <c r="B19" s="19" t="s">
        <v>89</v>
      </c>
      <c r="C19" s="20"/>
      <c r="D19" s="2"/>
      <c r="E19" s="20">
        <v>1</v>
      </c>
      <c r="F19" s="2"/>
      <c r="G19" s="20">
        <v>1</v>
      </c>
      <c r="H19" s="20">
        <v>1</v>
      </c>
      <c r="I19" s="20"/>
      <c r="J19" s="20"/>
      <c r="K19" s="2"/>
      <c r="L19" s="20">
        <v>1</v>
      </c>
      <c r="M19" s="2"/>
      <c r="N19" s="20"/>
      <c r="O19" s="20">
        <v>1</v>
      </c>
      <c r="P19" s="20"/>
      <c r="Q19" s="20">
        <v>1</v>
      </c>
      <c r="R19" s="2"/>
      <c r="S19" s="20"/>
      <c r="T19" s="2"/>
      <c r="U19" s="20">
        <v>1</v>
      </c>
      <c r="V19" s="20"/>
      <c r="W19" s="20">
        <v>1</v>
      </c>
      <c r="X19" s="20"/>
      <c r="Y19" s="2"/>
      <c r="Z19" s="20">
        <v>1</v>
      </c>
      <c r="AA19" s="12"/>
      <c r="AB19" s="18"/>
      <c r="AC19" s="18">
        <v>1</v>
      </c>
      <c r="AD19" s="18"/>
      <c r="AE19" s="18"/>
      <c r="AF19" s="12"/>
      <c r="AG19" s="18">
        <v>1</v>
      </c>
      <c r="AH19" s="21">
        <f t="shared" si="0"/>
        <v>11</v>
      </c>
      <c r="AI19" s="22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23" t="str">
        <f t="shared" si="1"/>
        <v>泡芙</v>
      </c>
      <c r="AK19" s="25">
        <v>45059</v>
      </c>
    </row>
    <row r="20" spans="1:37" ht="18" customHeight="1">
      <c r="A20" s="18" t="s">
        <v>174</v>
      </c>
      <c r="B20" s="19" t="s">
        <v>90</v>
      </c>
      <c r="C20" s="20"/>
      <c r="D20" s="2"/>
      <c r="E20" s="20">
        <v>1</v>
      </c>
      <c r="F20" s="2"/>
      <c r="G20" s="20">
        <v>1</v>
      </c>
      <c r="H20" s="20"/>
      <c r="I20" s="20"/>
      <c r="J20" s="20">
        <v>1</v>
      </c>
      <c r="K20" s="2"/>
      <c r="L20" s="20">
        <v>1</v>
      </c>
      <c r="M20" s="2"/>
      <c r="N20" s="20"/>
      <c r="O20" s="20"/>
      <c r="P20" s="20"/>
      <c r="Q20" s="20"/>
      <c r="R20" s="2"/>
      <c r="S20" s="20">
        <v>1</v>
      </c>
      <c r="T20" s="2"/>
      <c r="U20" s="20"/>
      <c r="V20" s="20"/>
      <c r="W20" s="20"/>
      <c r="X20" s="20">
        <v>1</v>
      </c>
      <c r="Y20" s="2"/>
      <c r="Z20" s="20">
        <v>1</v>
      </c>
      <c r="AA20" s="12"/>
      <c r="AB20" s="18"/>
      <c r="AC20" s="18"/>
      <c r="AD20" s="18"/>
      <c r="AE20" s="18">
        <v>1</v>
      </c>
      <c r="AF20" s="12"/>
      <c r="AG20" s="18">
        <v>1</v>
      </c>
      <c r="AH20" s="21">
        <f t="shared" si="0"/>
        <v>9</v>
      </c>
      <c r="AI20" s="22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23" t="str">
        <f t="shared" si="1"/>
        <v>蓓蓓</v>
      </c>
      <c r="AK20" s="24"/>
    </row>
    <row r="21" spans="1:37" ht="18" customHeight="1">
      <c r="A21" s="18" t="s">
        <v>174</v>
      </c>
      <c r="B21" s="19" t="s">
        <v>150</v>
      </c>
      <c r="C21" s="20"/>
      <c r="D21" s="2"/>
      <c r="E21" s="20">
        <v>1</v>
      </c>
      <c r="F21" s="2"/>
      <c r="G21" s="20">
        <v>1</v>
      </c>
      <c r="H21" s="20"/>
      <c r="I21" s="20"/>
      <c r="J21" s="20">
        <v>1</v>
      </c>
      <c r="K21" s="2"/>
      <c r="L21" s="20">
        <v>1</v>
      </c>
      <c r="M21" s="2"/>
      <c r="N21" s="20"/>
      <c r="O21" s="20"/>
      <c r="P21" s="20"/>
      <c r="Q21" s="20">
        <v>1</v>
      </c>
      <c r="R21" s="2"/>
      <c r="S21" s="20">
        <v>1</v>
      </c>
      <c r="T21" s="2"/>
      <c r="U21" s="20"/>
      <c r="V21" s="20">
        <v>1</v>
      </c>
      <c r="W21" s="20"/>
      <c r="X21" s="20">
        <v>1</v>
      </c>
      <c r="Y21" s="2"/>
      <c r="Z21" s="20">
        <v>1</v>
      </c>
      <c r="AA21" s="12"/>
      <c r="AB21" s="18"/>
      <c r="AC21" s="18">
        <v>1</v>
      </c>
      <c r="AD21" s="18"/>
      <c r="AE21" s="18">
        <v>1</v>
      </c>
      <c r="AF21" s="12"/>
      <c r="AG21" s="18">
        <v>1</v>
      </c>
      <c r="AH21" s="21">
        <f t="shared" si="0"/>
        <v>12</v>
      </c>
      <c r="AI21" s="22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23" t="str">
        <f t="shared" si="1"/>
        <v>高麗菜</v>
      </c>
      <c r="AK21" s="25">
        <v>45059</v>
      </c>
    </row>
    <row r="22" spans="1:37" ht="18" customHeight="1">
      <c r="A22" s="18" t="s">
        <v>174</v>
      </c>
      <c r="B22" s="19" t="s">
        <v>164</v>
      </c>
      <c r="C22" s="20"/>
      <c r="D22" s="2"/>
      <c r="E22" s="20">
        <v>1</v>
      </c>
      <c r="F22" s="2"/>
      <c r="G22" s="20"/>
      <c r="H22" s="20"/>
      <c r="I22" s="20"/>
      <c r="J22" s="20"/>
      <c r="K22" s="2"/>
      <c r="L22" s="20"/>
      <c r="M22" s="2"/>
      <c r="N22" s="20"/>
      <c r="O22" s="20"/>
      <c r="P22" s="20"/>
      <c r="Q22" s="20">
        <v>1</v>
      </c>
      <c r="R22" s="2"/>
      <c r="S22" s="20"/>
      <c r="T22" s="2"/>
      <c r="U22" s="20"/>
      <c r="V22" s="20"/>
      <c r="W22" s="20"/>
      <c r="X22" s="20"/>
      <c r="Y22" s="2"/>
      <c r="Z22" s="20"/>
      <c r="AA22" s="12"/>
      <c r="AB22" s="18"/>
      <c r="AC22" s="18"/>
      <c r="AD22" s="18"/>
      <c r="AE22" s="18"/>
      <c r="AF22" s="12"/>
      <c r="AG22" s="18"/>
      <c r="AH22" s="21">
        <f t="shared" si="0"/>
        <v>2</v>
      </c>
      <c r="AI22" s="22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23" t="str">
        <f t="shared" si="1"/>
        <v>小菜</v>
      </c>
      <c r="AK22" s="25"/>
    </row>
    <row r="23" spans="1:37" ht="18" customHeight="1">
      <c r="A23" s="18" t="s">
        <v>174</v>
      </c>
      <c r="B23" s="19" t="s">
        <v>94</v>
      </c>
      <c r="C23" s="20"/>
      <c r="D23" s="2"/>
      <c r="E23" s="20">
        <v>1</v>
      </c>
      <c r="F23" s="2"/>
      <c r="G23" s="20">
        <v>1</v>
      </c>
      <c r="H23" s="20"/>
      <c r="I23" s="20"/>
      <c r="J23" s="20">
        <v>1</v>
      </c>
      <c r="K23" s="2"/>
      <c r="L23" s="20">
        <v>1</v>
      </c>
      <c r="M23" s="2">
        <v>1</v>
      </c>
      <c r="N23" s="20"/>
      <c r="O23" s="20"/>
      <c r="P23" s="20">
        <v>1</v>
      </c>
      <c r="Q23" s="20"/>
      <c r="R23" s="2"/>
      <c r="S23" s="20">
        <v>1</v>
      </c>
      <c r="T23" s="2"/>
      <c r="U23" s="20">
        <v>1</v>
      </c>
      <c r="V23" s="20">
        <v>1</v>
      </c>
      <c r="W23" s="20"/>
      <c r="X23" s="20">
        <v>1</v>
      </c>
      <c r="Y23" s="2"/>
      <c r="Z23" s="20">
        <v>1</v>
      </c>
      <c r="AA23" s="12"/>
      <c r="AB23" s="18">
        <v>1</v>
      </c>
      <c r="AC23" s="18">
        <v>1</v>
      </c>
      <c r="AD23" s="18"/>
      <c r="AE23" s="18">
        <v>1</v>
      </c>
      <c r="AF23" s="12"/>
      <c r="AG23" s="18">
        <v>1</v>
      </c>
      <c r="AH23" s="21">
        <f t="shared" si="0"/>
        <v>15</v>
      </c>
      <c r="AI23" s="22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23" t="str">
        <f t="shared" si="1"/>
        <v>小花</v>
      </c>
      <c r="AK23" s="25">
        <v>45059</v>
      </c>
    </row>
    <row r="24" spans="1:37" ht="18" customHeight="1">
      <c r="A24" s="18" t="s">
        <v>174</v>
      </c>
      <c r="B24" s="19" t="s">
        <v>102</v>
      </c>
      <c r="C24" s="20"/>
      <c r="D24" s="2"/>
      <c r="E24" s="20">
        <v>1</v>
      </c>
      <c r="F24" s="2"/>
      <c r="G24" s="20"/>
      <c r="H24" s="20"/>
      <c r="I24" s="20"/>
      <c r="J24" s="20"/>
      <c r="K24" s="2"/>
      <c r="L24" s="20"/>
      <c r="M24" s="2"/>
      <c r="N24" s="20"/>
      <c r="O24" s="20"/>
      <c r="P24" s="20"/>
      <c r="Q24" s="20"/>
      <c r="R24" s="2"/>
      <c r="S24" s="20"/>
      <c r="T24" s="2"/>
      <c r="U24" s="20"/>
      <c r="V24" s="20"/>
      <c r="W24" s="20"/>
      <c r="X24" s="20"/>
      <c r="Y24" s="2"/>
      <c r="Z24" s="20"/>
      <c r="AA24" s="12"/>
      <c r="AB24" s="18"/>
      <c r="AC24" s="18"/>
      <c r="AD24" s="18"/>
      <c r="AE24" s="18"/>
      <c r="AF24" s="12"/>
      <c r="AG24" s="18"/>
      <c r="AH24" s="21">
        <f t="shared" si="0"/>
        <v>1</v>
      </c>
      <c r="AI24" s="22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23" t="str">
        <f t="shared" si="1"/>
        <v>妮妮</v>
      </c>
      <c r="AK24" s="24"/>
    </row>
    <row r="25" spans="1:37" ht="18" customHeight="1">
      <c r="A25" s="18" t="s">
        <v>174</v>
      </c>
      <c r="B25" s="19" t="s">
        <v>165</v>
      </c>
      <c r="C25" s="20"/>
      <c r="D25" s="2"/>
      <c r="E25" s="20">
        <v>1</v>
      </c>
      <c r="F25" s="2"/>
      <c r="G25" s="20">
        <v>1</v>
      </c>
      <c r="H25" s="20"/>
      <c r="I25" s="20"/>
      <c r="J25" s="20">
        <v>1</v>
      </c>
      <c r="K25" s="2"/>
      <c r="L25" s="20">
        <v>1</v>
      </c>
      <c r="M25" s="2"/>
      <c r="N25" s="20"/>
      <c r="O25" s="20"/>
      <c r="P25" s="20"/>
      <c r="Q25" s="20">
        <v>1</v>
      </c>
      <c r="R25" s="2"/>
      <c r="S25" s="20">
        <v>1</v>
      </c>
      <c r="T25" s="2"/>
      <c r="U25" s="20">
        <v>1</v>
      </c>
      <c r="V25" s="20"/>
      <c r="W25" s="20"/>
      <c r="X25" s="20">
        <v>1</v>
      </c>
      <c r="Y25" s="2"/>
      <c r="Z25" s="20">
        <v>1</v>
      </c>
      <c r="AA25" s="12"/>
      <c r="AB25" s="18">
        <v>1</v>
      </c>
      <c r="AC25" s="18"/>
      <c r="AD25" s="18"/>
      <c r="AE25" s="18">
        <v>1</v>
      </c>
      <c r="AF25" s="12"/>
      <c r="AG25" s="18"/>
      <c r="AH25" s="21">
        <f t="shared" si="0"/>
        <v>11</v>
      </c>
      <c r="AI25" s="22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23" t="str">
        <f t="shared" si="1"/>
        <v>小貓</v>
      </c>
      <c r="AK25" s="25">
        <v>45059</v>
      </c>
    </row>
    <row r="26" spans="1:37" ht="18" customHeight="1">
      <c r="A26" s="18" t="s">
        <v>174</v>
      </c>
      <c r="B26" s="19" t="s">
        <v>166</v>
      </c>
      <c r="C26" s="20"/>
      <c r="D26" s="2"/>
      <c r="E26" s="20"/>
      <c r="F26" s="2"/>
      <c r="G26" s="20"/>
      <c r="H26" s="20"/>
      <c r="I26" s="20"/>
      <c r="J26" s="20"/>
      <c r="K26" s="2"/>
      <c r="L26" s="20"/>
      <c r="M26" s="2"/>
      <c r="N26" s="20">
        <v>1</v>
      </c>
      <c r="O26" s="20"/>
      <c r="P26" s="20"/>
      <c r="Q26" s="20"/>
      <c r="R26" s="2"/>
      <c r="S26" s="20"/>
      <c r="T26" s="2"/>
      <c r="U26" s="20"/>
      <c r="V26" s="20"/>
      <c r="W26" s="20"/>
      <c r="X26" s="20"/>
      <c r="Y26" s="2"/>
      <c r="Z26" s="20"/>
      <c r="AA26" s="12"/>
      <c r="AB26" s="18"/>
      <c r="AC26" s="18"/>
      <c r="AD26" s="18"/>
      <c r="AE26" s="18"/>
      <c r="AF26" s="12"/>
      <c r="AG26" s="18"/>
      <c r="AH26" s="21">
        <f t="shared" si="0"/>
        <v>1</v>
      </c>
      <c r="AI26" s="22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23" t="str">
        <f t="shared" si="1"/>
        <v>哈比</v>
      </c>
      <c r="AK26" s="24"/>
    </row>
    <row r="27" spans="1:37" ht="18" customHeight="1">
      <c r="A27" s="18" t="s">
        <v>174</v>
      </c>
      <c r="B27" s="19" t="s">
        <v>91</v>
      </c>
      <c r="C27" s="20"/>
      <c r="D27" s="2"/>
      <c r="E27" s="20"/>
      <c r="F27" s="2"/>
      <c r="G27" s="20"/>
      <c r="H27" s="20"/>
      <c r="I27" s="20"/>
      <c r="J27" s="20">
        <v>1</v>
      </c>
      <c r="K27" s="2"/>
      <c r="L27" s="20">
        <v>1</v>
      </c>
      <c r="M27" s="2"/>
      <c r="N27" s="20">
        <v>1</v>
      </c>
      <c r="O27" s="20">
        <v>1</v>
      </c>
      <c r="P27" s="20"/>
      <c r="Q27" s="20">
        <v>1</v>
      </c>
      <c r="R27" s="2"/>
      <c r="S27" s="20"/>
      <c r="T27" s="2"/>
      <c r="U27" s="20">
        <v>1</v>
      </c>
      <c r="V27" s="20">
        <v>1</v>
      </c>
      <c r="W27" s="20">
        <v>1</v>
      </c>
      <c r="X27" s="20">
        <v>1</v>
      </c>
      <c r="Y27" s="2"/>
      <c r="Z27" s="20"/>
      <c r="AA27" s="12"/>
      <c r="AB27" s="18"/>
      <c r="AC27" s="18"/>
      <c r="AD27" s="18"/>
      <c r="AE27" s="18"/>
      <c r="AF27" s="12"/>
      <c r="AG27" s="18">
        <v>1</v>
      </c>
      <c r="AH27" s="21">
        <f t="shared" si="0"/>
        <v>10</v>
      </c>
      <c r="AI27" s="22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23" t="str">
        <f t="shared" si="1"/>
        <v>柔柔</v>
      </c>
      <c r="AK27" s="25">
        <v>45059</v>
      </c>
    </row>
    <row r="28" spans="1:37" ht="18" customHeight="1">
      <c r="A28" s="18" t="s">
        <v>174</v>
      </c>
      <c r="B28" s="19" t="s">
        <v>176</v>
      </c>
      <c r="C28" s="20"/>
      <c r="D28" s="2"/>
      <c r="E28" s="20">
        <v>1</v>
      </c>
      <c r="F28" s="2"/>
      <c r="G28" s="20">
        <v>1</v>
      </c>
      <c r="H28" s="20"/>
      <c r="I28" s="20"/>
      <c r="J28" s="20">
        <v>1</v>
      </c>
      <c r="K28" s="2"/>
      <c r="L28" s="20">
        <v>1</v>
      </c>
      <c r="M28" s="2"/>
      <c r="N28" s="20"/>
      <c r="O28" s="20"/>
      <c r="P28" s="20"/>
      <c r="Q28" s="20">
        <v>1</v>
      </c>
      <c r="R28" s="2"/>
      <c r="S28" s="20"/>
      <c r="T28" s="2"/>
      <c r="U28" s="20">
        <v>1</v>
      </c>
      <c r="V28" s="20"/>
      <c r="W28" s="20"/>
      <c r="X28" s="20"/>
      <c r="Y28" s="2"/>
      <c r="Z28" s="20"/>
      <c r="AA28" s="12"/>
      <c r="AB28" s="18">
        <v>1</v>
      </c>
      <c r="AC28" s="18"/>
      <c r="AD28" s="18"/>
      <c r="AE28" s="18"/>
      <c r="AF28" s="12"/>
      <c r="AG28" s="18">
        <v>1</v>
      </c>
      <c r="AH28" s="21">
        <f t="shared" si="0"/>
        <v>8</v>
      </c>
      <c r="AI28" s="22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23" t="str">
        <f t="shared" si="1"/>
        <v>芮芮</v>
      </c>
      <c r="AK28" s="25"/>
    </row>
    <row r="29" spans="1:37" ht="18" customHeight="1">
      <c r="A29" s="18" t="s">
        <v>174</v>
      </c>
      <c r="B29" s="19" t="s">
        <v>123</v>
      </c>
      <c r="C29" s="20"/>
      <c r="D29" s="2"/>
      <c r="E29" s="20">
        <v>1</v>
      </c>
      <c r="F29" s="2"/>
      <c r="G29" s="20">
        <v>1</v>
      </c>
      <c r="H29" s="20"/>
      <c r="I29" s="20"/>
      <c r="J29" s="20"/>
      <c r="K29" s="2"/>
      <c r="L29" s="20">
        <v>1</v>
      </c>
      <c r="M29" s="2"/>
      <c r="N29" s="20"/>
      <c r="O29" s="20"/>
      <c r="P29" s="20"/>
      <c r="Q29" s="20"/>
      <c r="R29" s="2"/>
      <c r="S29" s="20"/>
      <c r="T29" s="2"/>
      <c r="U29" s="20"/>
      <c r="V29" s="20"/>
      <c r="W29" s="20"/>
      <c r="X29" s="20"/>
      <c r="Y29" s="2"/>
      <c r="Z29" s="20"/>
      <c r="AA29" s="12"/>
      <c r="AB29" s="18"/>
      <c r="AC29" s="18"/>
      <c r="AD29" s="18"/>
      <c r="AE29" s="18"/>
      <c r="AF29" s="12"/>
      <c r="AG29" s="18"/>
      <c r="AH29" s="21">
        <f t="shared" si="0"/>
        <v>3</v>
      </c>
      <c r="AI29" s="22">
        <v>800</v>
      </c>
      <c r="AJ29" s="23" t="str">
        <f t="shared" si="1"/>
        <v>瑤瑤</v>
      </c>
      <c r="AK29" s="25">
        <v>45059</v>
      </c>
    </row>
    <row r="30" spans="1:37" ht="18" customHeight="1">
      <c r="A30" s="18" t="s">
        <v>174</v>
      </c>
      <c r="B30" s="19" t="s">
        <v>147</v>
      </c>
      <c r="C30" s="20"/>
      <c r="D30" s="2"/>
      <c r="E30" s="20"/>
      <c r="F30" s="2"/>
      <c r="G30" s="20"/>
      <c r="H30" s="20">
        <v>1</v>
      </c>
      <c r="I30" s="20"/>
      <c r="J30" s="20"/>
      <c r="K30" s="2"/>
      <c r="L30" s="20"/>
      <c r="M30" s="2"/>
      <c r="N30" s="20"/>
      <c r="O30" s="20"/>
      <c r="P30" s="20"/>
      <c r="Q30" s="20"/>
      <c r="R30" s="2"/>
      <c r="S30" s="20"/>
      <c r="T30" s="2"/>
      <c r="U30" s="20"/>
      <c r="V30" s="20"/>
      <c r="W30" s="20"/>
      <c r="X30" s="20"/>
      <c r="Y30" s="2"/>
      <c r="Z30" s="20"/>
      <c r="AA30" s="12"/>
      <c r="AB30" s="18"/>
      <c r="AC30" s="18">
        <v>1</v>
      </c>
      <c r="AD30" s="18"/>
      <c r="AE30" s="18">
        <v>1</v>
      </c>
      <c r="AF30" s="12"/>
      <c r="AG30" s="18">
        <v>1</v>
      </c>
      <c r="AH30" s="21">
        <f t="shared" si="0"/>
        <v>4</v>
      </c>
      <c r="AI30" s="22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23" t="str">
        <f t="shared" si="1"/>
        <v>湘苡</v>
      </c>
      <c r="AK30" s="25"/>
    </row>
    <row r="31" spans="1:37" ht="18" customHeight="1">
      <c r="A31" s="18" t="s">
        <v>174</v>
      </c>
      <c r="B31" s="19" t="s">
        <v>93</v>
      </c>
      <c r="C31" s="20"/>
      <c r="D31" s="2"/>
      <c r="E31" s="20">
        <v>1</v>
      </c>
      <c r="F31" s="2"/>
      <c r="G31" s="20"/>
      <c r="H31" s="20"/>
      <c r="I31" s="20"/>
      <c r="J31" s="20">
        <v>1</v>
      </c>
      <c r="K31" s="2"/>
      <c r="L31" s="20">
        <v>1</v>
      </c>
      <c r="M31" s="2"/>
      <c r="N31" s="20">
        <v>1</v>
      </c>
      <c r="O31" s="20"/>
      <c r="P31" s="20"/>
      <c r="Q31" s="20">
        <v>1</v>
      </c>
      <c r="R31" s="2"/>
      <c r="S31" s="20"/>
      <c r="T31" s="2"/>
      <c r="U31" s="20">
        <v>1</v>
      </c>
      <c r="V31" s="20"/>
      <c r="W31" s="20"/>
      <c r="X31" s="20">
        <v>1</v>
      </c>
      <c r="Y31" s="2"/>
      <c r="Z31" s="20"/>
      <c r="AA31" s="12"/>
      <c r="AB31" s="18">
        <v>1</v>
      </c>
      <c r="AC31" s="18"/>
      <c r="AD31" s="18"/>
      <c r="AE31" s="18">
        <v>1</v>
      </c>
      <c r="AF31" s="12"/>
      <c r="AG31" s="18">
        <v>1</v>
      </c>
      <c r="AH31" s="21">
        <f t="shared" si="0"/>
        <v>10</v>
      </c>
      <c r="AI31" s="22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23" t="str">
        <f t="shared" si="1"/>
        <v>冠婷</v>
      </c>
      <c r="AK31" s="25">
        <v>45059</v>
      </c>
    </row>
    <row r="32" spans="1:37" ht="18" customHeight="1">
      <c r="A32" s="18" t="s">
        <v>174</v>
      </c>
      <c r="B32" s="19" t="s">
        <v>149</v>
      </c>
      <c r="C32" s="20"/>
      <c r="D32" s="2"/>
      <c r="E32" s="20">
        <v>1</v>
      </c>
      <c r="F32" s="2"/>
      <c r="G32" s="20">
        <v>1</v>
      </c>
      <c r="H32" s="20"/>
      <c r="I32" s="20"/>
      <c r="J32" s="20"/>
      <c r="K32" s="2"/>
      <c r="L32" s="20">
        <v>1</v>
      </c>
      <c r="M32" s="2"/>
      <c r="N32" s="20">
        <v>1</v>
      </c>
      <c r="O32" s="20">
        <v>1</v>
      </c>
      <c r="P32" s="20"/>
      <c r="Q32" s="20"/>
      <c r="R32" s="2"/>
      <c r="S32" s="20">
        <v>1</v>
      </c>
      <c r="T32" s="2"/>
      <c r="U32" s="20"/>
      <c r="V32" s="20"/>
      <c r="W32" s="20"/>
      <c r="X32" s="20"/>
      <c r="Y32" s="2"/>
      <c r="Z32" s="20"/>
      <c r="AA32" s="12"/>
      <c r="AB32" s="18"/>
      <c r="AC32" s="18"/>
      <c r="AD32" s="18"/>
      <c r="AE32" s="18"/>
      <c r="AF32" s="12"/>
      <c r="AG32" s="18"/>
      <c r="AH32" s="21">
        <f t="shared" si="0"/>
        <v>6</v>
      </c>
      <c r="AI32" s="22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23" t="str">
        <f t="shared" si="1"/>
        <v>晏寧</v>
      </c>
      <c r="AK32" s="25">
        <v>45059</v>
      </c>
    </row>
    <row r="33" spans="1:37" ht="18" customHeight="1">
      <c r="A33" s="18" t="s">
        <v>174</v>
      </c>
      <c r="B33" s="19" t="s">
        <v>146</v>
      </c>
      <c r="C33" s="20"/>
      <c r="D33" s="2"/>
      <c r="E33" s="20">
        <v>1</v>
      </c>
      <c r="F33" s="2"/>
      <c r="G33" s="20">
        <v>1</v>
      </c>
      <c r="H33" s="20"/>
      <c r="I33" s="20"/>
      <c r="J33" s="20"/>
      <c r="K33" s="2"/>
      <c r="L33" s="20"/>
      <c r="M33" s="2"/>
      <c r="N33" s="20">
        <v>1</v>
      </c>
      <c r="O33" s="20"/>
      <c r="P33" s="20"/>
      <c r="Q33" s="20">
        <v>1</v>
      </c>
      <c r="R33" s="2"/>
      <c r="S33" s="20"/>
      <c r="T33" s="2"/>
      <c r="U33" s="20">
        <v>1</v>
      </c>
      <c r="V33" s="20"/>
      <c r="W33" s="20"/>
      <c r="X33" s="20"/>
      <c r="Y33" s="2"/>
      <c r="Z33" s="20">
        <v>1</v>
      </c>
      <c r="AA33" s="12"/>
      <c r="AB33" s="18"/>
      <c r="AC33" s="18"/>
      <c r="AD33" s="18"/>
      <c r="AE33" s="18">
        <v>1</v>
      </c>
      <c r="AF33" s="12"/>
      <c r="AG33" s="18">
        <v>1</v>
      </c>
      <c r="AH33" s="21">
        <f t="shared" si="0"/>
        <v>8</v>
      </c>
      <c r="AI33" s="22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23" t="str">
        <f t="shared" si="1"/>
        <v>飛飛</v>
      </c>
      <c r="AK33" s="24"/>
    </row>
    <row r="34" spans="1:37" ht="18" customHeight="1">
      <c r="A34" s="26" t="s">
        <v>174</v>
      </c>
      <c r="B34" s="27" t="s">
        <v>116</v>
      </c>
      <c r="C34" s="28"/>
      <c r="D34" s="2"/>
      <c r="E34" s="28"/>
      <c r="F34" s="2"/>
      <c r="G34" s="28"/>
      <c r="H34" s="28"/>
      <c r="I34" s="28"/>
      <c r="J34" s="28"/>
      <c r="K34" s="2"/>
      <c r="L34" s="28"/>
      <c r="M34" s="2"/>
      <c r="N34" s="28"/>
      <c r="O34" s="28"/>
      <c r="P34" s="28"/>
      <c r="Q34" s="28"/>
      <c r="R34" s="2"/>
      <c r="S34" s="28"/>
      <c r="T34" s="2"/>
      <c r="U34" s="28"/>
      <c r="V34" s="28"/>
      <c r="W34" s="28"/>
      <c r="X34" s="28"/>
      <c r="Y34" s="2"/>
      <c r="Z34" s="28"/>
      <c r="AA34" s="12"/>
      <c r="AB34" s="26"/>
      <c r="AC34" s="26"/>
      <c r="AD34" s="26"/>
      <c r="AE34" s="26"/>
      <c r="AF34" s="12"/>
      <c r="AG34" s="26"/>
      <c r="AH34" s="29">
        <f t="shared" si="0"/>
        <v>0</v>
      </c>
      <c r="AI34" s="30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31" t="str">
        <f t="shared" si="1"/>
        <v>大汪</v>
      </c>
      <c r="AK34" s="32"/>
    </row>
    <row r="35" spans="1:37" ht="18" customHeight="1">
      <c r="A35" s="26" t="s">
        <v>174</v>
      </c>
      <c r="B35" s="27" t="s">
        <v>118</v>
      </c>
      <c r="C35" s="28"/>
      <c r="D35" s="2"/>
      <c r="E35" s="28"/>
      <c r="F35" s="2"/>
      <c r="G35" s="28"/>
      <c r="H35" s="28"/>
      <c r="I35" s="28"/>
      <c r="J35" s="28"/>
      <c r="K35" s="2"/>
      <c r="L35" s="28"/>
      <c r="M35" s="2"/>
      <c r="N35" s="28">
        <v>1</v>
      </c>
      <c r="O35" s="28"/>
      <c r="P35" s="28"/>
      <c r="Q35" s="28"/>
      <c r="R35" s="2"/>
      <c r="S35" s="28"/>
      <c r="T35" s="2"/>
      <c r="U35" s="28"/>
      <c r="V35" s="28"/>
      <c r="W35" s="28"/>
      <c r="X35" s="28"/>
      <c r="Y35" s="2"/>
      <c r="Z35" s="28"/>
      <c r="AA35" s="12"/>
      <c r="AB35" s="26"/>
      <c r="AC35" s="26"/>
      <c r="AD35" s="26"/>
      <c r="AE35" s="26"/>
      <c r="AF35" s="12"/>
      <c r="AG35" s="26"/>
      <c r="AH35" s="29">
        <f t="shared" si="0"/>
        <v>1</v>
      </c>
      <c r="AI35" s="30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31" t="str">
        <f t="shared" si="1"/>
        <v>雅筑</v>
      </c>
      <c r="AK35" s="32"/>
    </row>
    <row r="36" spans="1:37" ht="18" customHeight="1">
      <c r="A36" s="26" t="s">
        <v>174</v>
      </c>
      <c r="B36" s="27" t="s">
        <v>141</v>
      </c>
      <c r="C36" s="28"/>
      <c r="D36" s="2"/>
      <c r="E36" s="28">
        <v>1</v>
      </c>
      <c r="F36" s="2"/>
      <c r="G36" s="28">
        <v>1</v>
      </c>
      <c r="H36" s="28"/>
      <c r="I36" s="28"/>
      <c r="J36" s="28"/>
      <c r="K36" s="2"/>
      <c r="L36" s="28">
        <v>1</v>
      </c>
      <c r="M36" s="2"/>
      <c r="N36" s="28"/>
      <c r="O36" s="28"/>
      <c r="P36" s="28"/>
      <c r="Q36" s="28"/>
      <c r="R36" s="2"/>
      <c r="S36" s="28"/>
      <c r="T36" s="2"/>
      <c r="U36" s="28"/>
      <c r="V36" s="28"/>
      <c r="W36" s="28"/>
      <c r="X36" s="28"/>
      <c r="Y36" s="2"/>
      <c r="Z36" s="28"/>
      <c r="AA36" s="12"/>
      <c r="AB36" s="26"/>
      <c r="AC36" s="26"/>
      <c r="AD36" s="26"/>
      <c r="AE36" s="26"/>
      <c r="AF36" s="12"/>
      <c r="AG36" s="26"/>
      <c r="AH36" s="29">
        <f t="shared" ref="AH36:AH67" si="2">COUNTA(C36:AG36)</f>
        <v>3</v>
      </c>
      <c r="AI36" s="30">
        <v>800</v>
      </c>
      <c r="AJ36" s="31" t="str">
        <f t="shared" ref="AJ36:AJ67" si="3">B36</f>
        <v>Cindy</v>
      </c>
      <c r="AK36" s="32">
        <v>45059</v>
      </c>
    </row>
    <row r="37" spans="1:37" ht="18" customHeight="1">
      <c r="A37" s="26" t="s">
        <v>174</v>
      </c>
      <c r="B37" s="27" t="s">
        <v>103</v>
      </c>
      <c r="C37" s="28"/>
      <c r="D37" s="2"/>
      <c r="E37" s="28"/>
      <c r="F37" s="2"/>
      <c r="G37" s="28"/>
      <c r="H37" s="28"/>
      <c r="I37" s="28"/>
      <c r="J37" s="28">
        <v>1</v>
      </c>
      <c r="K37" s="2"/>
      <c r="L37" s="28">
        <v>1</v>
      </c>
      <c r="M37" s="2"/>
      <c r="N37" s="28">
        <v>1</v>
      </c>
      <c r="O37" s="28">
        <v>1</v>
      </c>
      <c r="P37" s="28"/>
      <c r="Q37" s="28">
        <v>1</v>
      </c>
      <c r="R37" s="2"/>
      <c r="S37" s="28"/>
      <c r="T37" s="2"/>
      <c r="U37" s="28">
        <v>1</v>
      </c>
      <c r="V37" s="28">
        <v>1</v>
      </c>
      <c r="W37" s="28"/>
      <c r="X37" s="28">
        <v>1</v>
      </c>
      <c r="Y37" s="2"/>
      <c r="Z37" s="28"/>
      <c r="AA37" s="12"/>
      <c r="AB37" s="26">
        <v>1</v>
      </c>
      <c r="AC37" s="26"/>
      <c r="AD37" s="26"/>
      <c r="AE37" s="26">
        <v>1</v>
      </c>
      <c r="AF37" s="12"/>
      <c r="AG37" s="26">
        <v>1</v>
      </c>
      <c r="AH37" s="29">
        <f t="shared" si="2"/>
        <v>11</v>
      </c>
      <c r="AI37" s="30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31" t="str">
        <f t="shared" si="3"/>
        <v>圈圈</v>
      </c>
      <c r="AK37" s="33"/>
    </row>
    <row r="38" spans="1:37" ht="18" customHeight="1">
      <c r="A38" s="26" t="s">
        <v>174</v>
      </c>
      <c r="B38" s="27" t="s">
        <v>120</v>
      </c>
      <c r="C38" s="28"/>
      <c r="D38" s="2"/>
      <c r="E38" s="28"/>
      <c r="F38" s="2"/>
      <c r="G38" s="28"/>
      <c r="H38" s="28"/>
      <c r="I38" s="28"/>
      <c r="J38" s="28"/>
      <c r="K38" s="2"/>
      <c r="L38" s="28"/>
      <c r="M38" s="2"/>
      <c r="N38" s="28">
        <v>1</v>
      </c>
      <c r="O38" s="28"/>
      <c r="P38" s="28"/>
      <c r="Q38" s="28"/>
      <c r="R38" s="2"/>
      <c r="S38" s="28"/>
      <c r="T38" s="2"/>
      <c r="U38" s="28"/>
      <c r="V38" s="28"/>
      <c r="W38" s="28"/>
      <c r="X38" s="28"/>
      <c r="Y38" s="2"/>
      <c r="Z38" s="28"/>
      <c r="AA38" s="12"/>
      <c r="AB38" s="26">
        <v>1</v>
      </c>
      <c r="AC38" s="26"/>
      <c r="AD38" s="26"/>
      <c r="AE38" s="26"/>
      <c r="AF38" s="12"/>
      <c r="AG38" s="26"/>
      <c r="AH38" s="29">
        <f t="shared" si="2"/>
        <v>2</v>
      </c>
      <c r="AI38" s="30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31" t="str">
        <f t="shared" si="3"/>
        <v>品君</v>
      </c>
      <c r="AK38" s="33"/>
    </row>
    <row r="39" spans="1:37" ht="18" customHeight="1">
      <c r="A39" s="26" t="s">
        <v>174</v>
      </c>
      <c r="B39" s="27" t="s">
        <v>142</v>
      </c>
      <c r="C39" s="28"/>
      <c r="D39" s="2"/>
      <c r="E39" s="28"/>
      <c r="F39" s="2"/>
      <c r="G39" s="28"/>
      <c r="H39" s="28"/>
      <c r="I39" s="28"/>
      <c r="J39" s="28">
        <v>1</v>
      </c>
      <c r="K39" s="2"/>
      <c r="L39" s="28"/>
      <c r="M39" s="2"/>
      <c r="N39" s="28">
        <v>1</v>
      </c>
      <c r="O39" s="28"/>
      <c r="P39" s="28"/>
      <c r="Q39" s="28">
        <v>1</v>
      </c>
      <c r="R39" s="2"/>
      <c r="S39" s="28"/>
      <c r="T39" s="2"/>
      <c r="U39" s="28"/>
      <c r="V39" s="28"/>
      <c r="W39" s="28"/>
      <c r="X39" s="28"/>
      <c r="Y39" s="2"/>
      <c r="Z39" s="28"/>
      <c r="AA39" s="12"/>
      <c r="AB39" s="26"/>
      <c r="AC39" s="26"/>
      <c r="AD39" s="26"/>
      <c r="AE39" s="26"/>
      <c r="AF39" s="12"/>
      <c r="AG39" s="26">
        <v>1</v>
      </c>
      <c r="AH39" s="29">
        <f t="shared" si="2"/>
        <v>4</v>
      </c>
      <c r="AI39" s="30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31" t="str">
        <f t="shared" si="3"/>
        <v>如靜</v>
      </c>
      <c r="AK39" s="33"/>
    </row>
    <row r="40" spans="1:37" ht="18" customHeight="1">
      <c r="A40" s="26" t="s">
        <v>174</v>
      </c>
      <c r="B40" s="27" t="s">
        <v>143</v>
      </c>
      <c r="C40" s="28"/>
      <c r="D40" s="2"/>
      <c r="E40" s="28"/>
      <c r="F40" s="2"/>
      <c r="G40" s="28"/>
      <c r="H40" s="28"/>
      <c r="I40" s="28"/>
      <c r="J40" s="28"/>
      <c r="K40" s="2"/>
      <c r="L40" s="28"/>
      <c r="M40" s="2"/>
      <c r="N40" s="28"/>
      <c r="O40" s="28"/>
      <c r="P40" s="28"/>
      <c r="Q40" s="28"/>
      <c r="R40" s="2"/>
      <c r="S40" s="28"/>
      <c r="T40" s="2"/>
      <c r="U40" s="28"/>
      <c r="V40" s="28"/>
      <c r="W40" s="28"/>
      <c r="X40" s="28"/>
      <c r="Y40" s="2"/>
      <c r="Z40" s="28"/>
      <c r="AA40" s="12"/>
      <c r="AB40" s="26"/>
      <c r="AC40" s="26"/>
      <c r="AD40" s="26"/>
      <c r="AE40" s="26"/>
      <c r="AF40" s="12"/>
      <c r="AG40" s="26"/>
      <c r="AH40" s="29">
        <f t="shared" si="2"/>
        <v>0</v>
      </c>
      <c r="AI40" s="30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31" t="str">
        <f t="shared" si="3"/>
        <v>毓玫</v>
      </c>
      <c r="AK40" s="33"/>
    </row>
    <row r="41" spans="1:37" ht="18" customHeight="1">
      <c r="A41" s="26" t="s">
        <v>174</v>
      </c>
      <c r="B41" s="27" t="s">
        <v>144</v>
      </c>
      <c r="C41" s="28"/>
      <c r="D41" s="2"/>
      <c r="E41" s="28"/>
      <c r="F41" s="2"/>
      <c r="G41" s="28"/>
      <c r="H41" s="28"/>
      <c r="I41" s="28"/>
      <c r="J41" s="28"/>
      <c r="K41" s="2"/>
      <c r="L41" s="28"/>
      <c r="M41" s="2"/>
      <c r="N41" s="28"/>
      <c r="O41" s="28"/>
      <c r="P41" s="28"/>
      <c r="Q41" s="28"/>
      <c r="R41" s="2"/>
      <c r="S41" s="28"/>
      <c r="T41" s="2"/>
      <c r="U41" s="28"/>
      <c r="V41" s="28"/>
      <c r="W41" s="28"/>
      <c r="X41" s="28"/>
      <c r="Y41" s="2"/>
      <c r="Z41" s="28"/>
      <c r="AA41" s="12"/>
      <c r="AB41" s="26"/>
      <c r="AC41" s="26"/>
      <c r="AD41" s="26"/>
      <c r="AE41" s="26"/>
      <c r="AF41" s="12"/>
      <c r="AG41" s="26"/>
      <c r="AH41" s="29">
        <f t="shared" si="2"/>
        <v>0</v>
      </c>
      <c r="AI41" s="30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31" t="str">
        <f t="shared" si="3"/>
        <v>美枝</v>
      </c>
      <c r="AK41" s="32"/>
    </row>
    <row r="42" spans="1:37" ht="18" customHeight="1">
      <c r="A42" s="26" t="s">
        <v>174</v>
      </c>
      <c r="B42" s="27" t="s">
        <v>145</v>
      </c>
      <c r="C42" s="28"/>
      <c r="D42" s="2"/>
      <c r="E42" s="28"/>
      <c r="F42" s="2"/>
      <c r="G42" s="28"/>
      <c r="H42" s="28"/>
      <c r="I42" s="28"/>
      <c r="J42" s="28"/>
      <c r="K42" s="2"/>
      <c r="L42" s="28"/>
      <c r="M42" s="2"/>
      <c r="N42" s="28"/>
      <c r="O42" s="28"/>
      <c r="P42" s="28"/>
      <c r="Q42" s="28"/>
      <c r="R42" s="2"/>
      <c r="S42" s="28"/>
      <c r="T42" s="2"/>
      <c r="U42" s="28"/>
      <c r="V42" s="28"/>
      <c r="W42" s="28"/>
      <c r="X42" s="28"/>
      <c r="Y42" s="2"/>
      <c r="Z42" s="28"/>
      <c r="AA42" s="12"/>
      <c r="AB42" s="26"/>
      <c r="AC42" s="26"/>
      <c r="AD42" s="26"/>
      <c r="AE42" s="26"/>
      <c r="AF42" s="12"/>
      <c r="AG42" s="26"/>
      <c r="AH42" s="29">
        <f t="shared" si="2"/>
        <v>0</v>
      </c>
      <c r="AI42" s="30" t="e">
        <f ca="1">IF(A42="O", (VALUE(_xludf.IFS(AH42=0,"0",AH42=1,"150",AH42=2,"300",AH42=3,"450",AH42=4,"600",AH42=5,"750",AH42&gt;=6,"800"))),(VALUE(_xludf.IFS(AH42=0,"0",AH42=1,"150",AH42=2,"300",AH42=3,"450",AH42=4,"600",AH42=5,"750",AH42=6,"900",AH42&gt;=7,"1,000"))))</f>
        <v>#NAME?</v>
      </c>
      <c r="AJ42" s="31" t="str">
        <f t="shared" si="3"/>
        <v>魯魯咪</v>
      </c>
      <c r="AK42" s="34"/>
    </row>
    <row r="43" spans="1:37" ht="18" customHeight="1">
      <c r="A43" s="9" t="s">
        <v>58</v>
      </c>
      <c r="B43" s="10" t="s">
        <v>23</v>
      </c>
      <c r="C43" s="11"/>
      <c r="D43" s="2"/>
      <c r="E43" s="11">
        <v>1</v>
      </c>
      <c r="F43" s="2"/>
      <c r="G43" s="11">
        <v>1</v>
      </c>
      <c r="H43" s="11"/>
      <c r="I43" s="11"/>
      <c r="J43" s="11">
        <v>1</v>
      </c>
      <c r="K43" s="2"/>
      <c r="L43" s="11">
        <v>1</v>
      </c>
      <c r="M43" s="2"/>
      <c r="N43" s="11">
        <v>1</v>
      </c>
      <c r="O43" s="11">
        <v>1</v>
      </c>
      <c r="P43" s="11"/>
      <c r="Q43" s="11">
        <v>1</v>
      </c>
      <c r="R43" s="2"/>
      <c r="S43" s="11">
        <v>1</v>
      </c>
      <c r="T43" s="2"/>
      <c r="U43" s="11">
        <v>1</v>
      </c>
      <c r="V43" s="11">
        <v>1</v>
      </c>
      <c r="W43" s="11">
        <v>1</v>
      </c>
      <c r="X43" s="11">
        <v>1</v>
      </c>
      <c r="Y43" s="2"/>
      <c r="Z43" s="11">
        <v>1</v>
      </c>
      <c r="AA43" s="12"/>
      <c r="AB43" s="9">
        <v>1</v>
      </c>
      <c r="AC43" s="9">
        <v>1</v>
      </c>
      <c r="AD43" s="9"/>
      <c r="AE43" s="9">
        <v>1</v>
      </c>
      <c r="AF43" s="12"/>
      <c r="AG43" s="9">
        <v>1</v>
      </c>
      <c r="AH43" s="13">
        <f t="shared" si="2"/>
        <v>17</v>
      </c>
      <c r="AI43" s="14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15" t="str">
        <f t="shared" si="3"/>
        <v>ㄈㄈ</v>
      </c>
      <c r="AK43" s="17"/>
    </row>
    <row r="44" spans="1:37" ht="18" customHeight="1">
      <c r="A44" s="9" t="s">
        <v>58</v>
      </c>
      <c r="B44" s="10" t="s">
        <v>24</v>
      </c>
      <c r="C44" s="11"/>
      <c r="D44" s="2"/>
      <c r="E44" s="11">
        <v>1</v>
      </c>
      <c r="F44" s="2"/>
      <c r="G44" s="11">
        <v>1</v>
      </c>
      <c r="H44" s="11"/>
      <c r="I44" s="11"/>
      <c r="J44" s="11"/>
      <c r="K44" s="2"/>
      <c r="L44" s="11">
        <v>1</v>
      </c>
      <c r="M44" s="2"/>
      <c r="N44" s="11"/>
      <c r="O44" s="11"/>
      <c r="P44" s="11">
        <v>1</v>
      </c>
      <c r="Q44" s="11"/>
      <c r="R44" s="2"/>
      <c r="S44" s="11">
        <v>1</v>
      </c>
      <c r="T44" s="2"/>
      <c r="U44" s="11">
        <v>1</v>
      </c>
      <c r="V44" s="11"/>
      <c r="W44" s="11"/>
      <c r="X44" s="11"/>
      <c r="Y44" s="2"/>
      <c r="Z44" s="11">
        <v>1</v>
      </c>
      <c r="AA44" s="12"/>
      <c r="AB44" s="9">
        <v>1</v>
      </c>
      <c r="AC44" s="9">
        <v>1</v>
      </c>
      <c r="AD44" s="9"/>
      <c r="AE44" s="9">
        <v>1</v>
      </c>
      <c r="AF44" s="12"/>
      <c r="AG44" s="9"/>
      <c r="AH44" s="13">
        <f t="shared" si="2"/>
        <v>10</v>
      </c>
      <c r="AI44" s="14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15" t="str">
        <f t="shared" si="3"/>
        <v>大熊</v>
      </c>
      <c r="AK44" s="16">
        <v>45059</v>
      </c>
    </row>
    <row r="45" spans="1:37" ht="18" customHeight="1">
      <c r="A45" s="9" t="s">
        <v>58</v>
      </c>
      <c r="B45" s="10" t="s">
        <v>67</v>
      </c>
      <c r="C45" s="11"/>
      <c r="D45" s="2"/>
      <c r="E45" s="11"/>
      <c r="F45" s="2"/>
      <c r="G45" s="11"/>
      <c r="H45" s="11"/>
      <c r="I45" s="11"/>
      <c r="J45" s="11"/>
      <c r="K45" s="2"/>
      <c r="L45" s="11"/>
      <c r="M45" s="2"/>
      <c r="N45" s="11"/>
      <c r="O45" s="11"/>
      <c r="P45" s="11"/>
      <c r="Q45" s="11"/>
      <c r="R45" s="2"/>
      <c r="S45" s="11"/>
      <c r="T45" s="2"/>
      <c r="U45" s="11"/>
      <c r="V45" s="11"/>
      <c r="W45" s="11"/>
      <c r="X45" s="11"/>
      <c r="Y45" s="2"/>
      <c r="Z45" s="11"/>
      <c r="AA45" s="12"/>
      <c r="AB45" s="9"/>
      <c r="AC45" s="9"/>
      <c r="AD45" s="9"/>
      <c r="AE45" s="9"/>
      <c r="AF45" s="12"/>
      <c r="AG45" s="9"/>
      <c r="AH45" s="13">
        <f t="shared" si="2"/>
        <v>0</v>
      </c>
      <c r="AI45" s="14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15" t="str">
        <f t="shared" si="3"/>
        <v>歐吉</v>
      </c>
      <c r="AK45" s="17"/>
    </row>
    <row r="46" spans="1:37" ht="18" customHeight="1">
      <c r="A46" s="9" t="s">
        <v>58</v>
      </c>
      <c r="B46" s="10" t="s">
        <v>65</v>
      </c>
      <c r="C46" s="11"/>
      <c r="D46" s="2"/>
      <c r="E46" s="11"/>
      <c r="F46" s="2"/>
      <c r="G46" s="11"/>
      <c r="H46" s="11"/>
      <c r="I46" s="11"/>
      <c r="J46" s="11"/>
      <c r="K46" s="2"/>
      <c r="L46" s="11">
        <v>1</v>
      </c>
      <c r="M46" s="2"/>
      <c r="N46" s="11"/>
      <c r="O46" s="11"/>
      <c r="P46" s="11"/>
      <c r="Q46" s="11"/>
      <c r="R46" s="2"/>
      <c r="S46" s="11">
        <v>1</v>
      </c>
      <c r="T46" s="2"/>
      <c r="U46" s="11"/>
      <c r="V46" s="11">
        <v>1</v>
      </c>
      <c r="W46" s="11"/>
      <c r="X46" s="11"/>
      <c r="Y46" s="2"/>
      <c r="Z46" s="11">
        <v>1</v>
      </c>
      <c r="AA46" s="12"/>
      <c r="AB46" s="9"/>
      <c r="AC46" s="9"/>
      <c r="AD46" s="9"/>
      <c r="AE46" s="9">
        <v>1</v>
      </c>
      <c r="AF46" s="12"/>
      <c r="AG46" s="9">
        <v>1</v>
      </c>
      <c r="AH46" s="13">
        <f t="shared" si="2"/>
        <v>6</v>
      </c>
      <c r="AI46" s="14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15" t="str">
        <f t="shared" si="3"/>
        <v>文淵</v>
      </c>
      <c r="AK46" s="17"/>
    </row>
    <row r="47" spans="1:37" ht="18" customHeight="1">
      <c r="A47" s="9" t="s">
        <v>58</v>
      </c>
      <c r="B47" s="10" t="s">
        <v>69</v>
      </c>
      <c r="C47" s="11"/>
      <c r="D47" s="2"/>
      <c r="E47" s="11"/>
      <c r="F47" s="2"/>
      <c r="G47" s="11"/>
      <c r="H47" s="11"/>
      <c r="I47" s="11"/>
      <c r="J47" s="11"/>
      <c r="K47" s="2"/>
      <c r="L47" s="11"/>
      <c r="M47" s="2"/>
      <c r="N47" s="11"/>
      <c r="O47" s="11"/>
      <c r="P47" s="11"/>
      <c r="Q47" s="11"/>
      <c r="R47" s="2"/>
      <c r="S47" s="11"/>
      <c r="T47" s="2"/>
      <c r="U47" s="11"/>
      <c r="V47" s="11"/>
      <c r="W47" s="11"/>
      <c r="X47" s="11"/>
      <c r="Y47" s="2"/>
      <c r="Z47" s="11"/>
      <c r="AA47" s="12"/>
      <c r="AB47" s="9"/>
      <c r="AC47" s="9"/>
      <c r="AD47" s="9"/>
      <c r="AE47" s="9"/>
      <c r="AF47" s="12"/>
      <c r="AG47" s="9"/>
      <c r="AH47" s="13">
        <f t="shared" si="2"/>
        <v>0</v>
      </c>
      <c r="AI47" s="14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15" t="str">
        <f t="shared" si="3"/>
        <v>小馬</v>
      </c>
      <c r="AK47" s="17"/>
    </row>
    <row r="48" spans="1:37" ht="18" customHeight="1">
      <c r="A48" s="9" t="s">
        <v>58</v>
      </c>
      <c r="B48" s="10" t="s">
        <v>64</v>
      </c>
      <c r="C48" s="11"/>
      <c r="D48" s="2"/>
      <c r="E48" s="11">
        <v>1</v>
      </c>
      <c r="F48" s="2"/>
      <c r="G48" s="11">
        <v>1</v>
      </c>
      <c r="H48" s="11">
        <v>1</v>
      </c>
      <c r="I48" s="11"/>
      <c r="J48" s="11"/>
      <c r="K48" s="2"/>
      <c r="L48" s="11">
        <v>1</v>
      </c>
      <c r="M48" s="2"/>
      <c r="N48" s="11">
        <v>1</v>
      </c>
      <c r="O48" s="11"/>
      <c r="P48" s="11">
        <v>1</v>
      </c>
      <c r="Q48" s="11"/>
      <c r="R48" s="2"/>
      <c r="S48" s="11">
        <v>1</v>
      </c>
      <c r="T48" s="2"/>
      <c r="U48" s="11">
        <v>1</v>
      </c>
      <c r="V48" s="11">
        <v>1</v>
      </c>
      <c r="W48" s="11"/>
      <c r="X48" s="11">
        <v>1</v>
      </c>
      <c r="Y48" s="2"/>
      <c r="Z48" s="11">
        <v>1</v>
      </c>
      <c r="AA48" s="12"/>
      <c r="AB48" s="9">
        <v>1</v>
      </c>
      <c r="AC48" s="9">
        <v>1</v>
      </c>
      <c r="AD48" s="9"/>
      <c r="AE48" s="9">
        <v>1</v>
      </c>
      <c r="AF48" s="12"/>
      <c r="AG48" s="9">
        <v>1</v>
      </c>
      <c r="AH48" s="13">
        <f t="shared" si="2"/>
        <v>15</v>
      </c>
      <c r="AI48" s="14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15" t="str">
        <f t="shared" si="3"/>
        <v>園棠</v>
      </c>
      <c r="AK48" s="16">
        <v>45059</v>
      </c>
    </row>
    <row r="49" spans="1:37" ht="18" customHeight="1">
      <c r="A49" s="9" t="s">
        <v>58</v>
      </c>
      <c r="B49" s="10" t="s">
        <v>31</v>
      </c>
      <c r="C49" s="11"/>
      <c r="D49" s="2"/>
      <c r="E49" s="11">
        <v>1</v>
      </c>
      <c r="F49" s="2"/>
      <c r="G49" s="11"/>
      <c r="H49" s="11"/>
      <c r="I49" s="11"/>
      <c r="J49" s="11"/>
      <c r="K49" s="2"/>
      <c r="L49" s="11"/>
      <c r="M49" s="2"/>
      <c r="N49" s="11">
        <v>1</v>
      </c>
      <c r="O49" s="11"/>
      <c r="P49" s="11"/>
      <c r="Q49" s="11">
        <v>1</v>
      </c>
      <c r="R49" s="2"/>
      <c r="S49" s="11"/>
      <c r="T49" s="2"/>
      <c r="U49" s="11"/>
      <c r="V49" s="11"/>
      <c r="W49" s="11"/>
      <c r="X49" s="11"/>
      <c r="Y49" s="2"/>
      <c r="Z49" s="11">
        <v>1</v>
      </c>
      <c r="AA49" s="12"/>
      <c r="AB49" s="9">
        <v>1</v>
      </c>
      <c r="AC49" s="9"/>
      <c r="AD49" s="9"/>
      <c r="AE49" s="9">
        <v>1</v>
      </c>
      <c r="AF49" s="12"/>
      <c r="AG49" s="9">
        <v>1</v>
      </c>
      <c r="AH49" s="13">
        <f t="shared" si="2"/>
        <v>7</v>
      </c>
      <c r="AI49" s="14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15" t="str">
        <f t="shared" si="3"/>
        <v>阿美</v>
      </c>
      <c r="AK49" s="17"/>
    </row>
    <row r="50" spans="1:37" ht="18" customHeight="1">
      <c r="A50" s="9" t="s">
        <v>58</v>
      </c>
      <c r="B50" s="10" t="s">
        <v>75</v>
      </c>
      <c r="C50" s="11"/>
      <c r="D50" s="2"/>
      <c r="E50" s="11"/>
      <c r="F50" s="2"/>
      <c r="G50" s="11"/>
      <c r="H50" s="11"/>
      <c r="I50" s="11"/>
      <c r="J50" s="11"/>
      <c r="K50" s="2"/>
      <c r="L50" s="11"/>
      <c r="M50" s="2"/>
      <c r="N50" s="11"/>
      <c r="O50" s="11"/>
      <c r="P50" s="11"/>
      <c r="Q50" s="11"/>
      <c r="R50" s="2"/>
      <c r="S50" s="11"/>
      <c r="T50" s="2"/>
      <c r="U50" s="11"/>
      <c r="V50" s="11"/>
      <c r="W50" s="11"/>
      <c r="X50" s="11"/>
      <c r="Y50" s="2"/>
      <c r="Z50" s="11"/>
      <c r="AA50" s="12"/>
      <c r="AB50" s="9"/>
      <c r="AC50" s="9"/>
      <c r="AD50" s="9"/>
      <c r="AE50" s="9"/>
      <c r="AF50" s="12"/>
      <c r="AG50" s="9"/>
      <c r="AH50" s="13">
        <f t="shared" si="2"/>
        <v>0</v>
      </c>
      <c r="AI50" s="14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15" t="str">
        <f t="shared" si="3"/>
        <v>叮噹</v>
      </c>
      <c r="AK50" s="17"/>
    </row>
    <row r="51" spans="1:37" ht="18" customHeight="1">
      <c r="A51" s="9" t="s">
        <v>58</v>
      </c>
      <c r="B51" s="10" t="s">
        <v>33</v>
      </c>
      <c r="C51" s="11"/>
      <c r="D51" s="2"/>
      <c r="E51" s="11"/>
      <c r="F51" s="2"/>
      <c r="G51" s="11"/>
      <c r="H51" s="11"/>
      <c r="I51" s="11"/>
      <c r="J51" s="11"/>
      <c r="K51" s="2"/>
      <c r="L51" s="11"/>
      <c r="M51" s="2"/>
      <c r="N51" s="11"/>
      <c r="O51" s="11"/>
      <c r="P51" s="11"/>
      <c r="Q51" s="11"/>
      <c r="R51" s="2"/>
      <c r="S51" s="11"/>
      <c r="T51" s="2"/>
      <c r="U51" s="11"/>
      <c r="V51" s="11"/>
      <c r="W51" s="11"/>
      <c r="X51" s="11"/>
      <c r="Y51" s="2"/>
      <c r="Z51" s="11"/>
      <c r="AA51" s="12"/>
      <c r="AB51" s="9"/>
      <c r="AC51" s="9"/>
      <c r="AD51" s="9"/>
      <c r="AE51" s="9"/>
      <c r="AF51" s="12"/>
      <c r="AG51" s="9"/>
      <c r="AH51" s="13">
        <f t="shared" si="2"/>
        <v>0</v>
      </c>
      <c r="AI51" s="14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15" t="str">
        <f t="shared" si="3"/>
        <v>一飛</v>
      </c>
      <c r="AK51" s="17"/>
    </row>
    <row r="52" spans="1:37" ht="18" customHeight="1">
      <c r="A52" s="9" t="s">
        <v>58</v>
      </c>
      <c r="B52" s="10" t="s">
        <v>29</v>
      </c>
      <c r="C52" s="11"/>
      <c r="D52" s="2"/>
      <c r="E52" s="11">
        <v>1</v>
      </c>
      <c r="F52" s="2"/>
      <c r="G52" s="11">
        <v>1</v>
      </c>
      <c r="H52" s="11"/>
      <c r="I52" s="11"/>
      <c r="J52" s="11"/>
      <c r="K52" s="2"/>
      <c r="L52" s="11"/>
      <c r="M52" s="2"/>
      <c r="N52" s="11"/>
      <c r="O52" s="11"/>
      <c r="P52" s="11"/>
      <c r="Q52" s="11"/>
      <c r="R52" s="2"/>
      <c r="S52" s="11"/>
      <c r="T52" s="2"/>
      <c r="U52" s="11"/>
      <c r="V52" s="11">
        <v>1</v>
      </c>
      <c r="W52" s="11"/>
      <c r="X52" s="11">
        <v>1</v>
      </c>
      <c r="Y52" s="2"/>
      <c r="Z52" s="11"/>
      <c r="AA52" s="12"/>
      <c r="AB52" s="9"/>
      <c r="AC52" s="9"/>
      <c r="AD52" s="9"/>
      <c r="AE52" s="9">
        <v>1</v>
      </c>
      <c r="AF52" s="12"/>
      <c r="AG52" s="9">
        <v>1</v>
      </c>
      <c r="AH52" s="13">
        <f t="shared" si="2"/>
        <v>6</v>
      </c>
      <c r="AI52" s="14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15" t="str">
        <f t="shared" si="3"/>
        <v>大頭</v>
      </c>
      <c r="AK52" s="17"/>
    </row>
    <row r="53" spans="1:37" ht="18" customHeight="1">
      <c r="A53" s="9" t="s">
        <v>58</v>
      </c>
      <c r="B53" s="10" t="s">
        <v>28</v>
      </c>
      <c r="C53" s="11"/>
      <c r="D53" s="2"/>
      <c r="E53" s="11"/>
      <c r="F53" s="2"/>
      <c r="G53" s="11">
        <v>1</v>
      </c>
      <c r="H53" s="11"/>
      <c r="I53" s="11"/>
      <c r="J53" s="11"/>
      <c r="K53" s="2"/>
      <c r="L53" s="11">
        <v>1</v>
      </c>
      <c r="M53" s="2"/>
      <c r="N53" s="11">
        <v>1</v>
      </c>
      <c r="O53" s="11"/>
      <c r="P53" s="11"/>
      <c r="Q53" s="11"/>
      <c r="R53" s="2"/>
      <c r="S53" s="11">
        <v>1</v>
      </c>
      <c r="T53" s="2"/>
      <c r="U53" s="11">
        <v>1</v>
      </c>
      <c r="V53" s="11"/>
      <c r="W53" s="11">
        <v>1</v>
      </c>
      <c r="X53" s="11"/>
      <c r="Y53" s="2"/>
      <c r="Z53" s="11"/>
      <c r="AA53" s="12"/>
      <c r="AB53" s="9"/>
      <c r="AC53" s="9"/>
      <c r="AD53" s="9"/>
      <c r="AE53" s="9">
        <v>1</v>
      </c>
      <c r="AF53" s="12"/>
      <c r="AG53" s="9">
        <v>1</v>
      </c>
      <c r="AH53" s="13">
        <f t="shared" si="2"/>
        <v>8</v>
      </c>
      <c r="AI53" s="14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15" t="str">
        <f t="shared" si="3"/>
        <v>克勤</v>
      </c>
      <c r="AK53" s="17"/>
    </row>
    <row r="54" spans="1:37" ht="18" customHeight="1">
      <c r="A54" s="9" t="s">
        <v>58</v>
      </c>
      <c r="B54" s="10" t="s">
        <v>85</v>
      </c>
      <c r="C54" s="11"/>
      <c r="D54" s="2"/>
      <c r="E54" s="11"/>
      <c r="F54" s="2"/>
      <c r="G54" s="11"/>
      <c r="H54" s="11"/>
      <c r="I54" s="11"/>
      <c r="J54" s="11"/>
      <c r="K54" s="2"/>
      <c r="L54" s="11"/>
      <c r="M54" s="2"/>
      <c r="N54" s="11"/>
      <c r="O54" s="11"/>
      <c r="P54" s="11"/>
      <c r="Q54" s="11"/>
      <c r="R54" s="2"/>
      <c r="S54" s="11"/>
      <c r="T54" s="2"/>
      <c r="U54" s="11"/>
      <c r="V54" s="11"/>
      <c r="W54" s="11"/>
      <c r="X54" s="11"/>
      <c r="Y54" s="2"/>
      <c r="Z54" s="11"/>
      <c r="AA54" s="12"/>
      <c r="AB54" s="9"/>
      <c r="AC54" s="9"/>
      <c r="AD54" s="9"/>
      <c r="AE54" s="9"/>
      <c r="AF54" s="12"/>
      <c r="AG54" s="9"/>
      <c r="AH54" s="13">
        <f t="shared" si="2"/>
        <v>0</v>
      </c>
      <c r="AI54" s="14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15" t="str">
        <f t="shared" si="3"/>
        <v>阿璽</v>
      </c>
      <c r="AK54" s="17"/>
    </row>
    <row r="55" spans="1:37" ht="18" customHeight="1">
      <c r="A55" s="9" t="s">
        <v>58</v>
      </c>
      <c r="B55" s="10" t="s">
        <v>68</v>
      </c>
      <c r="C55" s="11"/>
      <c r="D55" s="2"/>
      <c r="E55" s="11"/>
      <c r="F55" s="2"/>
      <c r="G55" s="11"/>
      <c r="H55" s="11"/>
      <c r="I55" s="11"/>
      <c r="J55" s="11"/>
      <c r="K55" s="2"/>
      <c r="L55" s="11"/>
      <c r="M55" s="2"/>
      <c r="N55" s="11"/>
      <c r="O55" s="11"/>
      <c r="P55" s="11"/>
      <c r="Q55" s="11"/>
      <c r="R55" s="2"/>
      <c r="S55" s="11"/>
      <c r="T55" s="2"/>
      <c r="U55" s="11"/>
      <c r="V55" s="11"/>
      <c r="W55" s="11"/>
      <c r="X55" s="11"/>
      <c r="Y55" s="2"/>
      <c r="Z55" s="11"/>
      <c r="AA55" s="12"/>
      <c r="AB55" s="9"/>
      <c r="AC55" s="9"/>
      <c r="AD55" s="9"/>
      <c r="AE55" s="9"/>
      <c r="AF55" s="12"/>
      <c r="AG55" s="9"/>
      <c r="AH55" s="13">
        <f t="shared" si="2"/>
        <v>0</v>
      </c>
      <c r="AI55" s="14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15" t="str">
        <f t="shared" si="3"/>
        <v>兔子</v>
      </c>
      <c r="AK55" s="17"/>
    </row>
    <row r="56" spans="1:37" ht="18" customHeight="1">
      <c r="A56" s="9" t="s">
        <v>58</v>
      </c>
      <c r="B56" s="10" t="s">
        <v>178</v>
      </c>
      <c r="C56" s="11"/>
      <c r="D56" s="2"/>
      <c r="E56" s="11">
        <v>1</v>
      </c>
      <c r="F56" s="2"/>
      <c r="G56" s="11"/>
      <c r="H56" s="11">
        <v>1</v>
      </c>
      <c r="I56" s="11"/>
      <c r="J56" s="11"/>
      <c r="K56" s="2"/>
      <c r="L56" s="11">
        <v>1</v>
      </c>
      <c r="M56" s="2"/>
      <c r="N56" s="11">
        <v>1</v>
      </c>
      <c r="O56" s="11"/>
      <c r="P56" s="11"/>
      <c r="Q56" s="11"/>
      <c r="R56" s="2"/>
      <c r="S56" s="11">
        <v>1</v>
      </c>
      <c r="T56" s="2"/>
      <c r="U56" s="11">
        <v>1</v>
      </c>
      <c r="V56" s="11">
        <v>1</v>
      </c>
      <c r="W56" s="11"/>
      <c r="X56" s="11"/>
      <c r="Y56" s="2"/>
      <c r="Z56" s="11"/>
      <c r="AA56" s="12"/>
      <c r="AB56" s="9"/>
      <c r="AC56" s="9"/>
      <c r="AD56" s="9"/>
      <c r="AE56" s="9"/>
      <c r="AF56" s="12"/>
      <c r="AG56" s="9">
        <v>1</v>
      </c>
      <c r="AH56" s="13">
        <f t="shared" si="2"/>
        <v>8</v>
      </c>
      <c r="AI56" s="14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15" t="str">
        <f t="shared" si="3"/>
        <v>Fish</v>
      </c>
      <c r="AK56" s="17"/>
    </row>
    <row r="57" spans="1:37" ht="18" customHeight="1">
      <c r="A57" s="9" t="s">
        <v>58</v>
      </c>
      <c r="B57" s="10" t="s">
        <v>77</v>
      </c>
      <c r="C57" s="11"/>
      <c r="D57" s="2"/>
      <c r="E57" s="11"/>
      <c r="F57" s="2"/>
      <c r="G57" s="11"/>
      <c r="H57" s="11"/>
      <c r="I57" s="11"/>
      <c r="J57" s="11"/>
      <c r="K57" s="2"/>
      <c r="L57" s="11"/>
      <c r="M57" s="2"/>
      <c r="N57" s="11"/>
      <c r="O57" s="11"/>
      <c r="P57" s="11"/>
      <c r="Q57" s="11"/>
      <c r="R57" s="2"/>
      <c r="S57" s="11"/>
      <c r="T57" s="2"/>
      <c r="U57" s="11"/>
      <c r="V57" s="11"/>
      <c r="W57" s="11"/>
      <c r="X57" s="11"/>
      <c r="Y57" s="2"/>
      <c r="Z57" s="11"/>
      <c r="AA57" s="12"/>
      <c r="AB57" s="9"/>
      <c r="AC57" s="9"/>
      <c r="AD57" s="9"/>
      <c r="AE57" s="9"/>
      <c r="AF57" s="12"/>
      <c r="AG57" s="9"/>
      <c r="AH57" s="13">
        <f t="shared" si="2"/>
        <v>0</v>
      </c>
      <c r="AI57" s="14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15" t="str">
        <f t="shared" si="3"/>
        <v>小夫</v>
      </c>
      <c r="AK57" s="17"/>
    </row>
    <row r="58" spans="1:37" ht="18" customHeight="1">
      <c r="A58" s="9" t="s">
        <v>58</v>
      </c>
      <c r="B58" s="10" t="s">
        <v>78</v>
      </c>
      <c r="C58" s="11"/>
      <c r="D58" s="2"/>
      <c r="E58" s="11"/>
      <c r="F58" s="2"/>
      <c r="G58" s="11">
        <v>1</v>
      </c>
      <c r="H58" s="11"/>
      <c r="I58" s="11"/>
      <c r="J58" s="11"/>
      <c r="K58" s="2"/>
      <c r="L58" s="11"/>
      <c r="M58" s="2"/>
      <c r="N58" s="11"/>
      <c r="O58" s="11"/>
      <c r="P58" s="11"/>
      <c r="Q58" s="11"/>
      <c r="R58" s="2"/>
      <c r="S58" s="11"/>
      <c r="T58" s="2"/>
      <c r="U58" s="11"/>
      <c r="V58" s="11"/>
      <c r="W58" s="11"/>
      <c r="X58" s="11"/>
      <c r="Y58" s="2"/>
      <c r="Z58" s="11"/>
      <c r="AA58" s="12"/>
      <c r="AB58" s="9"/>
      <c r="AC58" s="9"/>
      <c r="AD58" s="9"/>
      <c r="AE58" s="9"/>
      <c r="AF58" s="12"/>
      <c r="AG58" s="9"/>
      <c r="AH58" s="13">
        <f t="shared" si="2"/>
        <v>1</v>
      </c>
      <c r="AI58" s="14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15" t="str">
        <f t="shared" si="3"/>
        <v>小邱</v>
      </c>
      <c r="AK58" s="17"/>
    </row>
    <row r="59" spans="1:37" ht="18" customHeight="1">
      <c r="A59" s="9" t="s">
        <v>58</v>
      </c>
      <c r="B59" s="10" t="s">
        <v>79</v>
      </c>
      <c r="C59" s="11"/>
      <c r="D59" s="2"/>
      <c r="E59" s="11"/>
      <c r="F59" s="2"/>
      <c r="G59" s="11"/>
      <c r="H59" s="11"/>
      <c r="I59" s="11"/>
      <c r="J59" s="11"/>
      <c r="K59" s="2"/>
      <c r="L59" s="11"/>
      <c r="M59" s="2"/>
      <c r="N59" s="11"/>
      <c r="O59" s="11"/>
      <c r="P59" s="11"/>
      <c r="Q59" s="11"/>
      <c r="R59" s="2"/>
      <c r="S59" s="11"/>
      <c r="T59" s="2"/>
      <c r="U59" s="11"/>
      <c r="V59" s="11"/>
      <c r="W59" s="11"/>
      <c r="X59" s="11"/>
      <c r="Y59" s="2"/>
      <c r="Z59" s="11"/>
      <c r="AA59" s="12"/>
      <c r="AB59" s="9"/>
      <c r="AC59" s="9"/>
      <c r="AD59" s="9"/>
      <c r="AE59" s="9"/>
      <c r="AF59" s="12"/>
      <c r="AG59" s="9"/>
      <c r="AH59" s="13">
        <f t="shared" si="2"/>
        <v>0</v>
      </c>
      <c r="AI59" s="14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15" t="str">
        <f t="shared" si="3"/>
        <v>淳淳</v>
      </c>
      <c r="AK59" s="17"/>
    </row>
    <row r="60" spans="1:37" ht="18" customHeight="1">
      <c r="A60" s="9" t="s">
        <v>58</v>
      </c>
      <c r="B60" s="10" t="s">
        <v>80</v>
      </c>
      <c r="C60" s="11"/>
      <c r="D60" s="2"/>
      <c r="E60" s="11"/>
      <c r="F60" s="2"/>
      <c r="G60" s="11"/>
      <c r="H60" s="11"/>
      <c r="I60" s="11"/>
      <c r="J60" s="11"/>
      <c r="K60" s="2"/>
      <c r="L60" s="11"/>
      <c r="M60" s="2"/>
      <c r="N60" s="11"/>
      <c r="O60" s="11"/>
      <c r="P60" s="11"/>
      <c r="Q60" s="11"/>
      <c r="R60" s="2"/>
      <c r="S60" s="11"/>
      <c r="T60" s="2"/>
      <c r="U60" s="11"/>
      <c r="V60" s="11"/>
      <c r="W60" s="11"/>
      <c r="X60" s="11"/>
      <c r="Y60" s="2"/>
      <c r="Z60" s="11"/>
      <c r="AA60" s="12"/>
      <c r="AB60" s="9"/>
      <c r="AC60" s="9"/>
      <c r="AD60" s="9"/>
      <c r="AE60" s="9"/>
      <c r="AF60" s="12"/>
      <c r="AG60" s="9"/>
      <c r="AH60" s="13">
        <f t="shared" si="2"/>
        <v>0</v>
      </c>
      <c r="AI60" s="14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15" t="str">
        <f t="shared" si="3"/>
        <v>禿鷹</v>
      </c>
      <c r="AK60" s="17"/>
    </row>
    <row r="61" spans="1:37" ht="18" customHeight="1">
      <c r="A61" s="9" t="s">
        <v>58</v>
      </c>
      <c r="B61" s="10" t="s">
        <v>30</v>
      </c>
      <c r="C61" s="11"/>
      <c r="D61" s="2"/>
      <c r="E61" s="11">
        <v>1</v>
      </c>
      <c r="F61" s="2"/>
      <c r="G61" s="11"/>
      <c r="H61" s="11"/>
      <c r="I61" s="11"/>
      <c r="J61" s="11"/>
      <c r="K61" s="2"/>
      <c r="L61" s="11"/>
      <c r="M61" s="2"/>
      <c r="N61" s="11">
        <v>1</v>
      </c>
      <c r="O61" s="11"/>
      <c r="P61" s="11"/>
      <c r="Q61" s="11"/>
      <c r="R61" s="2"/>
      <c r="S61" s="11"/>
      <c r="T61" s="2"/>
      <c r="U61" s="11">
        <v>1</v>
      </c>
      <c r="V61" s="11">
        <v>1</v>
      </c>
      <c r="W61" s="11"/>
      <c r="X61" s="11"/>
      <c r="Y61" s="2"/>
      <c r="Z61" s="11"/>
      <c r="AA61" s="12"/>
      <c r="AB61" s="9"/>
      <c r="AC61" s="9"/>
      <c r="AD61" s="9"/>
      <c r="AE61" s="9"/>
      <c r="AF61" s="12"/>
      <c r="AG61" s="9"/>
      <c r="AH61" s="13">
        <f t="shared" si="2"/>
        <v>4</v>
      </c>
      <c r="AI61" s="14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15" t="str">
        <f t="shared" si="3"/>
        <v>鯰魚</v>
      </c>
      <c r="AK61" s="17"/>
    </row>
    <row r="62" spans="1:37" ht="18" customHeight="1">
      <c r="A62" s="9" t="s">
        <v>58</v>
      </c>
      <c r="B62" s="10" t="s">
        <v>81</v>
      </c>
      <c r="C62" s="11"/>
      <c r="D62" s="2"/>
      <c r="E62" s="11"/>
      <c r="F62" s="2"/>
      <c r="G62" s="11"/>
      <c r="H62" s="11"/>
      <c r="I62" s="11"/>
      <c r="J62" s="11"/>
      <c r="K62" s="2"/>
      <c r="L62" s="11"/>
      <c r="M62" s="2"/>
      <c r="N62" s="11"/>
      <c r="O62" s="11"/>
      <c r="P62" s="11"/>
      <c r="Q62" s="11"/>
      <c r="R62" s="2"/>
      <c r="S62" s="11"/>
      <c r="T62" s="2"/>
      <c r="U62" s="11"/>
      <c r="V62" s="11"/>
      <c r="W62" s="11"/>
      <c r="X62" s="11"/>
      <c r="Y62" s="2"/>
      <c r="Z62" s="11"/>
      <c r="AA62" s="12"/>
      <c r="AB62" s="9"/>
      <c r="AC62" s="9"/>
      <c r="AD62" s="9"/>
      <c r="AE62" s="9"/>
      <c r="AF62" s="12"/>
      <c r="AG62" s="9"/>
      <c r="AH62" s="13">
        <f t="shared" si="2"/>
        <v>0</v>
      </c>
      <c r="AI62" s="14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15" t="str">
        <f t="shared" si="3"/>
        <v>王宏</v>
      </c>
      <c r="AK62" s="17"/>
    </row>
    <row r="63" spans="1:37" ht="18" customHeight="1">
      <c r="A63" s="9" t="s">
        <v>58</v>
      </c>
      <c r="B63" s="10" t="s">
        <v>76</v>
      </c>
      <c r="C63" s="11"/>
      <c r="D63" s="2"/>
      <c r="E63" s="11"/>
      <c r="F63" s="2"/>
      <c r="G63" s="11"/>
      <c r="H63" s="11"/>
      <c r="I63" s="11"/>
      <c r="J63" s="11"/>
      <c r="K63" s="2"/>
      <c r="L63" s="11"/>
      <c r="M63" s="2"/>
      <c r="N63" s="11"/>
      <c r="O63" s="11"/>
      <c r="P63" s="11"/>
      <c r="Q63" s="11"/>
      <c r="R63" s="2"/>
      <c r="S63" s="11"/>
      <c r="T63" s="2"/>
      <c r="U63" s="11"/>
      <c r="V63" s="11"/>
      <c r="W63" s="11"/>
      <c r="X63" s="11"/>
      <c r="Y63" s="2"/>
      <c r="Z63" s="11"/>
      <c r="AA63" s="12"/>
      <c r="AB63" s="9"/>
      <c r="AC63" s="9"/>
      <c r="AD63" s="9"/>
      <c r="AE63" s="9"/>
      <c r="AF63" s="12"/>
      <c r="AG63" s="9"/>
      <c r="AH63" s="13">
        <f t="shared" si="2"/>
        <v>0</v>
      </c>
      <c r="AI63" s="14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15" t="str">
        <f t="shared" si="3"/>
        <v>肥肥</v>
      </c>
      <c r="AK63" s="17"/>
    </row>
    <row r="64" spans="1:37" ht="18" customHeight="1">
      <c r="A64" s="9" t="s">
        <v>58</v>
      </c>
      <c r="B64" s="10" t="s">
        <v>74</v>
      </c>
      <c r="C64" s="11"/>
      <c r="D64" s="2"/>
      <c r="E64" s="11">
        <v>1</v>
      </c>
      <c r="F64" s="2"/>
      <c r="G64" s="11"/>
      <c r="H64" s="11"/>
      <c r="I64" s="11"/>
      <c r="J64" s="11"/>
      <c r="K64" s="2"/>
      <c r="L64" s="11">
        <v>1</v>
      </c>
      <c r="M64" s="2"/>
      <c r="N64" s="11"/>
      <c r="O64" s="11"/>
      <c r="P64" s="11"/>
      <c r="Q64" s="11"/>
      <c r="R64" s="2"/>
      <c r="S64" s="11"/>
      <c r="T64" s="2"/>
      <c r="U64" s="11"/>
      <c r="V64" s="11"/>
      <c r="W64" s="11"/>
      <c r="X64" s="11"/>
      <c r="Y64" s="2"/>
      <c r="Z64" s="11"/>
      <c r="AA64" s="12"/>
      <c r="AB64" s="9"/>
      <c r="AC64" s="9"/>
      <c r="AD64" s="9"/>
      <c r="AE64" s="9"/>
      <c r="AF64" s="12"/>
      <c r="AG64" s="9"/>
      <c r="AH64" s="13">
        <f t="shared" si="2"/>
        <v>2</v>
      </c>
      <c r="AI64" s="14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15" t="str">
        <f t="shared" si="3"/>
        <v>蘆葦</v>
      </c>
      <c r="AK64" s="17"/>
    </row>
    <row r="65" spans="1:37" ht="18" customHeight="1">
      <c r="A65" s="9" t="s">
        <v>58</v>
      </c>
      <c r="B65" s="10" t="s">
        <v>82</v>
      </c>
      <c r="C65" s="11"/>
      <c r="D65" s="2"/>
      <c r="E65" s="11"/>
      <c r="F65" s="2"/>
      <c r="G65" s="11"/>
      <c r="H65" s="11"/>
      <c r="I65" s="11"/>
      <c r="J65" s="11"/>
      <c r="K65" s="2"/>
      <c r="L65" s="11"/>
      <c r="M65" s="2"/>
      <c r="N65" s="11"/>
      <c r="O65" s="11"/>
      <c r="P65" s="11"/>
      <c r="Q65" s="11"/>
      <c r="R65" s="2"/>
      <c r="S65" s="11"/>
      <c r="T65" s="2"/>
      <c r="U65" s="11"/>
      <c r="V65" s="11"/>
      <c r="W65" s="11"/>
      <c r="X65" s="11"/>
      <c r="Y65" s="2"/>
      <c r="Z65" s="11"/>
      <c r="AA65" s="12"/>
      <c r="AB65" s="9"/>
      <c r="AC65" s="9"/>
      <c r="AD65" s="9"/>
      <c r="AE65" s="9"/>
      <c r="AF65" s="12"/>
      <c r="AG65" s="9"/>
      <c r="AH65" s="13">
        <f t="shared" si="2"/>
        <v>0</v>
      </c>
      <c r="AI65" s="14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15" t="str">
        <f t="shared" si="3"/>
        <v>犀牛</v>
      </c>
      <c r="AK65" s="17"/>
    </row>
    <row r="66" spans="1:37" ht="18" customHeight="1">
      <c r="A66" s="9" t="s">
        <v>58</v>
      </c>
      <c r="B66" s="10" t="s">
        <v>83</v>
      </c>
      <c r="C66" s="11"/>
      <c r="D66" s="2"/>
      <c r="E66" s="11"/>
      <c r="F66" s="2"/>
      <c r="G66" s="11"/>
      <c r="H66" s="11"/>
      <c r="I66" s="11"/>
      <c r="J66" s="11"/>
      <c r="K66" s="2"/>
      <c r="L66" s="11"/>
      <c r="M66" s="2"/>
      <c r="N66" s="11"/>
      <c r="O66" s="11"/>
      <c r="P66" s="11"/>
      <c r="Q66" s="11"/>
      <c r="R66" s="2"/>
      <c r="S66" s="11"/>
      <c r="T66" s="2"/>
      <c r="U66" s="11"/>
      <c r="V66" s="11"/>
      <c r="W66" s="11"/>
      <c r="X66" s="11"/>
      <c r="Y66" s="2"/>
      <c r="Z66" s="11"/>
      <c r="AA66" s="12"/>
      <c r="AB66" s="9"/>
      <c r="AC66" s="9"/>
      <c r="AD66" s="9"/>
      <c r="AE66" s="9"/>
      <c r="AF66" s="12"/>
      <c r="AG66" s="9"/>
      <c r="AH66" s="13">
        <f t="shared" si="2"/>
        <v>0</v>
      </c>
      <c r="AI66" s="14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15" t="str">
        <f t="shared" si="3"/>
        <v>來福</v>
      </c>
      <c r="AK66" s="17"/>
    </row>
    <row r="67" spans="1:37" ht="18" customHeight="1">
      <c r="A67" s="9" t="s">
        <v>58</v>
      </c>
      <c r="B67" s="10" t="s">
        <v>27</v>
      </c>
      <c r="C67" s="11"/>
      <c r="D67" s="2"/>
      <c r="E67" s="11">
        <v>1</v>
      </c>
      <c r="F67" s="2"/>
      <c r="G67" s="11">
        <v>1</v>
      </c>
      <c r="H67" s="11">
        <v>1</v>
      </c>
      <c r="I67" s="11"/>
      <c r="J67" s="11"/>
      <c r="K67" s="2"/>
      <c r="L67" s="11"/>
      <c r="M67" s="2"/>
      <c r="N67" s="11"/>
      <c r="O67" s="11"/>
      <c r="P67" s="11"/>
      <c r="Q67" s="11"/>
      <c r="R67" s="2"/>
      <c r="S67" s="11"/>
      <c r="T67" s="2"/>
      <c r="U67" s="11"/>
      <c r="V67" s="11"/>
      <c r="W67" s="11"/>
      <c r="X67" s="11"/>
      <c r="Y67" s="2"/>
      <c r="Z67" s="11"/>
      <c r="AA67" s="12"/>
      <c r="AB67" s="9"/>
      <c r="AC67" s="9"/>
      <c r="AD67" s="9"/>
      <c r="AE67" s="9"/>
      <c r="AF67" s="12"/>
      <c r="AG67" s="9"/>
      <c r="AH67" s="13">
        <f t="shared" si="2"/>
        <v>3</v>
      </c>
      <c r="AI67" s="14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15" t="str">
        <f t="shared" si="3"/>
        <v>芋圓</v>
      </c>
      <c r="AK67" s="17"/>
    </row>
    <row r="68" spans="1:37" ht="18" customHeight="1">
      <c r="A68" s="9" t="s">
        <v>58</v>
      </c>
      <c r="B68" s="10" t="s">
        <v>84</v>
      </c>
      <c r="C68" s="11"/>
      <c r="D68" s="2"/>
      <c r="E68" s="11"/>
      <c r="F68" s="2"/>
      <c r="G68" s="11"/>
      <c r="H68" s="11"/>
      <c r="I68" s="11"/>
      <c r="J68" s="11"/>
      <c r="K68" s="2"/>
      <c r="L68" s="11"/>
      <c r="M68" s="2"/>
      <c r="N68" s="11"/>
      <c r="O68" s="11"/>
      <c r="P68" s="11"/>
      <c r="Q68" s="11"/>
      <c r="R68" s="2"/>
      <c r="S68" s="11"/>
      <c r="T68" s="2"/>
      <c r="U68" s="11"/>
      <c r="V68" s="11"/>
      <c r="W68" s="11"/>
      <c r="X68" s="11"/>
      <c r="Y68" s="2"/>
      <c r="Z68" s="11"/>
      <c r="AA68" s="12"/>
      <c r="AB68" s="9"/>
      <c r="AC68" s="9"/>
      <c r="AD68" s="9"/>
      <c r="AE68" s="9"/>
      <c r="AF68" s="12"/>
      <c r="AG68" s="9"/>
      <c r="AH68" s="13">
        <f t="shared" ref="AH68:AH99" si="4">COUNTA(C68:AG68)</f>
        <v>0</v>
      </c>
      <c r="AI68" s="14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15" t="str">
        <f t="shared" ref="AJ68:AJ99" si="5">B68</f>
        <v>誌誌</v>
      </c>
      <c r="AK68" s="17"/>
    </row>
    <row r="69" spans="1:37" ht="18" customHeight="1">
      <c r="A69" s="9" t="s">
        <v>58</v>
      </c>
      <c r="B69" s="10" t="s">
        <v>86</v>
      </c>
      <c r="C69" s="11"/>
      <c r="D69" s="2"/>
      <c r="E69" s="11"/>
      <c r="F69" s="2"/>
      <c r="G69" s="11"/>
      <c r="H69" s="11"/>
      <c r="I69" s="11"/>
      <c r="J69" s="11"/>
      <c r="K69" s="2"/>
      <c r="L69" s="11"/>
      <c r="M69" s="2"/>
      <c r="N69" s="11"/>
      <c r="O69" s="11"/>
      <c r="P69" s="11"/>
      <c r="Q69" s="11"/>
      <c r="R69" s="2"/>
      <c r="S69" s="11"/>
      <c r="T69" s="2"/>
      <c r="U69" s="11"/>
      <c r="V69" s="11"/>
      <c r="W69" s="11"/>
      <c r="X69" s="11"/>
      <c r="Y69" s="2"/>
      <c r="Z69" s="11"/>
      <c r="AA69" s="12"/>
      <c r="AB69" s="9"/>
      <c r="AC69" s="9"/>
      <c r="AD69" s="9"/>
      <c r="AE69" s="9"/>
      <c r="AF69" s="12"/>
      <c r="AG69" s="9"/>
      <c r="AH69" s="13">
        <f t="shared" si="4"/>
        <v>0</v>
      </c>
      <c r="AI69" s="14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15" t="str">
        <f t="shared" si="5"/>
        <v>正誼</v>
      </c>
      <c r="AK69" s="17"/>
    </row>
    <row r="70" spans="1:37" ht="18" customHeight="1">
      <c r="A70" s="9" t="s">
        <v>58</v>
      </c>
      <c r="B70" s="10" t="s">
        <v>32</v>
      </c>
      <c r="C70" s="11"/>
      <c r="D70" s="2"/>
      <c r="E70" s="11"/>
      <c r="F70" s="2"/>
      <c r="G70" s="11"/>
      <c r="H70" s="11"/>
      <c r="I70" s="11"/>
      <c r="J70" s="11"/>
      <c r="K70" s="2"/>
      <c r="L70" s="11"/>
      <c r="M70" s="2"/>
      <c r="N70" s="11"/>
      <c r="O70" s="11"/>
      <c r="P70" s="11"/>
      <c r="Q70" s="11"/>
      <c r="R70" s="2"/>
      <c r="S70" s="11"/>
      <c r="T70" s="2"/>
      <c r="U70" s="11"/>
      <c r="V70" s="11"/>
      <c r="W70" s="11"/>
      <c r="X70" s="11"/>
      <c r="Y70" s="2"/>
      <c r="Z70" s="11"/>
      <c r="AA70" s="12"/>
      <c r="AB70" s="9"/>
      <c r="AC70" s="9"/>
      <c r="AD70" s="9"/>
      <c r="AE70" s="9"/>
      <c r="AF70" s="12"/>
      <c r="AG70" s="9"/>
      <c r="AH70" s="13">
        <f t="shared" si="4"/>
        <v>0</v>
      </c>
      <c r="AI70" s="14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15" t="str">
        <f t="shared" si="5"/>
        <v>小翔</v>
      </c>
      <c r="AK70" s="17"/>
    </row>
    <row r="71" spans="1:37" ht="18" customHeight="1">
      <c r="A71" s="9" t="s">
        <v>58</v>
      </c>
      <c r="B71" s="10" t="s">
        <v>66</v>
      </c>
      <c r="C71" s="11"/>
      <c r="D71" s="2"/>
      <c r="E71" s="11"/>
      <c r="F71" s="2"/>
      <c r="G71" s="11"/>
      <c r="H71" s="11">
        <v>1</v>
      </c>
      <c r="I71" s="11"/>
      <c r="J71" s="11"/>
      <c r="K71" s="2"/>
      <c r="L71" s="11"/>
      <c r="M71" s="2"/>
      <c r="N71" s="11"/>
      <c r="O71" s="11"/>
      <c r="P71" s="11"/>
      <c r="Q71" s="11"/>
      <c r="R71" s="2"/>
      <c r="S71" s="11"/>
      <c r="T71" s="2"/>
      <c r="U71" s="11"/>
      <c r="V71" s="11"/>
      <c r="W71" s="11"/>
      <c r="X71" s="11"/>
      <c r="Y71" s="2"/>
      <c r="Z71" s="11"/>
      <c r="AA71" s="12"/>
      <c r="AB71" s="9"/>
      <c r="AC71" s="9"/>
      <c r="AD71" s="9"/>
      <c r="AE71" s="9"/>
      <c r="AF71" s="12"/>
      <c r="AG71" s="9"/>
      <c r="AH71" s="13">
        <f t="shared" si="4"/>
        <v>1</v>
      </c>
      <c r="AI71" s="14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15" t="str">
        <f t="shared" si="5"/>
        <v>昆佑</v>
      </c>
      <c r="AK71" s="17"/>
    </row>
    <row r="72" spans="1:37" ht="18" customHeight="1">
      <c r="A72" s="9" t="s">
        <v>58</v>
      </c>
      <c r="B72" s="10" t="s">
        <v>179</v>
      </c>
      <c r="C72" s="11"/>
      <c r="D72" s="2"/>
      <c r="E72" s="11">
        <v>1</v>
      </c>
      <c r="F72" s="2"/>
      <c r="G72" s="11"/>
      <c r="H72" s="11"/>
      <c r="I72" s="11"/>
      <c r="J72" s="11"/>
      <c r="K72" s="2"/>
      <c r="L72" s="11"/>
      <c r="M72" s="2"/>
      <c r="N72" s="11"/>
      <c r="O72" s="11">
        <v>1</v>
      </c>
      <c r="P72" s="11"/>
      <c r="Q72" s="11"/>
      <c r="R72" s="2"/>
      <c r="S72" s="11"/>
      <c r="T72" s="2"/>
      <c r="U72" s="11"/>
      <c r="V72" s="11"/>
      <c r="W72" s="11"/>
      <c r="X72" s="11"/>
      <c r="Y72" s="2"/>
      <c r="Z72" s="11"/>
      <c r="AA72" s="12"/>
      <c r="AB72" s="9"/>
      <c r="AC72" s="9"/>
      <c r="AD72" s="9"/>
      <c r="AE72" s="9"/>
      <c r="AF72" s="12"/>
      <c r="AG72" s="9"/>
      <c r="AH72" s="13">
        <f t="shared" si="4"/>
        <v>2</v>
      </c>
      <c r="AI72" s="14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15" t="str">
        <f t="shared" si="5"/>
        <v>玹玹</v>
      </c>
      <c r="AK72" s="17"/>
    </row>
    <row r="73" spans="1:37" ht="18" customHeight="1">
      <c r="A73" s="9" t="s">
        <v>58</v>
      </c>
      <c r="B73" s="10" t="s">
        <v>70</v>
      </c>
      <c r="C73" s="11"/>
      <c r="D73" s="2"/>
      <c r="E73" s="11"/>
      <c r="F73" s="2"/>
      <c r="G73" s="11"/>
      <c r="H73" s="11"/>
      <c r="I73" s="11"/>
      <c r="J73" s="11"/>
      <c r="K73" s="2"/>
      <c r="L73" s="11">
        <v>1</v>
      </c>
      <c r="M73" s="2"/>
      <c r="N73" s="11"/>
      <c r="O73" s="11"/>
      <c r="P73" s="11"/>
      <c r="Q73" s="11"/>
      <c r="R73" s="2"/>
      <c r="S73" s="11"/>
      <c r="T73" s="2"/>
      <c r="U73" s="11"/>
      <c r="V73" s="11"/>
      <c r="W73" s="11"/>
      <c r="X73" s="11"/>
      <c r="Y73" s="2"/>
      <c r="Z73" s="11"/>
      <c r="AA73" s="12"/>
      <c r="AB73" s="9"/>
      <c r="AC73" s="9"/>
      <c r="AD73" s="9"/>
      <c r="AE73" s="9"/>
      <c r="AF73" s="12"/>
      <c r="AG73" s="9"/>
      <c r="AH73" s="13">
        <f t="shared" si="4"/>
        <v>1</v>
      </c>
      <c r="AI73" s="14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15" t="str">
        <f t="shared" si="5"/>
        <v>Allen</v>
      </c>
      <c r="AK73" s="17"/>
    </row>
    <row r="74" spans="1:37" ht="18" customHeight="1">
      <c r="A74" s="9" t="s">
        <v>58</v>
      </c>
      <c r="B74" s="10" t="s">
        <v>25</v>
      </c>
      <c r="C74" s="11"/>
      <c r="D74" s="2"/>
      <c r="E74" s="11"/>
      <c r="F74" s="2"/>
      <c r="G74" s="11"/>
      <c r="H74" s="11"/>
      <c r="I74" s="11"/>
      <c r="J74" s="11"/>
      <c r="K74" s="2"/>
      <c r="L74" s="11"/>
      <c r="M74" s="2"/>
      <c r="N74" s="11"/>
      <c r="O74" s="11"/>
      <c r="P74" s="11">
        <v>1</v>
      </c>
      <c r="Q74" s="11"/>
      <c r="R74" s="2"/>
      <c r="S74" s="11">
        <v>1</v>
      </c>
      <c r="T74" s="2"/>
      <c r="U74" s="11">
        <v>1</v>
      </c>
      <c r="V74" s="11"/>
      <c r="W74" s="11">
        <v>1</v>
      </c>
      <c r="X74" s="11"/>
      <c r="Y74" s="2"/>
      <c r="Z74" s="11">
        <v>1</v>
      </c>
      <c r="AA74" s="12"/>
      <c r="AB74" s="9"/>
      <c r="AC74" s="9">
        <v>1</v>
      </c>
      <c r="AD74" s="9"/>
      <c r="AE74" s="9">
        <v>1</v>
      </c>
      <c r="AF74" s="12"/>
      <c r="AG74" s="9">
        <v>1</v>
      </c>
      <c r="AH74" s="13">
        <f t="shared" si="4"/>
        <v>8</v>
      </c>
      <c r="AI74" s="14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15" t="str">
        <f t="shared" si="5"/>
        <v>潘潘</v>
      </c>
      <c r="AK74" s="17"/>
    </row>
    <row r="75" spans="1:37" ht="18" customHeight="1">
      <c r="A75" s="18" t="s">
        <v>58</v>
      </c>
      <c r="B75" s="19" t="s">
        <v>152</v>
      </c>
      <c r="C75" s="20"/>
      <c r="D75" s="2"/>
      <c r="E75" s="20"/>
      <c r="F75" s="2"/>
      <c r="G75" s="20"/>
      <c r="H75" s="20">
        <v>1</v>
      </c>
      <c r="I75" s="20"/>
      <c r="J75" s="20"/>
      <c r="K75" s="2"/>
      <c r="L75" s="20"/>
      <c r="M75" s="2"/>
      <c r="N75" s="20"/>
      <c r="O75" s="20"/>
      <c r="P75" s="20"/>
      <c r="Q75" s="20"/>
      <c r="R75" s="2"/>
      <c r="S75" s="20"/>
      <c r="T75" s="2"/>
      <c r="U75" s="20"/>
      <c r="V75" s="20"/>
      <c r="W75" s="20"/>
      <c r="X75" s="20"/>
      <c r="Y75" s="2"/>
      <c r="Z75" s="20"/>
      <c r="AA75" s="12"/>
      <c r="AB75" s="18"/>
      <c r="AC75" s="18"/>
      <c r="AD75" s="18"/>
      <c r="AE75" s="18"/>
      <c r="AF75" s="12"/>
      <c r="AG75" s="18"/>
      <c r="AH75" s="21">
        <f t="shared" si="4"/>
        <v>1</v>
      </c>
      <c r="AI75" s="22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23" t="str">
        <f t="shared" si="5"/>
        <v>阿俗</v>
      </c>
      <c r="AK75" s="25"/>
    </row>
    <row r="76" spans="1:37" ht="18" customHeight="1">
      <c r="A76" s="18" t="s">
        <v>58</v>
      </c>
      <c r="B76" s="19" t="s">
        <v>151</v>
      </c>
      <c r="C76" s="20"/>
      <c r="D76" s="2"/>
      <c r="E76" s="20">
        <v>1</v>
      </c>
      <c r="F76" s="2"/>
      <c r="G76" s="20"/>
      <c r="H76" s="20"/>
      <c r="I76" s="20"/>
      <c r="J76" s="20"/>
      <c r="K76" s="2"/>
      <c r="L76" s="20">
        <v>1</v>
      </c>
      <c r="M76" s="2"/>
      <c r="N76" s="20"/>
      <c r="O76" s="20"/>
      <c r="P76" s="20">
        <v>1</v>
      </c>
      <c r="Q76" s="20"/>
      <c r="R76" s="2"/>
      <c r="S76" s="20">
        <v>1</v>
      </c>
      <c r="T76" s="2"/>
      <c r="U76" s="20"/>
      <c r="V76" s="20">
        <v>1</v>
      </c>
      <c r="W76" s="20"/>
      <c r="X76" s="20"/>
      <c r="Y76" s="2"/>
      <c r="Z76" s="20">
        <v>1</v>
      </c>
      <c r="AA76" s="12"/>
      <c r="AB76" s="18">
        <v>1</v>
      </c>
      <c r="AC76" s="18">
        <v>1</v>
      </c>
      <c r="AD76" s="18"/>
      <c r="AE76" s="18"/>
      <c r="AF76" s="12"/>
      <c r="AG76" s="18">
        <v>1</v>
      </c>
      <c r="AH76" s="21">
        <f t="shared" si="4"/>
        <v>9</v>
      </c>
      <c r="AI76" s="22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23" t="str">
        <f t="shared" si="5"/>
        <v>宇嬅</v>
      </c>
      <c r="AK76" s="25"/>
    </row>
    <row r="77" spans="1:37" ht="18" customHeight="1">
      <c r="A77" s="18" t="s">
        <v>58</v>
      </c>
      <c r="B77" s="19" t="s">
        <v>154</v>
      </c>
      <c r="C77" s="20"/>
      <c r="D77" s="2"/>
      <c r="E77" s="20"/>
      <c r="F77" s="2"/>
      <c r="G77" s="20"/>
      <c r="H77" s="20"/>
      <c r="I77" s="20"/>
      <c r="J77" s="20"/>
      <c r="K77" s="2"/>
      <c r="L77" s="20"/>
      <c r="M77" s="2"/>
      <c r="N77" s="20"/>
      <c r="O77" s="20"/>
      <c r="P77" s="20"/>
      <c r="Q77" s="20"/>
      <c r="R77" s="2"/>
      <c r="S77" s="20"/>
      <c r="T77" s="2"/>
      <c r="U77" s="20"/>
      <c r="V77" s="20"/>
      <c r="W77" s="20"/>
      <c r="X77" s="20"/>
      <c r="Y77" s="2"/>
      <c r="Z77" s="20"/>
      <c r="AA77" s="12"/>
      <c r="AB77" s="18"/>
      <c r="AC77" s="18"/>
      <c r="AD77" s="18"/>
      <c r="AE77" s="18"/>
      <c r="AF77" s="12"/>
      <c r="AG77" s="18"/>
      <c r="AH77" s="21">
        <f t="shared" si="4"/>
        <v>0</v>
      </c>
      <c r="AI77" s="22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23" t="str">
        <f t="shared" si="5"/>
        <v>筱攸</v>
      </c>
      <c r="AK77" s="25"/>
    </row>
    <row r="78" spans="1:37" ht="18" customHeight="1">
      <c r="A78" s="18" t="s">
        <v>58</v>
      </c>
      <c r="B78" s="19" t="s">
        <v>153</v>
      </c>
      <c r="C78" s="20">
        <v>1</v>
      </c>
      <c r="D78" s="2"/>
      <c r="E78" s="20">
        <v>1</v>
      </c>
      <c r="F78" s="2"/>
      <c r="G78" s="20">
        <v>1</v>
      </c>
      <c r="H78" s="20"/>
      <c r="I78" s="20"/>
      <c r="J78" s="20"/>
      <c r="K78" s="2"/>
      <c r="L78" s="20">
        <v>1</v>
      </c>
      <c r="M78" s="2"/>
      <c r="N78" s="20">
        <v>1</v>
      </c>
      <c r="O78" s="20">
        <v>1</v>
      </c>
      <c r="P78" s="20"/>
      <c r="Q78" s="20"/>
      <c r="R78" s="2"/>
      <c r="S78" s="20"/>
      <c r="T78" s="2"/>
      <c r="U78" s="20"/>
      <c r="V78" s="20">
        <v>1</v>
      </c>
      <c r="W78" s="20"/>
      <c r="X78" s="20"/>
      <c r="Y78" s="2"/>
      <c r="Z78" s="20">
        <v>1</v>
      </c>
      <c r="AA78" s="12"/>
      <c r="AB78" s="18">
        <v>1</v>
      </c>
      <c r="AC78" s="18"/>
      <c r="AD78" s="18"/>
      <c r="AE78" s="18"/>
      <c r="AF78" s="12"/>
      <c r="AG78" s="18"/>
      <c r="AH78" s="21">
        <f t="shared" si="4"/>
        <v>9</v>
      </c>
      <c r="AI78" s="22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23" t="str">
        <f t="shared" si="5"/>
        <v>傻妹</v>
      </c>
      <c r="AK78" s="25">
        <v>45059</v>
      </c>
    </row>
    <row r="79" spans="1:37" ht="18" customHeight="1">
      <c r="A79" s="18" t="s">
        <v>58</v>
      </c>
      <c r="B79" s="19" t="s">
        <v>96</v>
      </c>
      <c r="C79" s="20"/>
      <c r="D79" s="2"/>
      <c r="E79" s="20"/>
      <c r="F79" s="2"/>
      <c r="G79" s="20"/>
      <c r="H79" s="20"/>
      <c r="I79" s="20"/>
      <c r="J79" s="20"/>
      <c r="K79" s="2"/>
      <c r="L79" s="20"/>
      <c r="M79" s="2"/>
      <c r="N79" s="20"/>
      <c r="O79" s="20"/>
      <c r="P79" s="20"/>
      <c r="Q79" s="20"/>
      <c r="R79" s="2"/>
      <c r="S79" s="20"/>
      <c r="T79" s="2"/>
      <c r="U79" s="20"/>
      <c r="V79" s="20"/>
      <c r="W79" s="20"/>
      <c r="X79" s="20"/>
      <c r="Y79" s="2"/>
      <c r="Z79" s="20"/>
      <c r="AA79" s="12"/>
      <c r="AB79" s="18"/>
      <c r="AC79" s="18"/>
      <c r="AD79" s="18"/>
      <c r="AE79" s="18"/>
      <c r="AF79" s="12"/>
      <c r="AG79" s="18">
        <v>1</v>
      </c>
      <c r="AH79" s="21">
        <f t="shared" si="4"/>
        <v>1</v>
      </c>
      <c r="AI79" s="22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23" t="str">
        <f t="shared" si="5"/>
        <v>靜婷</v>
      </c>
      <c r="AK79" s="25"/>
    </row>
    <row r="80" spans="1:37" ht="18" customHeight="1">
      <c r="A80" s="18" t="s">
        <v>58</v>
      </c>
      <c r="B80" s="19" t="s">
        <v>155</v>
      </c>
      <c r="C80" s="20"/>
      <c r="D80" s="2"/>
      <c r="E80" s="20"/>
      <c r="F80" s="2"/>
      <c r="G80" s="20"/>
      <c r="H80" s="20"/>
      <c r="I80" s="20"/>
      <c r="J80" s="20"/>
      <c r="K80" s="2"/>
      <c r="L80" s="20"/>
      <c r="M80" s="2"/>
      <c r="N80" s="20"/>
      <c r="O80" s="20"/>
      <c r="P80" s="20"/>
      <c r="Q80" s="20"/>
      <c r="R80" s="2"/>
      <c r="S80" s="20"/>
      <c r="T80" s="2"/>
      <c r="U80" s="20"/>
      <c r="V80" s="20"/>
      <c r="W80" s="20"/>
      <c r="X80" s="20"/>
      <c r="Y80" s="2"/>
      <c r="Z80" s="20"/>
      <c r="AA80" s="12"/>
      <c r="AB80" s="18"/>
      <c r="AC80" s="18"/>
      <c r="AD80" s="18"/>
      <c r="AE80" s="18"/>
      <c r="AF80" s="12"/>
      <c r="AG80" s="18"/>
      <c r="AH80" s="21">
        <f t="shared" si="4"/>
        <v>0</v>
      </c>
      <c r="AI80" s="22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23" t="str">
        <f t="shared" si="5"/>
        <v>康康</v>
      </c>
      <c r="AK80" s="25"/>
    </row>
    <row r="81" spans="1:37" ht="18" customHeight="1">
      <c r="A81" s="18" t="s">
        <v>58</v>
      </c>
      <c r="B81" s="19" t="s">
        <v>92</v>
      </c>
      <c r="C81" s="20"/>
      <c r="D81" s="2"/>
      <c r="E81" s="20"/>
      <c r="F81" s="2"/>
      <c r="G81" s="20"/>
      <c r="H81" s="20"/>
      <c r="I81" s="20"/>
      <c r="J81" s="20"/>
      <c r="K81" s="2"/>
      <c r="L81" s="20"/>
      <c r="M81" s="2"/>
      <c r="N81" s="20"/>
      <c r="O81" s="20"/>
      <c r="P81" s="20">
        <v>1</v>
      </c>
      <c r="Q81" s="20"/>
      <c r="R81" s="2"/>
      <c r="S81" s="20"/>
      <c r="T81" s="2"/>
      <c r="U81" s="20"/>
      <c r="V81" s="20"/>
      <c r="W81" s="20"/>
      <c r="X81" s="20"/>
      <c r="Y81" s="2"/>
      <c r="Z81" s="20"/>
      <c r="AA81" s="12"/>
      <c r="AB81" s="18"/>
      <c r="AC81" s="18"/>
      <c r="AD81" s="18"/>
      <c r="AE81" s="18"/>
      <c r="AF81" s="12"/>
      <c r="AG81" s="18"/>
      <c r="AH81" s="21">
        <f t="shared" si="4"/>
        <v>1</v>
      </c>
      <c r="AI81" s="22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23" t="str">
        <f t="shared" si="5"/>
        <v>婉晴</v>
      </c>
      <c r="AK81" s="25"/>
    </row>
    <row r="82" spans="1:37" ht="18" customHeight="1">
      <c r="A82" s="18" t="s">
        <v>58</v>
      </c>
      <c r="B82" s="19" t="s">
        <v>156</v>
      </c>
      <c r="C82" s="20"/>
      <c r="D82" s="2"/>
      <c r="E82" s="20"/>
      <c r="F82" s="2"/>
      <c r="G82" s="20"/>
      <c r="H82" s="20"/>
      <c r="I82" s="20"/>
      <c r="J82" s="20"/>
      <c r="K82" s="2"/>
      <c r="L82" s="20"/>
      <c r="M82" s="2"/>
      <c r="N82" s="20"/>
      <c r="O82" s="20"/>
      <c r="P82" s="20"/>
      <c r="Q82" s="20"/>
      <c r="R82" s="2"/>
      <c r="S82" s="20"/>
      <c r="T82" s="2"/>
      <c r="U82" s="20"/>
      <c r="V82" s="20"/>
      <c r="W82" s="20"/>
      <c r="X82" s="20"/>
      <c r="Y82" s="2"/>
      <c r="Z82" s="20"/>
      <c r="AA82" s="12"/>
      <c r="AB82" s="18"/>
      <c r="AC82" s="18"/>
      <c r="AD82" s="18"/>
      <c r="AE82" s="18"/>
      <c r="AF82" s="12"/>
      <c r="AG82" s="18"/>
      <c r="AH82" s="21">
        <f t="shared" si="4"/>
        <v>0</v>
      </c>
      <c r="AI82" s="22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23" t="str">
        <f t="shared" si="5"/>
        <v>阿金</v>
      </c>
      <c r="AK82" s="25"/>
    </row>
    <row r="83" spans="1:37" ht="18" customHeight="1">
      <c r="A83" s="18" t="s">
        <v>58</v>
      </c>
      <c r="B83" s="19" t="s">
        <v>104</v>
      </c>
      <c r="C83" s="20"/>
      <c r="D83" s="2"/>
      <c r="E83" s="20"/>
      <c r="F83" s="2"/>
      <c r="G83" s="20"/>
      <c r="H83" s="20"/>
      <c r="I83" s="20"/>
      <c r="J83" s="20"/>
      <c r="K83" s="2"/>
      <c r="L83" s="20"/>
      <c r="M83" s="2"/>
      <c r="N83" s="20"/>
      <c r="O83" s="20"/>
      <c r="P83" s="20"/>
      <c r="Q83" s="20"/>
      <c r="R83" s="2"/>
      <c r="S83" s="20"/>
      <c r="T83" s="2"/>
      <c r="U83" s="20"/>
      <c r="V83" s="20"/>
      <c r="W83" s="20"/>
      <c r="X83" s="20"/>
      <c r="Y83" s="2"/>
      <c r="Z83" s="20"/>
      <c r="AA83" s="12"/>
      <c r="AB83" s="18"/>
      <c r="AC83" s="18"/>
      <c r="AD83" s="18"/>
      <c r="AE83" s="18"/>
      <c r="AF83" s="12"/>
      <c r="AG83" s="18"/>
      <c r="AH83" s="21">
        <f t="shared" si="4"/>
        <v>0</v>
      </c>
      <c r="AI83" s="22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23" t="str">
        <f t="shared" si="5"/>
        <v>卡丘</v>
      </c>
      <c r="AK83" s="25"/>
    </row>
    <row r="84" spans="1:37" ht="18" customHeight="1">
      <c r="A84" s="18" t="s">
        <v>58</v>
      </c>
      <c r="B84" s="19" t="s">
        <v>157</v>
      </c>
      <c r="C84" s="20"/>
      <c r="D84" s="2"/>
      <c r="E84" s="20"/>
      <c r="F84" s="2"/>
      <c r="G84" s="20"/>
      <c r="H84" s="20"/>
      <c r="I84" s="20"/>
      <c r="J84" s="20"/>
      <c r="K84" s="2"/>
      <c r="L84" s="20"/>
      <c r="M84" s="2"/>
      <c r="N84" s="20"/>
      <c r="O84" s="20"/>
      <c r="P84" s="20"/>
      <c r="Q84" s="20"/>
      <c r="R84" s="2"/>
      <c r="S84" s="20"/>
      <c r="T84" s="2"/>
      <c r="U84" s="20"/>
      <c r="V84" s="20"/>
      <c r="W84" s="20"/>
      <c r="X84" s="20"/>
      <c r="Y84" s="2"/>
      <c r="Z84" s="20"/>
      <c r="AA84" s="12"/>
      <c r="AB84" s="18"/>
      <c r="AC84" s="18"/>
      <c r="AD84" s="18"/>
      <c r="AE84" s="18"/>
      <c r="AF84" s="12"/>
      <c r="AG84" s="18"/>
      <c r="AH84" s="21">
        <f t="shared" si="4"/>
        <v>0</v>
      </c>
      <c r="AI84" s="22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23" t="str">
        <f t="shared" si="5"/>
        <v>派大</v>
      </c>
      <c r="AK84" s="25"/>
    </row>
    <row r="85" spans="1:37" ht="18" customHeight="1">
      <c r="A85" s="18" t="s">
        <v>58</v>
      </c>
      <c r="B85" s="19" t="s">
        <v>101</v>
      </c>
      <c r="C85" s="20"/>
      <c r="D85" s="2"/>
      <c r="E85" s="20"/>
      <c r="F85" s="2"/>
      <c r="G85" s="20"/>
      <c r="H85" s="20"/>
      <c r="I85" s="20"/>
      <c r="J85" s="20"/>
      <c r="K85" s="2"/>
      <c r="L85" s="20"/>
      <c r="M85" s="2"/>
      <c r="N85" s="20"/>
      <c r="O85" s="20"/>
      <c r="P85" s="20"/>
      <c r="Q85" s="20"/>
      <c r="R85" s="2"/>
      <c r="S85" s="20"/>
      <c r="T85" s="2"/>
      <c r="U85" s="20"/>
      <c r="V85" s="20"/>
      <c r="W85" s="20"/>
      <c r="X85" s="20"/>
      <c r="Y85" s="2"/>
      <c r="Z85" s="20"/>
      <c r="AA85" s="12"/>
      <c r="AB85" s="18"/>
      <c r="AC85" s="18"/>
      <c r="AD85" s="18"/>
      <c r="AE85" s="18"/>
      <c r="AF85" s="12"/>
      <c r="AG85" s="18"/>
      <c r="AH85" s="21">
        <f t="shared" si="4"/>
        <v>0</v>
      </c>
      <c r="AI85" s="22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23" t="str">
        <f t="shared" si="5"/>
        <v>文媛</v>
      </c>
      <c r="AK85" s="25"/>
    </row>
    <row r="86" spans="1:37" ht="18" customHeight="1">
      <c r="A86" s="18" t="s">
        <v>58</v>
      </c>
      <c r="B86" s="19" t="s">
        <v>158</v>
      </c>
      <c r="C86" s="20"/>
      <c r="D86" s="2"/>
      <c r="E86" s="20"/>
      <c r="F86" s="2"/>
      <c r="G86" s="20"/>
      <c r="H86" s="20"/>
      <c r="I86" s="20"/>
      <c r="J86" s="20"/>
      <c r="K86" s="2"/>
      <c r="L86" s="20"/>
      <c r="M86" s="2"/>
      <c r="N86" s="20"/>
      <c r="O86" s="20"/>
      <c r="P86" s="20"/>
      <c r="Q86" s="20"/>
      <c r="R86" s="2"/>
      <c r="S86" s="20"/>
      <c r="T86" s="2"/>
      <c r="U86" s="20"/>
      <c r="V86" s="20"/>
      <c r="W86" s="20"/>
      <c r="X86" s="20"/>
      <c r="Y86" s="2"/>
      <c r="Z86" s="20"/>
      <c r="AA86" s="12"/>
      <c r="AB86" s="18"/>
      <c r="AC86" s="18"/>
      <c r="AD86" s="18"/>
      <c r="AE86" s="18"/>
      <c r="AF86" s="12"/>
      <c r="AG86" s="18"/>
      <c r="AH86" s="21">
        <f t="shared" si="4"/>
        <v>0</v>
      </c>
      <c r="AI86" s="22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23" t="str">
        <f t="shared" si="5"/>
        <v>吉娃</v>
      </c>
      <c r="AK86" s="25"/>
    </row>
    <row r="87" spans="1:37" ht="18" customHeight="1">
      <c r="A87" s="26" t="s">
        <v>58</v>
      </c>
      <c r="B87" s="27" t="s">
        <v>126</v>
      </c>
      <c r="C87" s="28"/>
      <c r="D87" s="2"/>
      <c r="E87" s="28"/>
      <c r="F87" s="2"/>
      <c r="G87" s="28"/>
      <c r="H87" s="28"/>
      <c r="I87" s="28"/>
      <c r="J87" s="28"/>
      <c r="K87" s="2"/>
      <c r="L87" s="28"/>
      <c r="M87" s="2"/>
      <c r="N87" s="28"/>
      <c r="O87" s="28"/>
      <c r="P87" s="28"/>
      <c r="Q87" s="28"/>
      <c r="R87" s="2"/>
      <c r="S87" s="28"/>
      <c r="T87" s="2"/>
      <c r="U87" s="28"/>
      <c r="V87" s="28"/>
      <c r="W87" s="28"/>
      <c r="X87" s="28"/>
      <c r="Y87" s="2"/>
      <c r="Z87" s="28"/>
      <c r="AA87" s="12"/>
      <c r="AB87" s="26"/>
      <c r="AC87" s="26"/>
      <c r="AD87" s="26"/>
      <c r="AE87" s="26"/>
      <c r="AF87" s="12"/>
      <c r="AG87" s="26"/>
      <c r="AH87" s="29">
        <f t="shared" si="4"/>
        <v>0</v>
      </c>
      <c r="AI87" s="30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31" t="str">
        <f t="shared" si="5"/>
        <v>妹妹</v>
      </c>
      <c r="AK87" s="32"/>
    </row>
    <row r="88" spans="1:37" ht="18" customHeight="1">
      <c r="A88" s="26" t="s">
        <v>58</v>
      </c>
      <c r="B88" s="27" t="s">
        <v>160</v>
      </c>
      <c r="C88" s="28"/>
      <c r="D88" s="2"/>
      <c r="E88" s="28"/>
      <c r="F88" s="2"/>
      <c r="G88" s="28"/>
      <c r="H88" s="28"/>
      <c r="I88" s="28"/>
      <c r="J88" s="28"/>
      <c r="K88" s="2"/>
      <c r="L88" s="28"/>
      <c r="M88" s="2"/>
      <c r="N88" s="28"/>
      <c r="O88" s="28"/>
      <c r="P88" s="28"/>
      <c r="Q88" s="28"/>
      <c r="R88" s="2"/>
      <c r="S88" s="28"/>
      <c r="T88" s="2"/>
      <c r="U88" s="28"/>
      <c r="V88" s="28"/>
      <c r="W88" s="28"/>
      <c r="X88" s="28"/>
      <c r="Y88" s="2"/>
      <c r="Z88" s="28"/>
      <c r="AA88" s="12"/>
      <c r="AB88" s="26"/>
      <c r="AC88" s="26"/>
      <c r="AD88" s="26"/>
      <c r="AE88" s="26"/>
      <c r="AF88" s="12"/>
      <c r="AG88" s="26"/>
      <c r="AH88" s="29">
        <f t="shared" si="4"/>
        <v>0</v>
      </c>
      <c r="AI88" s="30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31" t="str">
        <f t="shared" si="5"/>
        <v>小妹</v>
      </c>
      <c r="AK88" s="32"/>
    </row>
    <row r="89" spans="1:37" ht="18" customHeight="1">
      <c r="A89" s="26" t="s">
        <v>58</v>
      </c>
      <c r="B89" s="27" t="s">
        <v>130</v>
      </c>
      <c r="C89" s="28"/>
      <c r="D89" s="2"/>
      <c r="E89" s="28">
        <v>1</v>
      </c>
      <c r="F89" s="2"/>
      <c r="G89" s="28"/>
      <c r="H89" s="28"/>
      <c r="I89" s="28"/>
      <c r="J89" s="28"/>
      <c r="K89" s="2"/>
      <c r="L89" s="28"/>
      <c r="M89" s="2"/>
      <c r="N89" s="28"/>
      <c r="O89" s="28"/>
      <c r="P89" s="28"/>
      <c r="Q89" s="28"/>
      <c r="R89" s="2"/>
      <c r="S89" s="28"/>
      <c r="T89" s="2"/>
      <c r="U89" s="28"/>
      <c r="V89" s="28"/>
      <c r="W89" s="28"/>
      <c r="X89" s="28"/>
      <c r="Y89" s="2"/>
      <c r="Z89" s="28"/>
      <c r="AA89" s="12"/>
      <c r="AB89" s="26"/>
      <c r="AC89" s="26"/>
      <c r="AD89" s="26"/>
      <c r="AE89" s="26"/>
      <c r="AF89" s="12"/>
      <c r="AG89" s="26"/>
      <c r="AH89" s="29">
        <f t="shared" si="4"/>
        <v>1</v>
      </c>
      <c r="AI89" s="30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31" t="str">
        <f t="shared" si="5"/>
        <v>猛女</v>
      </c>
      <c r="AK89" s="32"/>
    </row>
    <row r="90" spans="1:37" ht="18" customHeight="1">
      <c r="A90" s="26" t="s">
        <v>58</v>
      </c>
      <c r="B90" s="27" t="s">
        <v>131</v>
      </c>
      <c r="C90" s="28"/>
      <c r="D90" s="2"/>
      <c r="E90" s="28"/>
      <c r="F90" s="2"/>
      <c r="G90" s="28"/>
      <c r="H90" s="28"/>
      <c r="I90" s="28"/>
      <c r="J90" s="28"/>
      <c r="K90" s="2"/>
      <c r="L90" s="28"/>
      <c r="M90" s="2"/>
      <c r="N90" s="28"/>
      <c r="O90" s="28"/>
      <c r="P90" s="28"/>
      <c r="Q90" s="28"/>
      <c r="R90" s="2"/>
      <c r="S90" s="28"/>
      <c r="T90" s="2"/>
      <c r="U90" s="28"/>
      <c r="V90" s="28"/>
      <c r="W90" s="28"/>
      <c r="X90" s="28"/>
      <c r="Y90" s="2"/>
      <c r="Z90" s="28"/>
      <c r="AA90" s="12"/>
      <c r="AB90" s="26"/>
      <c r="AC90" s="26"/>
      <c r="AD90" s="26"/>
      <c r="AE90" s="26"/>
      <c r="AF90" s="12"/>
      <c r="AG90" s="26"/>
      <c r="AH90" s="29">
        <f t="shared" si="4"/>
        <v>0</v>
      </c>
      <c r="AI90" s="30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31" t="str">
        <f t="shared" si="5"/>
        <v>欣容</v>
      </c>
      <c r="AK90" s="32"/>
    </row>
    <row r="91" spans="1:37" ht="18" customHeight="1">
      <c r="A91" s="26" t="s">
        <v>58</v>
      </c>
      <c r="B91" s="27" t="s">
        <v>132</v>
      </c>
      <c r="C91" s="28"/>
      <c r="D91" s="2"/>
      <c r="E91" s="28"/>
      <c r="F91" s="2"/>
      <c r="G91" s="28"/>
      <c r="H91" s="28"/>
      <c r="I91" s="28"/>
      <c r="J91" s="28"/>
      <c r="K91" s="2"/>
      <c r="L91" s="28"/>
      <c r="M91" s="2"/>
      <c r="N91" s="28"/>
      <c r="O91" s="28"/>
      <c r="P91" s="28"/>
      <c r="Q91" s="28"/>
      <c r="R91" s="2"/>
      <c r="S91" s="28"/>
      <c r="T91" s="2"/>
      <c r="U91" s="28"/>
      <c r="V91" s="28"/>
      <c r="W91" s="28"/>
      <c r="X91" s="28"/>
      <c r="Y91" s="2"/>
      <c r="Z91" s="28"/>
      <c r="AA91" s="12"/>
      <c r="AB91" s="26"/>
      <c r="AC91" s="26"/>
      <c r="AD91" s="26"/>
      <c r="AE91" s="26"/>
      <c r="AF91" s="12"/>
      <c r="AG91" s="26"/>
      <c r="AH91" s="29">
        <f t="shared" si="4"/>
        <v>0</v>
      </c>
      <c r="AI91" s="30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31" t="str">
        <f t="shared" si="5"/>
        <v>萁萁</v>
      </c>
      <c r="AK91" s="32"/>
    </row>
    <row r="92" spans="1:37" ht="18" customHeight="1">
      <c r="A92" s="26" t="s">
        <v>58</v>
      </c>
      <c r="B92" s="27" t="s">
        <v>133</v>
      </c>
      <c r="C92" s="28"/>
      <c r="D92" s="2"/>
      <c r="E92" s="28"/>
      <c r="F92" s="2"/>
      <c r="G92" s="28"/>
      <c r="H92" s="28"/>
      <c r="I92" s="28"/>
      <c r="J92" s="28"/>
      <c r="K92" s="2"/>
      <c r="L92" s="28"/>
      <c r="M92" s="2"/>
      <c r="N92" s="28"/>
      <c r="O92" s="28"/>
      <c r="P92" s="28"/>
      <c r="Q92" s="28"/>
      <c r="R92" s="2"/>
      <c r="S92" s="28"/>
      <c r="T92" s="2"/>
      <c r="U92" s="28"/>
      <c r="V92" s="28"/>
      <c r="W92" s="28"/>
      <c r="X92" s="28"/>
      <c r="Y92" s="2"/>
      <c r="Z92" s="28"/>
      <c r="AA92" s="12"/>
      <c r="AB92" s="26"/>
      <c r="AC92" s="26"/>
      <c r="AD92" s="26"/>
      <c r="AE92" s="26"/>
      <c r="AF92" s="12"/>
      <c r="AG92" s="26"/>
      <c r="AH92" s="29">
        <f t="shared" si="4"/>
        <v>0</v>
      </c>
      <c r="AI92" s="30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31" t="str">
        <f t="shared" si="5"/>
        <v>萱</v>
      </c>
      <c r="AK92" s="32"/>
    </row>
    <row r="93" spans="1:37" ht="18" customHeight="1">
      <c r="A93" s="26" t="s">
        <v>58</v>
      </c>
      <c r="B93" s="27" t="s">
        <v>134</v>
      </c>
      <c r="C93" s="28"/>
      <c r="D93" s="2"/>
      <c r="E93" s="28"/>
      <c r="F93" s="2"/>
      <c r="G93" s="28"/>
      <c r="H93" s="28"/>
      <c r="I93" s="28"/>
      <c r="J93" s="28"/>
      <c r="K93" s="2"/>
      <c r="L93" s="28"/>
      <c r="M93" s="2"/>
      <c r="N93" s="28"/>
      <c r="O93" s="28"/>
      <c r="P93" s="28"/>
      <c r="Q93" s="28"/>
      <c r="R93" s="2"/>
      <c r="S93" s="28"/>
      <c r="T93" s="2"/>
      <c r="U93" s="28"/>
      <c r="V93" s="28"/>
      <c r="W93" s="28"/>
      <c r="X93" s="28"/>
      <c r="Y93" s="2"/>
      <c r="Z93" s="28"/>
      <c r="AA93" s="12"/>
      <c r="AB93" s="26"/>
      <c r="AC93" s="26"/>
      <c r="AD93" s="26"/>
      <c r="AE93" s="26"/>
      <c r="AF93" s="12"/>
      <c r="AG93" s="26"/>
      <c r="AH93" s="29">
        <f t="shared" si="4"/>
        <v>0</v>
      </c>
      <c r="AI93" s="30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31" t="str">
        <f t="shared" si="5"/>
        <v>Mei</v>
      </c>
      <c r="AK93" s="32"/>
    </row>
    <row r="94" spans="1:37" ht="18" customHeight="1">
      <c r="A94" s="26" t="s">
        <v>58</v>
      </c>
      <c r="B94" s="27" t="s">
        <v>161</v>
      </c>
      <c r="C94" s="28"/>
      <c r="D94" s="2"/>
      <c r="E94" s="28"/>
      <c r="F94" s="2"/>
      <c r="G94" s="28"/>
      <c r="H94" s="28"/>
      <c r="I94" s="28"/>
      <c r="J94" s="28"/>
      <c r="K94" s="2"/>
      <c r="L94" s="28"/>
      <c r="M94" s="2"/>
      <c r="N94" s="28"/>
      <c r="O94" s="28"/>
      <c r="P94" s="28"/>
      <c r="Q94" s="28"/>
      <c r="R94" s="2"/>
      <c r="S94" s="28"/>
      <c r="T94" s="2"/>
      <c r="U94" s="28"/>
      <c r="V94" s="28"/>
      <c r="W94" s="28"/>
      <c r="X94" s="28"/>
      <c r="Y94" s="2"/>
      <c r="Z94" s="28"/>
      <c r="AA94" s="12"/>
      <c r="AB94" s="26"/>
      <c r="AC94" s="26"/>
      <c r="AD94" s="26"/>
      <c r="AE94" s="26"/>
      <c r="AF94" s="12"/>
      <c r="AG94" s="26"/>
      <c r="AH94" s="29">
        <f t="shared" si="4"/>
        <v>0</v>
      </c>
      <c r="AI94" s="30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31" t="str">
        <f t="shared" si="5"/>
        <v>佩鈺</v>
      </c>
      <c r="AK94" s="32"/>
    </row>
    <row r="95" spans="1:37" ht="18" customHeight="1">
      <c r="A95" s="26" t="s">
        <v>58</v>
      </c>
      <c r="B95" s="27" t="s">
        <v>124</v>
      </c>
      <c r="C95" s="28"/>
      <c r="D95" s="2"/>
      <c r="E95" s="28"/>
      <c r="F95" s="2"/>
      <c r="G95" s="28"/>
      <c r="H95" s="28"/>
      <c r="I95" s="28"/>
      <c r="J95" s="28"/>
      <c r="K95" s="2"/>
      <c r="L95" s="28"/>
      <c r="M95" s="2"/>
      <c r="N95" s="28"/>
      <c r="O95" s="28"/>
      <c r="P95" s="28"/>
      <c r="Q95" s="28"/>
      <c r="R95" s="2"/>
      <c r="S95" s="28"/>
      <c r="T95" s="2"/>
      <c r="U95" s="28"/>
      <c r="V95" s="28"/>
      <c r="W95" s="28"/>
      <c r="X95" s="28"/>
      <c r="Y95" s="2"/>
      <c r="Z95" s="28"/>
      <c r="AA95" s="12"/>
      <c r="AB95" s="26"/>
      <c r="AC95" s="26"/>
      <c r="AD95" s="26"/>
      <c r="AE95" s="26"/>
      <c r="AF95" s="12"/>
      <c r="AG95" s="26"/>
      <c r="AH95" s="29">
        <f t="shared" si="4"/>
        <v>0</v>
      </c>
      <c r="AI95" s="30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31" t="str">
        <f t="shared" si="5"/>
        <v>玉蕙</v>
      </c>
      <c r="AK95" s="32"/>
    </row>
    <row r="96" spans="1:37" ht="18" customHeight="1">
      <c r="A96" s="26" t="s">
        <v>58</v>
      </c>
      <c r="B96" s="27" t="s">
        <v>159</v>
      </c>
      <c r="C96" s="28"/>
      <c r="D96" s="2"/>
      <c r="E96" s="28"/>
      <c r="F96" s="2"/>
      <c r="G96" s="28"/>
      <c r="H96" s="28"/>
      <c r="I96" s="28"/>
      <c r="J96" s="28"/>
      <c r="K96" s="2"/>
      <c r="L96" s="28"/>
      <c r="M96" s="2"/>
      <c r="N96" s="28"/>
      <c r="O96" s="28"/>
      <c r="P96" s="28"/>
      <c r="Q96" s="28"/>
      <c r="R96" s="2"/>
      <c r="S96" s="28"/>
      <c r="T96" s="2"/>
      <c r="U96" s="28"/>
      <c r="V96" s="28"/>
      <c r="W96" s="28"/>
      <c r="X96" s="28"/>
      <c r="Y96" s="2"/>
      <c r="Z96" s="28"/>
      <c r="AA96" s="12"/>
      <c r="AB96" s="26"/>
      <c r="AC96" s="26"/>
      <c r="AD96" s="26"/>
      <c r="AE96" s="26"/>
      <c r="AF96" s="12"/>
      <c r="AG96" s="26"/>
      <c r="AH96" s="29">
        <f t="shared" si="4"/>
        <v>0</v>
      </c>
      <c r="AI96" s="30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31" t="str">
        <f t="shared" si="5"/>
        <v>小寧</v>
      </c>
      <c r="AK96" s="32"/>
    </row>
    <row r="97" spans="1:37" ht="18" customHeight="1">
      <c r="A97" s="26" t="s">
        <v>58</v>
      </c>
      <c r="B97" s="27" t="s">
        <v>135</v>
      </c>
      <c r="C97" s="28"/>
      <c r="D97" s="2"/>
      <c r="E97" s="28"/>
      <c r="F97" s="2"/>
      <c r="G97" s="28"/>
      <c r="H97" s="28"/>
      <c r="I97" s="28"/>
      <c r="J97" s="28"/>
      <c r="K97" s="2"/>
      <c r="L97" s="28"/>
      <c r="M97" s="2"/>
      <c r="N97" s="28"/>
      <c r="O97" s="28"/>
      <c r="P97" s="28"/>
      <c r="Q97" s="28"/>
      <c r="R97" s="2"/>
      <c r="S97" s="28"/>
      <c r="T97" s="2"/>
      <c r="U97" s="28"/>
      <c r="V97" s="28"/>
      <c r="W97" s="28"/>
      <c r="X97" s="28"/>
      <c r="Y97" s="2"/>
      <c r="Z97" s="28"/>
      <c r="AA97" s="12"/>
      <c r="AB97" s="26"/>
      <c r="AC97" s="26"/>
      <c r="AD97" s="26"/>
      <c r="AE97" s="26"/>
      <c r="AF97" s="12"/>
      <c r="AG97" s="26"/>
      <c r="AH97" s="29">
        <f t="shared" si="4"/>
        <v>0</v>
      </c>
      <c r="AI97" s="30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31" t="str">
        <f t="shared" si="5"/>
        <v>屁屁</v>
      </c>
      <c r="AK97" s="32"/>
    </row>
    <row r="98" spans="1:37" ht="18" customHeight="1">
      <c r="A98" s="26" t="s">
        <v>58</v>
      </c>
      <c r="B98" s="27" t="s">
        <v>162</v>
      </c>
      <c r="C98" s="28"/>
      <c r="D98" s="2"/>
      <c r="E98" s="28"/>
      <c r="F98" s="2"/>
      <c r="G98" s="28"/>
      <c r="H98" s="28"/>
      <c r="I98" s="28"/>
      <c r="J98" s="28"/>
      <c r="K98" s="2"/>
      <c r="L98" s="28"/>
      <c r="M98" s="2"/>
      <c r="N98" s="28"/>
      <c r="O98" s="28"/>
      <c r="P98" s="28"/>
      <c r="Q98" s="28"/>
      <c r="R98" s="2"/>
      <c r="S98" s="28"/>
      <c r="T98" s="2"/>
      <c r="U98" s="28"/>
      <c r="V98" s="28"/>
      <c r="W98" s="28"/>
      <c r="X98" s="28"/>
      <c r="Y98" s="2"/>
      <c r="Z98" s="28"/>
      <c r="AA98" s="12"/>
      <c r="AB98" s="26"/>
      <c r="AC98" s="26"/>
      <c r="AD98" s="26"/>
      <c r="AE98" s="26"/>
      <c r="AF98" s="12"/>
      <c r="AG98" s="26"/>
      <c r="AH98" s="29">
        <f t="shared" si="4"/>
        <v>0</v>
      </c>
      <c r="AI98" s="30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31" t="str">
        <f t="shared" si="5"/>
        <v>阿布</v>
      </c>
      <c r="AK98" s="32"/>
    </row>
    <row r="99" spans="1:37" ht="18" customHeight="1">
      <c r="A99" s="26" t="s">
        <v>58</v>
      </c>
      <c r="B99" s="27" t="s">
        <v>127</v>
      </c>
      <c r="C99" s="28"/>
      <c r="D99" s="2"/>
      <c r="E99" s="28">
        <v>1</v>
      </c>
      <c r="F99" s="2"/>
      <c r="G99" s="28"/>
      <c r="H99" s="28">
        <v>1</v>
      </c>
      <c r="I99" s="28"/>
      <c r="J99" s="28"/>
      <c r="K99" s="2"/>
      <c r="L99" s="28"/>
      <c r="M99" s="2"/>
      <c r="N99" s="28">
        <v>1</v>
      </c>
      <c r="O99" s="28"/>
      <c r="P99" s="28"/>
      <c r="Q99" s="28"/>
      <c r="R99" s="2"/>
      <c r="S99" s="28">
        <v>1</v>
      </c>
      <c r="T99" s="2"/>
      <c r="U99" s="28">
        <v>1</v>
      </c>
      <c r="V99" s="28">
        <v>1</v>
      </c>
      <c r="W99" s="28"/>
      <c r="X99" s="28"/>
      <c r="Y99" s="2"/>
      <c r="Z99" s="28"/>
      <c r="AA99" s="12"/>
      <c r="AB99" s="26">
        <v>1</v>
      </c>
      <c r="AC99" s="26"/>
      <c r="AD99" s="26"/>
      <c r="AE99" s="26"/>
      <c r="AF99" s="12"/>
      <c r="AG99" s="26">
        <v>1</v>
      </c>
      <c r="AH99" s="29">
        <f t="shared" si="4"/>
        <v>8</v>
      </c>
      <c r="AI99" s="30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31" t="str">
        <f t="shared" si="5"/>
        <v>小雞</v>
      </c>
      <c r="AK99" s="32"/>
    </row>
    <row r="100" spans="1:37" ht="18" customHeight="1">
      <c r="A100" s="26" t="s">
        <v>58</v>
      </c>
      <c r="B100" s="27" t="s">
        <v>180</v>
      </c>
      <c r="C100" s="28"/>
      <c r="D100" s="2"/>
      <c r="E100" s="28"/>
      <c r="F100" s="2"/>
      <c r="G100" s="28"/>
      <c r="H100" s="28"/>
      <c r="I100" s="28"/>
      <c r="J100" s="28"/>
      <c r="K100" s="2"/>
      <c r="L100" s="28"/>
      <c r="M100" s="2"/>
      <c r="N100" s="28"/>
      <c r="O100" s="28"/>
      <c r="P100" s="28"/>
      <c r="Q100" s="28"/>
      <c r="R100" s="2"/>
      <c r="S100" s="28"/>
      <c r="T100" s="2"/>
      <c r="U100" s="28"/>
      <c r="V100" s="28"/>
      <c r="W100" s="28"/>
      <c r="X100" s="28"/>
      <c r="Y100" s="2"/>
      <c r="Z100" s="28"/>
      <c r="AA100" s="12"/>
      <c r="AB100" s="26"/>
      <c r="AC100" s="26"/>
      <c r="AD100" s="26"/>
      <c r="AE100" s="26"/>
      <c r="AF100" s="12"/>
      <c r="AG100" s="26"/>
      <c r="AH100" s="29">
        <f t="shared" ref="AH100:AH131" si="6">COUNTA(C100:AG100)</f>
        <v>0</v>
      </c>
      <c r="AI100" s="30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31" t="str">
        <f t="shared" ref="AJ100:AJ106" si="7">B100</f>
        <v>小茜</v>
      </c>
      <c r="AK100" s="32"/>
    </row>
    <row r="101" spans="1:37" ht="18" customHeight="1">
      <c r="A101" s="26" t="s">
        <v>58</v>
      </c>
      <c r="B101" s="27" t="s">
        <v>137</v>
      </c>
      <c r="C101" s="28"/>
      <c r="D101" s="2"/>
      <c r="E101" s="28"/>
      <c r="F101" s="2"/>
      <c r="G101" s="28"/>
      <c r="H101" s="28"/>
      <c r="I101" s="28"/>
      <c r="J101" s="28"/>
      <c r="K101" s="2"/>
      <c r="L101" s="28"/>
      <c r="M101" s="2"/>
      <c r="N101" s="28"/>
      <c r="O101" s="28"/>
      <c r="P101" s="28"/>
      <c r="Q101" s="28"/>
      <c r="R101" s="2"/>
      <c r="S101" s="28"/>
      <c r="T101" s="2"/>
      <c r="U101" s="28"/>
      <c r="V101" s="28"/>
      <c r="W101" s="28"/>
      <c r="X101" s="28"/>
      <c r="Y101" s="2"/>
      <c r="Z101" s="28"/>
      <c r="AA101" s="12"/>
      <c r="AB101" s="26"/>
      <c r="AC101" s="26"/>
      <c r="AD101" s="26"/>
      <c r="AE101" s="26"/>
      <c r="AF101" s="12"/>
      <c r="AG101" s="26"/>
      <c r="AH101" s="29">
        <f t="shared" si="6"/>
        <v>0</v>
      </c>
      <c r="AI101" s="30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31" t="str">
        <f t="shared" si="7"/>
        <v>姚</v>
      </c>
      <c r="AK101" s="32"/>
    </row>
    <row r="102" spans="1:37" ht="18" customHeight="1">
      <c r="A102" s="26" t="s">
        <v>58</v>
      </c>
      <c r="B102" s="27" t="s">
        <v>181</v>
      </c>
      <c r="C102" s="28"/>
      <c r="D102" s="2"/>
      <c r="E102" s="28"/>
      <c r="F102" s="2"/>
      <c r="G102" s="28"/>
      <c r="H102" s="28"/>
      <c r="I102" s="28"/>
      <c r="J102" s="28"/>
      <c r="K102" s="2"/>
      <c r="L102" s="28"/>
      <c r="M102" s="2"/>
      <c r="N102" s="28"/>
      <c r="O102" s="28"/>
      <c r="P102" s="28"/>
      <c r="Q102" s="28"/>
      <c r="R102" s="2"/>
      <c r="S102" s="28"/>
      <c r="T102" s="2"/>
      <c r="U102" s="28"/>
      <c r="V102" s="28"/>
      <c r="W102" s="28"/>
      <c r="X102" s="28"/>
      <c r="Y102" s="2"/>
      <c r="Z102" s="28"/>
      <c r="AA102" s="12"/>
      <c r="AB102" s="26"/>
      <c r="AC102" s="26"/>
      <c r="AD102" s="26"/>
      <c r="AE102" s="26"/>
      <c r="AF102" s="12"/>
      <c r="AG102" s="26"/>
      <c r="AH102" s="29">
        <f t="shared" si="6"/>
        <v>0</v>
      </c>
      <c r="AI102" s="30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31" t="str">
        <f t="shared" si="7"/>
        <v>毛毛</v>
      </c>
      <c r="AK102" s="32"/>
    </row>
    <row r="103" spans="1:37" ht="18" customHeight="1">
      <c r="A103" s="35"/>
      <c r="B103" s="36"/>
      <c r="C103" s="37"/>
      <c r="D103" s="2"/>
      <c r="E103" s="37"/>
      <c r="F103" s="2"/>
      <c r="G103" s="37"/>
      <c r="H103" s="37"/>
      <c r="I103" s="37"/>
      <c r="J103" s="37"/>
      <c r="K103" s="2"/>
      <c r="L103" s="37"/>
      <c r="M103" s="2"/>
      <c r="N103" s="37"/>
      <c r="O103" s="37"/>
      <c r="P103" s="37"/>
      <c r="Q103" s="37"/>
      <c r="R103" s="2"/>
      <c r="S103" s="37"/>
      <c r="T103" s="2"/>
      <c r="U103" s="37"/>
      <c r="V103" s="37"/>
      <c r="W103" s="37"/>
      <c r="X103" s="37"/>
      <c r="Y103" s="2"/>
      <c r="Z103" s="37"/>
      <c r="AA103" s="12"/>
      <c r="AB103" s="35"/>
      <c r="AC103" s="35"/>
      <c r="AD103" s="35"/>
      <c r="AE103" s="35"/>
      <c r="AF103" s="12"/>
      <c r="AG103" s="35"/>
      <c r="AH103" s="38">
        <f t="shared" si="6"/>
        <v>0</v>
      </c>
      <c r="AI103" s="39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40">
        <f t="shared" si="7"/>
        <v>0</v>
      </c>
      <c r="AK103" s="41"/>
    </row>
    <row r="104" spans="1:37" ht="18" customHeight="1">
      <c r="A104" s="35"/>
      <c r="B104" s="36"/>
      <c r="C104" s="37"/>
      <c r="D104" s="2"/>
      <c r="E104" s="37"/>
      <c r="F104" s="2"/>
      <c r="G104" s="37"/>
      <c r="H104" s="37"/>
      <c r="I104" s="37"/>
      <c r="J104" s="37"/>
      <c r="K104" s="2"/>
      <c r="L104" s="37"/>
      <c r="M104" s="2"/>
      <c r="N104" s="37"/>
      <c r="O104" s="37"/>
      <c r="P104" s="37"/>
      <c r="Q104" s="37"/>
      <c r="R104" s="2"/>
      <c r="S104" s="37"/>
      <c r="T104" s="2"/>
      <c r="U104" s="37"/>
      <c r="V104" s="37"/>
      <c r="W104" s="37"/>
      <c r="X104" s="37"/>
      <c r="Y104" s="2"/>
      <c r="Z104" s="37"/>
      <c r="AA104" s="12"/>
      <c r="AB104" s="35"/>
      <c r="AC104" s="35"/>
      <c r="AD104" s="35"/>
      <c r="AE104" s="35"/>
      <c r="AF104" s="12"/>
      <c r="AG104" s="35"/>
      <c r="AH104" s="38">
        <f t="shared" si="6"/>
        <v>0</v>
      </c>
      <c r="AI104" s="39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40">
        <f t="shared" si="7"/>
        <v>0</v>
      </c>
      <c r="AK104" s="41"/>
    </row>
    <row r="105" spans="1:37" ht="18" customHeight="1">
      <c r="A105" s="35"/>
      <c r="B105" s="36"/>
      <c r="C105" s="37"/>
      <c r="D105" s="2"/>
      <c r="E105" s="37"/>
      <c r="F105" s="2"/>
      <c r="G105" s="37"/>
      <c r="H105" s="37"/>
      <c r="I105" s="37"/>
      <c r="J105" s="37"/>
      <c r="K105" s="2"/>
      <c r="L105" s="37"/>
      <c r="M105" s="2"/>
      <c r="N105" s="37"/>
      <c r="O105" s="37"/>
      <c r="P105" s="37"/>
      <c r="Q105" s="37"/>
      <c r="R105" s="2"/>
      <c r="S105" s="37"/>
      <c r="T105" s="2"/>
      <c r="U105" s="37"/>
      <c r="V105" s="37"/>
      <c r="W105" s="37"/>
      <c r="X105" s="37"/>
      <c r="Y105" s="2"/>
      <c r="Z105" s="37"/>
      <c r="AA105" s="12"/>
      <c r="AB105" s="35"/>
      <c r="AC105" s="35"/>
      <c r="AD105" s="35"/>
      <c r="AE105" s="35"/>
      <c r="AF105" s="12"/>
      <c r="AG105" s="35"/>
      <c r="AH105" s="38">
        <f t="shared" si="6"/>
        <v>0</v>
      </c>
      <c r="AI105" s="39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40">
        <f t="shared" si="7"/>
        <v>0</v>
      </c>
      <c r="AK105" s="41"/>
    </row>
    <row r="106" spans="1:37" ht="18" customHeight="1">
      <c r="A106" s="35"/>
      <c r="B106" s="36"/>
      <c r="C106" s="37"/>
      <c r="D106" s="2"/>
      <c r="E106" s="37"/>
      <c r="F106" s="2"/>
      <c r="G106" s="37"/>
      <c r="H106" s="37"/>
      <c r="I106" s="37"/>
      <c r="J106" s="37"/>
      <c r="K106" s="2"/>
      <c r="L106" s="37"/>
      <c r="M106" s="2"/>
      <c r="N106" s="37"/>
      <c r="O106" s="37"/>
      <c r="P106" s="37"/>
      <c r="Q106" s="37"/>
      <c r="R106" s="2"/>
      <c r="S106" s="37"/>
      <c r="T106" s="2"/>
      <c r="U106" s="37"/>
      <c r="V106" s="37"/>
      <c r="W106" s="37"/>
      <c r="X106" s="37"/>
      <c r="Y106" s="2"/>
      <c r="Z106" s="37"/>
      <c r="AA106" s="12"/>
      <c r="AB106" s="35"/>
      <c r="AC106" s="35"/>
      <c r="AD106" s="35"/>
      <c r="AE106" s="35"/>
      <c r="AF106" s="12"/>
      <c r="AG106" s="35"/>
      <c r="AH106" s="38">
        <f t="shared" si="6"/>
        <v>0</v>
      </c>
      <c r="AI106" s="39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40">
        <f t="shared" si="7"/>
        <v>0</v>
      </c>
      <c r="AK106" s="41"/>
    </row>
  </sheetData>
  <mergeCells count="5">
    <mergeCell ref="AI1:AI3"/>
    <mergeCell ref="AJ1:AJ3"/>
    <mergeCell ref="AH1:AH3"/>
    <mergeCell ref="A1:B1"/>
    <mergeCell ref="AK1:AK2"/>
  </mergeCells>
  <phoneticPr fontId="12" type="noConversion"/>
  <printOptions horizontalCentered="1" gridLines="1"/>
  <pageMargins left="0.25" right="0.25" top="0.19685039370078741" bottom="0.19685039370078741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11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3" max="33" width="4.453125" customWidth="1"/>
    <col min="34" max="34" width="6" customWidth="1"/>
    <col min="35" max="35" width="6.1796875" customWidth="1"/>
    <col min="36" max="36" width="16.26953125" hidden="1" customWidth="1"/>
  </cols>
  <sheetData>
    <row r="1" spans="1:36" ht="18" customHeight="1">
      <c r="A1" s="279" t="s">
        <v>0</v>
      </c>
      <c r="B1" s="280"/>
      <c r="C1" s="2"/>
      <c r="D1" s="1" t="s">
        <v>183</v>
      </c>
      <c r="E1" s="1" t="s">
        <v>185</v>
      </c>
      <c r="F1" s="1"/>
      <c r="G1" s="1" t="s">
        <v>182</v>
      </c>
      <c r="H1" s="2"/>
      <c r="I1" s="1" t="s">
        <v>183</v>
      </c>
      <c r="J1" s="2"/>
      <c r="K1" s="1" t="s">
        <v>184</v>
      </c>
      <c r="L1" s="1" t="s">
        <v>185</v>
      </c>
      <c r="M1" s="1" t="s">
        <v>182</v>
      </c>
      <c r="N1" s="1" t="s">
        <v>183</v>
      </c>
      <c r="O1" s="2"/>
      <c r="P1" s="1" t="s">
        <v>183</v>
      </c>
      <c r="Q1" s="2"/>
      <c r="R1" s="1" t="s">
        <v>184</v>
      </c>
      <c r="S1" s="1" t="s">
        <v>185</v>
      </c>
      <c r="T1" s="1" t="s">
        <v>186</v>
      </c>
      <c r="U1" s="1" t="s">
        <v>182</v>
      </c>
      <c r="V1" s="2"/>
      <c r="W1" s="1" t="s">
        <v>183</v>
      </c>
      <c r="X1" s="2"/>
      <c r="Y1" s="1" t="s">
        <v>183</v>
      </c>
      <c r="Z1" s="1" t="s">
        <v>185</v>
      </c>
      <c r="AA1" s="1" t="s">
        <v>186</v>
      </c>
      <c r="AB1" s="1" t="s">
        <v>182</v>
      </c>
      <c r="AC1" s="2"/>
      <c r="AD1" s="1" t="s">
        <v>183</v>
      </c>
      <c r="AE1" s="2"/>
      <c r="AF1" s="1" t="s">
        <v>186</v>
      </c>
      <c r="AG1" s="281" t="s">
        <v>6</v>
      </c>
      <c r="AH1" s="276" t="s">
        <v>7</v>
      </c>
      <c r="AI1" s="271" t="s">
        <v>172</v>
      </c>
      <c r="AJ1" s="274" t="s">
        <v>188</v>
      </c>
    </row>
    <row r="2" spans="1:36" ht="18" customHeight="1">
      <c r="A2" s="4" t="s">
        <v>2</v>
      </c>
      <c r="B2" s="5" t="s">
        <v>3</v>
      </c>
      <c r="C2" s="6">
        <v>45078</v>
      </c>
      <c r="D2" s="7">
        <v>45079</v>
      </c>
      <c r="E2" s="7">
        <v>45080</v>
      </c>
      <c r="F2" s="7">
        <v>45081</v>
      </c>
      <c r="G2" s="7">
        <v>45082</v>
      </c>
      <c r="H2" s="6">
        <v>45083</v>
      </c>
      <c r="I2" s="7">
        <v>45084</v>
      </c>
      <c r="J2" s="6">
        <v>45085</v>
      </c>
      <c r="K2" s="7">
        <v>45086</v>
      </c>
      <c r="L2" s="7">
        <v>45087</v>
      </c>
      <c r="M2" s="7">
        <v>45088</v>
      </c>
      <c r="N2" s="7">
        <v>45089</v>
      </c>
      <c r="O2" s="6">
        <v>45090</v>
      </c>
      <c r="P2" s="7">
        <v>45091</v>
      </c>
      <c r="Q2" s="6">
        <v>45092</v>
      </c>
      <c r="R2" s="7">
        <v>45093</v>
      </c>
      <c r="S2" s="7">
        <v>45094</v>
      </c>
      <c r="T2" s="7">
        <v>45095</v>
      </c>
      <c r="U2" s="7">
        <v>45096</v>
      </c>
      <c r="V2" s="6">
        <v>45097</v>
      </c>
      <c r="W2" s="7">
        <v>45098</v>
      </c>
      <c r="X2" s="6">
        <v>45099</v>
      </c>
      <c r="Y2" s="7">
        <v>45100</v>
      </c>
      <c r="Z2" s="7">
        <v>45101</v>
      </c>
      <c r="AA2" s="7">
        <v>45102</v>
      </c>
      <c r="AB2" s="7">
        <v>45103</v>
      </c>
      <c r="AC2" s="6">
        <v>45104</v>
      </c>
      <c r="AD2" s="7">
        <v>45105</v>
      </c>
      <c r="AE2" s="6">
        <v>45106</v>
      </c>
      <c r="AF2" s="7">
        <v>45107</v>
      </c>
      <c r="AG2" s="282"/>
      <c r="AH2" s="277"/>
      <c r="AI2" s="272"/>
      <c r="AJ2" s="275"/>
    </row>
    <row r="3" spans="1:36" ht="18" customHeight="1">
      <c r="A3" s="4" t="s">
        <v>4</v>
      </c>
      <c r="B3" s="5" t="s">
        <v>5</v>
      </c>
      <c r="C3" s="2">
        <v>4</v>
      </c>
      <c r="D3" s="1">
        <v>5</v>
      </c>
      <c r="E3" s="1">
        <v>6</v>
      </c>
      <c r="F3" s="1">
        <v>7</v>
      </c>
      <c r="G3" s="1">
        <v>1</v>
      </c>
      <c r="H3" s="2">
        <v>2</v>
      </c>
      <c r="I3" s="1">
        <v>3</v>
      </c>
      <c r="J3" s="2">
        <v>4</v>
      </c>
      <c r="K3" s="1">
        <v>5</v>
      </c>
      <c r="L3" s="1">
        <v>6</v>
      </c>
      <c r="M3" s="1">
        <v>7</v>
      </c>
      <c r="N3" s="1">
        <v>1</v>
      </c>
      <c r="O3" s="2">
        <v>2</v>
      </c>
      <c r="P3" s="1">
        <v>3</v>
      </c>
      <c r="Q3" s="2">
        <v>4</v>
      </c>
      <c r="R3" s="1">
        <v>5</v>
      </c>
      <c r="S3" s="1">
        <v>6</v>
      </c>
      <c r="T3" s="1">
        <v>7</v>
      </c>
      <c r="U3" s="1">
        <v>1</v>
      </c>
      <c r="V3" s="2">
        <v>2</v>
      </c>
      <c r="W3" s="1">
        <v>3</v>
      </c>
      <c r="X3" s="2">
        <v>4</v>
      </c>
      <c r="Y3" s="1">
        <v>5</v>
      </c>
      <c r="Z3" s="1">
        <v>6</v>
      </c>
      <c r="AA3" s="1">
        <v>7</v>
      </c>
      <c r="AB3" s="1">
        <v>1</v>
      </c>
      <c r="AC3" s="2">
        <v>2</v>
      </c>
      <c r="AD3" s="1">
        <v>3</v>
      </c>
      <c r="AE3" s="2">
        <v>4</v>
      </c>
      <c r="AF3" s="1">
        <v>5</v>
      </c>
      <c r="AG3" s="283"/>
      <c r="AH3" s="278"/>
      <c r="AI3" s="273"/>
      <c r="AJ3" s="8" t="e">
        <f ca="1">SUM(AH4:AH112)</f>
        <v>#NAME?</v>
      </c>
    </row>
    <row r="4" spans="1:36" ht="18" customHeight="1">
      <c r="A4" s="9" t="s">
        <v>174</v>
      </c>
      <c r="B4" s="10" t="s">
        <v>10</v>
      </c>
      <c r="C4" s="2"/>
      <c r="D4" s="11">
        <v>1</v>
      </c>
      <c r="E4" s="11"/>
      <c r="F4" s="11"/>
      <c r="G4" s="11"/>
      <c r="H4" s="2"/>
      <c r="I4" s="11"/>
      <c r="J4" s="2"/>
      <c r="K4" s="11"/>
      <c r="L4" s="11"/>
      <c r="M4" s="11"/>
      <c r="N4" s="11"/>
      <c r="O4" s="2"/>
      <c r="P4" s="11"/>
      <c r="Q4" s="2"/>
      <c r="R4" s="11"/>
      <c r="S4" s="11"/>
      <c r="T4" s="11"/>
      <c r="U4" s="11"/>
      <c r="V4" s="2"/>
      <c r="W4" s="11"/>
      <c r="X4" s="12"/>
      <c r="Y4" s="9"/>
      <c r="Z4" s="9"/>
      <c r="AA4" s="9"/>
      <c r="AB4" s="9"/>
      <c r="AC4" s="12"/>
      <c r="AD4" s="9"/>
      <c r="AE4" s="12"/>
      <c r="AF4" s="9"/>
      <c r="AG4" s="13">
        <f t="shared" ref="AG4:AG35" si="0">COUNTA(C4:AF4)</f>
        <v>1</v>
      </c>
      <c r="AH4" s="14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15" t="str">
        <f t="shared" ref="AI4:AI35" si="1">B4</f>
        <v>阿發</v>
      </c>
      <c r="AJ4" s="16"/>
    </row>
    <row r="5" spans="1:36" ht="18" customHeight="1">
      <c r="A5" s="9" t="s">
        <v>174</v>
      </c>
      <c r="B5" s="10" t="s">
        <v>13</v>
      </c>
      <c r="C5" s="2"/>
      <c r="D5" s="11">
        <v>1</v>
      </c>
      <c r="E5" s="11">
        <v>1</v>
      </c>
      <c r="F5" s="11"/>
      <c r="G5" s="11"/>
      <c r="H5" s="2"/>
      <c r="I5" s="11">
        <v>1</v>
      </c>
      <c r="J5" s="2"/>
      <c r="K5" s="11"/>
      <c r="L5" s="11">
        <v>1</v>
      </c>
      <c r="M5" s="11"/>
      <c r="N5" s="11">
        <v>1</v>
      </c>
      <c r="O5" s="2"/>
      <c r="P5" s="11">
        <v>1</v>
      </c>
      <c r="Q5" s="2"/>
      <c r="R5" s="11">
        <v>1</v>
      </c>
      <c r="S5" s="11"/>
      <c r="T5" s="11">
        <v>1</v>
      </c>
      <c r="U5" s="11">
        <v>1</v>
      </c>
      <c r="V5" s="2"/>
      <c r="W5" s="11">
        <v>1</v>
      </c>
      <c r="X5" s="12"/>
      <c r="Y5" s="9">
        <v>1</v>
      </c>
      <c r="Z5" s="9"/>
      <c r="AA5" s="9">
        <v>1</v>
      </c>
      <c r="AB5" s="9"/>
      <c r="AC5" s="12"/>
      <c r="AD5" s="9">
        <v>1</v>
      </c>
      <c r="AE5" s="12"/>
      <c r="AF5" s="9"/>
      <c r="AG5" s="13">
        <f t="shared" si="0"/>
        <v>13</v>
      </c>
      <c r="AH5" s="14" t="e">
        <f ca="1">IF(A5="O", (VALUE(_xludf.IFS(AG5=0,"0",AG5=1,"150",AG5=2,"300",AG5=3,"450",AG5=4,"600",AG5=5,"750",AG5&gt;=6,"800"))),(VALUE(_xludf.IFS(AG5=0,"0",AG5=1,"150",AG5=2,"300",AG5=3,"450",AG5=4,"600",AG5=5,"750",AG5=6,"900",AG5&gt;=7,"1,000"))))</f>
        <v>#NAME?</v>
      </c>
      <c r="AI5" s="15" t="str">
        <f t="shared" si="1"/>
        <v>李洋</v>
      </c>
      <c r="AJ5" s="16"/>
    </row>
    <row r="6" spans="1:36" ht="18" customHeight="1">
      <c r="A6" s="9" t="s">
        <v>174</v>
      </c>
      <c r="B6" s="10" t="s">
        <v>11</v>
      </c>
      <c r="C6" s="2"/>
      <c r="D6" s="11"/>
      <c r="E6" s="11"/>
      <c r="F6" s="11"/>
      <c r="G6" s="11">
        <v>1</v>
      </c>
      <c r="H6" s="2"/>
      <c r="I6" s="11">
        <v>1</v>
      </c>
      <c r="J6" s="2"/>
      <c r="K6" s="11">
        <v>1</v>
      </c>
      <c r="L6" s="11"/>
      <c r="M6" s="11"/>
      <c r="N6" s="11">
        <v>1</v>
      </c>
      <c r="O6" s="2"/>
      <c r="P6" s="11">
        <v>1</v>
      </c>
      <c r="Q6" s="2"/>
      <c r="R6" s="11">
        <v>1</v>
      </c>
      <c r="S6" s="11">
        <v>1</v>
      </c>
      <c r="T6" s="11">
        <v>1</v>
      </c>
      <c r="U6" s="11">
        <v>1</v>
      </c>
      <c r="V6" s="2"/>
      <c r="W6" s="11"/>
      <c r="X6" s="12"/>
      <c r="Y6" s="9"/>
      <c r="Z6" s="9"/>
      <c r="AA6" s="9">
        <v>1</v>
      </c>
      <c r="AB6" s="9">
        <v>1</v>
      </c>
      <c r="AC6" s="12"/>
      <c r="AD6" s="9">
        <v>1</v>
      </c>
      <c r="AE6" s="12"/>
      <c r="AF6" s="9"/>
      <c r="AG6" s="13">
        <f t="shared" si="0"/>
        <v>12</v>
      </c>
      <c r="AH6" s="14" t="e">
        <f ca="1">IF(A6="O", (VALUE(_xludf.IFS(AG6=0,"0",AG6=1,"150",AG6=2,"300",AG6=3,"450",AG6=4,"600",AG6=5,"750",AG6&gt;=6,"800"))),(VALUE(_xludf.IFS(AG6=0,"0",AG6=1,"150",AG6=2,"300",AG6=3,"450",AG6=4,"600",AG6=5,"750",AG6=6,"900",AG6&gt;=7,"1,000"))))</f>
        <v>#NAME?</v>
      </c>
      <c r="AI6" s="15" t="str">
        <f t="shared" si="1"/>
        <v>捷升</v>
      </c>
      <c r="AJ6" s="17"/>
    </row>
    <row r="7" spans="1:36" ht="18" customHeight="1">
      <c r="A7" s="9" t="s">
        <v>174</v>
      </c>
      <c r="B7" s="10" t="s">
        <v>19</v>
      </c>
      <c r="C7" s="2"/>
      <c r="D7" s="11">
        <v>1</v>
      </c>
      <c r="E7" s="11">
        <v>1</v>
      </c>
      <c r="F7" s="11"/>
      <c r="G7" s="11">
        <v>1</v>
      </c>
      <c r="H7" s="2"/>
      <c r="I7" s="11">
        <v>1</v>
      </c>
      <c r="J7" s="2"/>
      <c r="K7" s="11">
        <v>1</v>
      </c>
      <c r="L7" s="11"/>
      <c r="M7" s="11"/>
      <c r="N7" s="11"/>
      <c r="O7" s="2"/>
      <c r="P7" s="11">
        <v>1</v>
      </c>
      <c r="Q7" s="2"/>
      <c r="R7" s="11">
        <v>1</v>
      </c>
      <c r="S7" s="11">
        <v>1</v>
      </c>
      <c r="T7" s="11"/>
      <c r="U7" s="11">
        <v>1</v>
      </c>
      <c r="V7" s="2"/>
      <c r="W7" s="11">
        <v>1</v>
      </c>
      <c r="X7" s="12"/>
      <c r="Y7" s="9"/>
      <c r="Z7" s="9"/>
      <c r="AA7" s="9">
        <v>1</v>
      </c>
      <c r="AB7" s="9">
        <v>1</v>
      </c>
      <c r="AC7" s="12"/>
      <c r="AD7" s="9">
        <v>1</v>
      </c>
      <c r="AE7" s="12"/>
      <c r="AF7" s="9"/>
      <c r="AG7" s="13">
        <f t="shared" si="0"/>
        <v>13</v>
      </c>
      <c r="AH7" s="14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15" t="str">
        <f t="shared" si="1"/>
        <v>青蛙</v>
      </c>
      <c r="AJ7" s="16"/>
    </row>
    <row r="8" spans="1:36" ht="18" customHeight="1">
      <c r="A8" s="9" t="s">
        <v>174</v>
      </c>
      <c r="B8" s="10" t="s">
        <v>14</v>
      </c>
      <c r="C8" s="2"/>
      <c r="D8" s="11">
        <v>1</v>
      </c>
      <c r="E8" s="11">
        <v>1</v>
      </c>
      <c r="F8" s="11"/>
      <c r="G8" s="11">
        <v>1</v>
      </c>
      <c r="H8" s="2"/>
      <c r="I8" s="11">
        <v>1</v>
      </c>
      <c r="J8" s="2"/>
      <c r="K8" s="11">
        <v>1</v>
      </c>
      <c r="L8" s="11">
        <v>1</v>
      </c>
      <c r="M8" s="11"/>
      <c r="N8" s="11">
        <v>1</v>
      </c>
      <c r="O8" s="2"/>
      <c r="P8" s="11">
        <v>1</v>
      </c>
      <c r="Q8" s="2"/>
      <c r="R8" s="11">
        <v>1</v>
      </c>
      <c r="S8" s="11">
        <v>1</v>
      </c>
      <c r="T8" s="11"/>
      <c r="U8" s="11">
        <v>1</v>
      </c>
      <c r="V8" s="2"/>
      <c r="W8" s="11">
        <v>1</v>
      </c>
      <c r="X8" s="12"/>
      <c r="Y8" s="9">
        <v>1</v>
      </c>
      <c r="Z8" s="9">
        <v>1</v>
      </c>
      <c r="AA8" s="9">
        <v>1</v>
      </c>
      <c r="AB8" s="9">
        <v>1</v>
      </c>
      <c r="AC8" s="12"/>
      <c r="AD8" s="9">
        <v>1</v>
      </c>
      <c r="AE8" s="12"/>
      <c r="AF8" s="9"/>
      <c r="AG8" s="13">
        <f t="shared" si="0"/>
        <v>17</v>
      </c>
      <c r="AH8" s="14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15" t="str">
        <f t="shared" si="1"/>
        <v>曉明</v>
      </c>
      <c r="AJ8" s="16"/>
    </row>
    <row r="9" spans="1:36" ht="18" customHeight="1">
      <c r="A9" s="9" t="s">
        <v>174</v>
      </c>
      <c r="B9" s="10" t="s">
        <v>18</v>
      </c>
      <c r="C9" s="2"/>
      <c r="D9" s="11">
        <v>1</v>
      </c>
      <c r="E9" s="11">
        <v>1</v>
      </c>
      <c r="F9" s="11"/>
      <c r="G9" s="11"/>
      <c r="H9" s="2"/>
      <c r="I9" s="11">
        <v>1</v>
      </c>
      <c r="J9" s="2"/>
      <c r="K9" s="11">
        <v>1</v>
      </c>
      <c r="L9" s="11">
        <v>1</v>
      </c>
      <c r="M9" s="11"/>
      <c r="N9" s="11"/>
      <c r="O9" s="2"/>
      <c r="P9" s="11">
        <v>1</v>
      </c>
      <c r="Q9" s="2"/>
      <c r="R9" s="11">
        <v>1</v>
      </c>
      <c r="S9" s="11">
        <v>1</v>
      </c>
      <c r="T9" s="11">
        <v>1</v>
      </c>
      <c r="U9" s="11"/>
      <c r="V9" s="2"/>
      <c r="W9" s="11">
        <v>1</v>
      </c>
      <c r="X9" s="12"/>
      <c r="Y9" s="9">
        <v>1</v>
      </c>
      <c r="Z9" s="9"/>
      <c r="AA9" s="9">
        <v>1</v>
      </c>
      <c r="AB9" s="9"/>
      <c r="AC9" s="12"/>
      <c r="AD9" s="9"/>
      <c r="AE9" s="12"/>
      <c r="AF9" s="9"/>
      <c r="AG9" s="13">
        <f t="shared" si="0"/>
        <v>12</v>
      </c>
      <c r="AH9" s="14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15" t="str">
        <f t="shared" si="1"/>
        <v>皓元</v>
      </c>
      <c r="AJ9" s="16"/>
    </row>
    <row r="10" spans="1:36" ht="18" customHeight="1">
      <c r="A10" s="9" t="s">
        <v>174</v>
      </c>
      <c r="B10" s="10" t="s">
        <v>21</v>
      </c>
      <c r="C10" s="2"/>
      <c r="D10" s="11">
        <v>1</v>
      </c>
      <c r="E10" s="11">
        <v>1</v>
      </c>
      <c r="F10" s="11"/>
      <c r="G10" s="11"/>
      <c r="H10" s="2"/>
      <c r="I10" s="11"/>
      <c r="J10" s="2"/>
      <c r="K10" s="11">
        <v>1</v>
      </c>
      <c r="L10" s="11">
        <v>1</v>
      </c>
      <c r="M10" s="11"/>
      <c r="N10" s="11"/>
      <c r="O10" s="2"/>
      <c r="P10" s="11"/>
      <c r="Q10" s="2"/>
      <c r="R10" s="11">
        <v>1</v>
      </c>
      <c r="S10" s="11"/>
      <c r="T10" s="11"/>
      <c r="U10" s="11"/>
      <c r="V10" s="2"/>
      <c r="W10" s="11"/>
      <c r="X10" s="12"/>
      <c r="Y10" s="9"/>
      <c r="Z10" s="9"/>
      <c r="AA10" s="9"/>
      <c r="AB10" s="9"/>
      <c r="AC10" s="12"/>
      <c r="AD10" s="9"/>
      <c r="AE10" s="12"/>
      <c r="AF10" s="9"/>
      <c r="AG10" s="13">
        <f t="shared" si="0"/>
        <v>5</v>
      </c>
      <c r="AH10" s="14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</f>
        <v>#NAME?</v>
      </c>
      <c r="AI10" s="15" t="str">
        <f t="shared" si="1"/>
        <v>晧全</v>
      </c>
      <c r="AJ10" s="17"/>
    </row>
    <row r="11" spans="1:36" ht="18" customHeight="1">
      <c r="A11" s="9" t="s">
        <v>174</v>
      </c>
      <c r="B11" s="10" t="s">
        <v>72</v>
      </c>
      <c r="C11" s="2"/>
      <c r="D11" s="11">
        <v>1</v>
      </c>
      <c r="E11" s="11"/>
      <c r="F11" s="11"/>
      <c r="G11" s="11">
        <v>1</v>
      </c>
      <c r="H11" s="2"/>
      <c r="I11" s="11">
        <v>1</v>
      </c>
      <c r="J11" s="2"/>
      <c r="K11" s="11">
        <v>1</v>
      </c>
      <c r="L11" s="11"/>
      <c r="M11" s="11"/>
      <c r="N11" s="11">
        <v>1</v>
      </c>
      <c r="O11" s="2"/>
      <c r="P11" s="11"/>
      <c r="Q11" s="2"/>
      <c r="R11" s="11"/>
      <c r="S11" s="11">
        <v>1</v>
      </c>
      <c r="T11" s="11">
        <v>1</v>
      </c>
      <c r="U11" s="11"/>
      <c r="V11" s="2"/>
      <c r="W11" s="11">
        <v>1</v>
      </c>
      <c r="X11" s="12"/>
      <c r="Y11" s="9"/>
      <c r="Z11" s="9"/>
      <c r="AA11" s="9"/>
      <c r="AB11" s="9"/>
      <c r="AC11" s="12"/>
      <c r="AD11" s="9">
        <v>1</v>
      </c>
      <c r="AE11" s="12"/>
      <c r="AF11" s="9"/>
      <c r="AG11" s="13">
        <f t="shared" si="0"/>
        <v>9</v>
      </c>
      <c r="AH11" s="14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15" t="str">
        <f t="shared" si="1"/>
        <v>八卦</v>
      </c>
      <c r="AJ11" s="16"/>
    </row>
    <row r="12" spans="1:36" ht="18" customHeight="1">
      <c r="A12" s="9" t="s">
        <v>174</v>
      </c>
      <c r="B12" s="10" t="s">
        <v>175</v>
      </c>
      <c r="C12" s="2"/>
      <c r="D12" s="11">
        <v>1</v>
      </c>
      <c r="E12" s="11">
        <v>1</v>
      </c>
      <c r="F12" s="11"/>
      <c r="G12" s="11"/>
      <c r="H12" s="2"/>
      <c r="I12" s="11">
        <v>1</v>
      </c>
      <c r="J12" s="2"/>
      <c r="K12" s="11">
        <v>1</v>
      </c>
      <c r="L12" s="11"/>
      <c r="M12" s="11"/>
      <c r="N12" s="11"/>
      <c r="O12" s="2"/>
      <c r="P12" s="11">
        <v>1</v>
      </c>
      <c r="Q12" s="2"/>
      <c r="R12" s="11">
        <v>1</v>
      </c>
      <c r="S12" s="11"/>
      <c r="T12" s="11">
        <v>1</v>
      </c>
      <c r="U12" s="11"/>
      <c r="V12" s="2"/>
      <c r="W12" s="11"/>
      <c r="X12" s="12"/>
      <c r="Y12" s="9">
        <v>1</v>
      </c>
      <c r="Z12" s="9"/>
      <c r="AA12" s="9">
        <v>1</v>
      </c>
      <c r="AB12" s="9"/>
      <c r="AC12" s="12"/>
      <c r="AD12" s="9">
        <v>1</v>
      </c>
      <c r="AE12" s="12"/>
      <c r="AF12" s="9"/>
      <c r="AG12" s="13">
        <f t="shared" si="0"/>
        <v>10</v>
      </c>
      <c r="AH12" s="14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15" t="str">
        <f t="shared" si="1"/>
        <v>咪咪</v>
      </c>
      <c r="AJ12" s="17"/>
    </row>
    <row r="13" spans="1:36" ht="18" customHeight="1">
      <c r="A13" s="9" t="s">
        <v>174</v>
      </c>
      <c r="B13" s="10" t="s">
        <v>17</v>
      </c>
      <c r="C13" s="2"/>
      <c r="D13" s="11"/>
      <c r="E13" s="11"/>
      <c r="F13" s="11"/>
      <c r="G13" s="11"/>
      <c r="H13" s="2"/>
      <c r="I13" s="11"/>
      <c r="J13" s="2"/>
      <c r="K13" s="11"/>
      <c r="L13" s="11"/>
      <c r="M13" s="11"/>
      <c r="N13" s="11"/>
      <c r="O13" s="2"/>
      <c r="P13" s="11"/>
      <c r="Q13" s="2"/>
      <c r="R13" s="11"/>
      <c r="S13" s="11"/>
      <c r="T13" s="11"/>
      <c r="U13" s="11"/>
      <c r="V13" s="2"/>
      <c r="W13" s="11"/>
      <c r="X13" s="12"/>
      <c r="Y13" s="9"/>
      <c r="Z13" s="9"/>
      <c r="AA13" s="9"/>
      <c r="AB13" s="9"/>
      <c r="AC13" s="12"/>
      <c r="AD13" s="9"/>
      <c r="AE13" s="12"/>
      <c r="AF13" s="9"/>
      <c r="AG13" s="13">
        <f t="shared" si="0"/>
        <v>0</v>
      </c>
      <c r="AH13" s="14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15" t="str">
        <f t="shared" si="1"/>
        <v>光曜</v>
      </c>
      <c r="AJ13" s="16"/>
    </row>
    <row r="14" spans="1:36" ht="18" customHeight="1">
      <c r="A14" s="9" t="s">
        <v>174</v>
      </c>
      <c r="B14" s="10" t="s">
        <v>15</v>
      </c>
      <c r="C14" s="2"/>
      <c r="D14" s="11">
        <v>1</v>
      </c>
      <c r="E14" s="11">
        <v>1</v>
      </c>
      <c r="F14" s="11"/>
      <c r="G14" s="11">
        <v>1</v>
      </c>
      <c r="H14" s="2"/>
      <c r="I14" s="11">
        <v>1</v>
      </c>
      <c r="J14" s="2"/>
      <c r="K14" s="11"/>
      <c r="L14" s="11">
        <v>1</v>
      </c>
      <c r="M14" s="11"/>
      <c r="N14" s="11">
        <v>1</v>
      </c>
      <c r="O14" s="2"/>
      <c r="P14" s="11">
        <v>1</v>
      </c>
      <c r="Q14" s="2"/>
      <c r="R14" s="11">
        <v>1</v>
      </c>
      <c r="S14" s="11"/>
      <c r="T14" s="11"/>
      <c r="U14" s="11">
        <v>1</v>
      </c>
      <c r="V14" s="2"/>
      <c r="W14" s="11">
        <v>1</v>
      </c>
      <c r="X14" s="12"/>
      <c r="Y14" s="9">
        <v>1</v>
      </c>
      <c r="Z14" s="9"/>
      <c r="AA14" s="9"/>
      <c r="AB14" s="9">
        <v>1</v>
      </c>
      <c r="AC14" s="12"/>
      <c r="AD14" s="9">
        <v>1</v>
      </c>
      <c r="AE14" s="12"/>
      <c r="AF14" s="9"/>
      <c r="AG14" s="13">
        <f t="shared" si="0"/>
        <v>13</v>
      </c>
      <c r="AH14" s="14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15" t="str">
        <f t="shared" si="1"/>
        <v>大支</v>
      </c>
      <c r="AJ14" s="17"/>
    </row>
    <row r="15" spans="1:36" ht="18" customHeight="1">
      <c r="A15" s="9" t="s">
        <v>174</v>
      </c>
      <c r="B15" s="10" t="s">
        <v>61</v>
      </c>
      <c r="C15" s="2"/>
      <c r="D15" s="11">
        <v>1</v>
      </c>
      <c r="E15" s="11">
        <v>1</v>
      </c>
      <c r="F15" s="11"/>
      <c r="G15" s="11"/>
      <c r="H15" s="2"/>
      <c r="I15" s="11"/>
      <c r="J15" s="2"/>
      <c r="K15" s="11"/>
      <c r="L15" s="11"/>
      <c r="M15" s="11"/>
      <c r="N15" s="11"/>
      <c r="O15" s="2"/>
      <c r="P15" s="11">
        <v>1</v>
      </c>
      <c r="Q15" s="2"/>
      <c r="R15" s="11"/>
      <c r="S15" s="11"/>
      <c r="T15" s="11">
        <v>1</v>
      </c>
      <c r="U15" s="11"/>
      <c r="V15" s="2"/>
      <c r="W15" s="11"/>
      <c r="X15" s="12"/>
      <c r="Y15" s="9">
        <v>1</v>
      </c>
      <c r="Z15" s="9"/>
      <c r="AA15" s="9"/>
      <c r="AB15" s="9"/>
      <c r="AC15" s="12"/>
      <c r="AD15" s="9"/>
      <c r="AE15" s="12"/>
      <c r="AF15" s="9"/>
      <c r="AG15" s="13">
        <f t="shared" si="0"/>
        <v>5</v>
      </c>
      <c r="AH15" s="14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15" t="str">
        <f t="shared" si="1"/>
        <v>韋融</v>
      </c>
      <c r="AJ15" s="16"/>
    </row>
    <row r="16" spans="1:36" ht="18" customHeight="1">
      <c r="A16" s="9" t="s">
        <v>174</v>
      </c>
      <c r="B16" s="10" t="s">
        <v>20</v>
      </c>
      <c r="C16" s="2"/>
      <c r="D16" s="11">
        <v>1</v>
      </c>
      <c r="E16" s="11">
        <v>1</v>
      </c>
      <c r="F16" s="11"/>
      <c r="G16" s="11">
        <v>1</v>
      </c>
      <c r="H16" s="2"/>
      <c r="I16" s="11">
        <v>1</v>
      </c>
      <c r="J16" s="2"/>
      <c r="K16" s="11">
        <v>1</v>
      </c>
      <c r="L16" s="11">
        <v>1</v>
      </c>
      <c r="M16" s="11"/>
      <c r="N16" s="11">
        <v>1</v>
      </c>
      <c r="O16" s="2"/>
      <c r="P16" s="11">
        <v>1</v>
      </c>
      <c r="Q16" s="2"/>
      <c r="R16" s="11">
        <v>1</v>
      </c>
      <c r="S16" s="11"/>
      <c r="T16" s="11"/>
      <c r="U16" s="11"/>
      <c r="V16" s="2"/>
      <c r="W16" s="11"/>
      <c r="X16" s="12"/>
      <c r="Y16" s="9"/>
      <c r="Z16" s="9"/>
      <c r="AA16" s="9"/>
      <c r="AB16" s="9">
        <v>1</v>
      </c>
      <c r="AC16" s="12"/>
      <c r="AD16" s="9">
        <v>1</v>
      </c>
      <c r="AE16" s="12"/>
      <c r="AF16" s="9"/>
      <c r="AG16" s="13">
        <f t="shared" si="0"/>
        <v>11</v>
      </c>
      <c r="AH16" s="14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15" t="str">
        <f t="shared" si="1"/>
        <v>港弟</v>
      </c>
      <c r="AJ16" s="17"/>
    </row>
    <row r="17" spans="1:36" ht="18" customHeight="1">
      <c r="A17" s="9" t="s">
        <v>174</v>
      </c>
      <c r="B17" s="10" t="s">
        <v>16</v>
      </c>
      <c r="C17" s="2"/>
      <c r="D17" s="11">
        <v>1</v>
      </c>
      <c r="E17" s="11">
        <v>1</v>
      </c>
      <c r="F17" s="11"/>
      <c r="G17" s="11">
        <v>1</v>
      </c>
      <c r="H17" s="2"/>
      <c r="I17" s="11">
        <v>1</v>
      </c>
      <c r="J17" s="2"/>
      <c r="K17" s="11">
        <v>1</v>
      </c>
      <c r="L17" s="11">
        <v>1</v>
      </c>
      <c r="M17" s="11"/>
      <c r="N17" s="11">
        <v>1</v>
      </c>
      <c r="O17" s="2"/>
      <c r="P17" s="11">
        <v>1</v>
      </c>
      <c r="Q17" s="2"/>
      <c r="R17" s="11">
        <v>1</v>
      </c>
      <c r="S17" s="11">
        <v>1</v>
      </c>
      <c r="T17" s="11">
        <v>1</v>
      </c>
      <c r="U17" s="11">
        <v>1</v>
      </c>
      <c r="V17" s="2"/>
      <c r="W17" s="11">
        <v>1</v>
      </c>
      <c r="X17" s="12"/>
      <c r="Y17" s="9">
        <v>1</v>
      </c>
      <c r="Z17" s="9">
        <v>1</v>
      </c>
      <c r="AA17" s="9">
        <v>1</v>
      </c>
      <c r="AB17" s="9">
        <v>1</v>
      </c>
      <c r="AC17" s="12"/>
      <c r="AD17" s="9">
        <v>1</v>
      </c>
      <c r="AE17" s="12"/>
      <c r="AF17" s="9"/>
      <c r="AG17" s="13">
        <f t="shared" si="0"/>
        <v>18</v>
      </c>
      <c r="AH17" s="14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15" t="str">
        <f t="shared" si="1"/>
        <v>弼善</v>
      </c>
      <c r="AJ17" s="16"/>
    </row>
    <row r="18" spans="1:36" ht="18" customHeight="1">
      <c r="A18" s="9" t="s">
        <v>174</v>
      </c>
      <c r="B18" s="10" t="s">
        <v>62</v>
      </c>
      <c r="C18" s="2"/>
      <c r="D18" s="11">
        <v>1</v>
      </c>
      <c r="E18" s="11"/>
      <c r="F18" s="11"/>
      <c r="G18" s="11"/>
      <c r="H18" s="2"/>
      <c r="I18" s="11"/>
      <c r="J18" s="2"/>
      <c r="K18" s="11"/>
      <c r="L18" s="11"/>
      <c r="M18" s="11"/>
      <c r="N18" s="11"/>
      <c r="O18" s="2"/>
      <c r="P18" s="11">
        <v>1</v>
      </c>
      <c r="Q18" s="2"/>
      <c r="R18" s="11">
        <v>1</v>
      </c>
      <c r="S18" s="11"/>
      <c r="T18" s="11"/>
      <c r="U18" s="11">
        <v>1</v>
      </c>
      <c r="V18" s="2"/>
      <c r="W18" s="11"/>
      <c r="X18" s="12"/>
      <c r="Y18" s="9"/>
      <c r="Z18" s="9"/>
      <c r="AA18" s="9"/>
      <c r="AB18" s="9"/>
      <c r="AC18" s="12"/>
      <c r="AD18" s="9">
        <v>1</v>
      </c>
      <c r="AE18" s="12"/>
      <c r="AF18" s="9"/>
      <c r="AG18" s="13">
        <f t="shared" si="0"/>
        <v>5</v>
      </c>
      <c r="AH18" s="14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15" t="str">
        <f t="shared" si="1"/>
        <v>國源</v>
      </c>
      <c r="AJ18" s="17"/>
    </row>
    <row r="19" spans="1:36" ht="18" customHeight="1">
      <c r="A19" s="18" t="s">
        <v>174</v>
      </c>
      <c r="B19" s="19" t="s">
        <v>89</v>
      </c>
      <c r="C19" s="2"/>
      <c r="D19" s="20"/>
      <c r="E19" s="20"/>
      <c r="F19" s="20"/>
      <c r="G19" s="20">
        <v>1</v>
      </c>
      <c r="H19" s="2"/>
      <c r="I19" s="20"/>
      <c r="J19" s="2"/>
      <c r="K19" s="20"/>
      <c r="L19" s="20">
        <v>1</v>
      </c>
      <c r="M19" s="20">
        <v>1</v>
      </c>
      <c r="N19" s="20">
        <v>1</v>
      </c>
      <c r="O19" s="2"/>
      <c r="P19" s="20"/>
      <c r="Q19" s="2"/>
      <c r="R19" s="20">
        <v>1</v>
      </c>
      <c r="S19" s="20"/>
      <c r="T19" s="20">
        <v>1</v>
      </c>
      <c r="U19" s="20">
        <v>1</v>
      </c>
      <c r="V19" s="2"/>
      <c r="W19" s="20"/>
      <c r="X19" s="12"/>
      <c r="Y19" s="18">
        <v>1</v>
      </c>
      <c r="Z19" s="18"/>
      <c r="AA19" s="18">
        <v>1</v>
      </c>
      <c r="AB19" s="18">
        <v>1</v>
      </c>
      <c r="AC19" s="12"/>
      <c r="AD19" s="18"/>
      <c r="AE19" s="12"/>
      <c r="AF19" s="18"/>
      <c r="AG19" s="21">
        <f t="shared" si="0"/>
        <v>10</v>
      </c>
      <c r="AH19" s="22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23" t="str">
        <f t="shared" si="1"/>
        <v>泡芙</v>
      </c>
      <c r="AJ19" s="24"/>
    </row>
    <row r="20" spans="1:36" ht="18" customHeight="1">
      <c r="A20" s="18" t="s">
        <v>174</v>
      </c>
      <c r="B20" s="19" t="s">
        <v>90</v>
      </c>
      <c r="C20" s="2"/>
      <c r="D20" s="20"/>
      <c r="E20" s="20"/>
      <c r="F20" s="20"/>
      <c r="G20" s="20"/>
      <c r="H20" s="2"/>
      <c r="I20" s="20">
        <v>1</v>
      </c>
      <c r="J20" s="2"/>
      <c r="K20" s="20">
        <v>1</v>
      </c>
      <c r="L20" s="20">
        <v>1</v>
      </c>
      <c r="M20" s="20"/>
      <c r="N20" s="20"/>
      <c r="O20" s="2"/>
      <c r="P20" s="20">
        <v>1</v>
      </c>
      <c r="Q20" s="2"/>
      <c r="R20" s="20"/>
      <c r="S20" s="20"/>
      <c r="T20" s="20"/>
      <c r="U20" s="20"/>
      <c r="V20" s="2"/>
      <c r="W20" s="20">
        <v>1</v>
      </c>
      <c r="X20" s="12"/>
      <c r="Y20" s="18"/>
      <c r="Z20" s="18"/>
      <c r="AA20" s="18"/>
      <c r="AB20" s="18"/>
      <c r="AC20" s="12"/>
      <c r="AD20" s="18">
        <v>1</v>
      </c>
      <c r="AE20" s="12"/>
      <c r="AF20" s="18"/>
      <c r="AG20" s="21">
        <f t="shared" si="0"/>
        <v>6</v>
      </c>
      <c r="AH20" s="22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23" t="str">
        <f t="shared" si="1"/>
        <v>蓓蓓</v>
      </c>
      <c r="AJ20" s="24"/>
    </row>
    <row r="21" spans="1:36" ht="18" customHeight="1">
      <c r="A21" s="18" t="s">
        <v>174</v>
      </c>
      <c r="B21" s="19" t="s">
        <v>150</v>
      </c>
      <c r="C21" s="2"/>
      <c r="D21" s="20">
        <v>1</v>
      </c>
      <c r="E21" s="20"/>
      <c r="F21" s="20"/>
      <c r="G21" s="20">
        <v>1</v>
      </c>
      <c r="H21" s="2"/>
      <c r="I21" s="20">
        <v>1</v>
      </c>
      <c r="J21" s="2"/>
      <c r="K21" s="20">
        <v>1</v>
      </c>
      <c r="L21" s="20"/>
      <c r="M21" s="20"/>
      <c r="N21" s="20">
        <v>1</v>
      </c>
      <c r="O21" s="2"/>
      <c r="P21" s="20">
        <v>1</v>
      </c>
      <c r="Q21" s="2"/>
      <c r="R21" s="20"/>
      <c r="S21" s="20"/>
      <c r="T21" s="20"/>
      <c r="U21" s="20">
        <v>1</v>
      </c>
      <c r="V21" s="2"/>
      <c r="W21" s="20"/>
      <c r="X21" s="12"/>
      <c r="Y21" s="18">
        <v>1</v>
      </c>
      <c r="Z21" s="18"/>
      <c r="AA21" s="18">
        <v>1</v>
      </c>
      <c r="AB21" s="18">
        <v>1</v>
      </c>
      <c r="AC21" s="12"/>
      <c r="AD21" s="18">
        <v>1</v>
      </c>
      <c r="AE21" s="12"/>
      <c r="AF21" s="18">
        <v>1</v>
      </c>
      <c r="AG21" s="21">
        <f t="shared" si="0"/>
        <v>12</v>
      </c>
      <c r="AH21" s="22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23" t="str">
        <f t="shared" si="1"/>
        <v>高麗菜</v>
      </c>
      <c r="AJ21" s="24"/>
    </row>
    <row r="22" spans="1:36" ht="18" customHeight="1">
      <c r="A22" s="18" t="s">
        <v>174</v>
      </c>
      <c r="B22" s="19" t="s">
        <v>164</v>
      </c>
      <c r="C22" s="2"/>
      <c r="D22" s="20"/>
      <c r="E22" s="20"/>
      <c r="F22" s="20"/>
      <c r="G22" s="20"/>
      <c r="H22" s="2"/>
      <c r="I22" s="20"/>
      <c r="J22" s="2"/>
      <c r="K22" s="20"/>
      <c r="L22" s="20"/>
      <c r="M22" s="20"/>
      <c r="N22" s="20"/>
      <c r="O22" s="2"/>
      <c r="P22" s="20"/>
      <c r="Q22" s="2"/>
      <c r="R22" s="20"/>
      <c r="S22" s="20"/>
      <c r="T22" s="20"/>
      <c r="U22" s="20"/>
      <c r="V22" s="2"/>
      <c r="W22" s="20"/>
      <c r="X22" s="12"/>
      <c r="Y22" s="18"/>
      <c r="Z22" s="18"/>
      <c r="AA22" s="18"/>
      <c r="AB22" s="18"/>
      <c r="AC22" s="12"/>
      <c r="AD22" s="18"/>
      <c r="AE22" s="12"/>
      <c r="AF22" s="18"/>
      <c r="AG22" s="21">
        <f t="shared" si="0"/>
        <v>0</v>
      </c>
      <c r="AH22" s="22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23" t="str">
        <f t="shared" si="1"/>
        <v>小菜</v>
      </c>
      <c r="AJ22" s="25"/>
    </row>
    <row r="23" spans="1:36" ht="18" customHeight="1">
      <c r="A23" s="18" t="s">
        <v>174</v>
      </c>
      <c r="B23" s="19" t="s">
        <v>94</v>
      </c>
      <c r="C23" s="2"/>
      <c r="D23" s="20">
        <v>1</v>
      </c>
      <c r="E23" s="20">
        <v>1</v>
      </c>
      <c r="F23" s="20"/>
      <c r="G23" s="20">
        <v>1</v>
      </c>
      <c r="H23" s="2"/>
      <c r="I23" s="20">
        <v>1</v>
      </c>
      <c r="J23" s="2"/>
      <c r="K23" s="20">
        <v>1</v>
      </c>
      <c r="L23" s="20">
        <v>1</v>
      </c>
      <c r="M23" s="20"/>
      <c r="N23" s="20"/>
      <c r="O23" s="2"/>
      <c r="P23" s="20">
        <v>1</v>
      </c>
      <c r="Q23" s="2"/>
      <c r="R23" s="20"/>
      <c r="S23" s="20"/>
      <c r="T23" s="20"/>
      <c r="U23" s="20">
        <v>1</v>
      </c>
      <c r="V23" s="2"/>
      <c r="W23" s="20"/>
      <c r="X23" s="12"/>
      <c r="Y23" s="18">
        <v>1</v>
      </c>
      <c r="Z23" s="18"/>
      <c r="AA23" s="18"/>
      <c r="AB23" s="18">
        <v>1</v>
      </c>
      <c r="AC23" s="12"/>
      <c r="AD23" s="18"/>
      <c r="AE23" s="12"/>
      <c r="AF23" s="18"/>
      <c r="AG23" s="21">
        <f t="shared" si="0"/>
        <v>10</v>
      </c>
      <c r="AH23" s="22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23" t="str">
        <f t="shared" si="1"/>
        <v>小花</v>
      </c>
      <c r="AJ23" s="25"/>
    </row>
    <row r="24" spans="1:36" ht="18" customHeight="1">
      <c r="A24" s="18" t="s">
        <v>174</v>
      </c>
      <c r="B24" s="19" t="s">
        <v>102</v>
      </c>
      <c r="C24" s="2"/>
      <c r="D24" s="20"/>
      <c r="E24" s="20"/>
      <c r="F24" s="20"/>
      <c r="G24" s="20"/>
      <c r="H24" s="2"/>
      <c r="I24" s="20"/>
      <c r="J24" s="2"/>
      <c r="K24" s="20"/>
      <c r="L24" s="20"/>
      <c r="M24" s="20"/>
      <c r="N24" s="20"/>
      <c r="O24" s="2"/>
      <c r="P24" s="20"/>
      <c r="Q24" s="2"/>
      <c r="R24" s="20"/>
      <c r="S24" s="20"/>
      <c r="T24" s="20"/>
      <c r="U24" s="20"/>
      <c r="V24" s="2"/>
      <c r="W24" s="20"/>
      <c r="X24" s="12"/>
      <c r="Y24" s="18"/>
      <c r="Z24" s="18"/>
      <c r="AA24" s="18"/>
      <c r="AB24" s="18"/>
      <c r="AC24" s="12"/>
      <c r="AD24" s="18"/>
      <c r="AE24" s="12"/>
      <c r="AF24" s="18"/>
      <c r="AG24" s="21">
        <f t="shared" si="0"/>
        <v>0</v>
      </c>
      <c r="AH24" s="22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23" t="str">
        <f t="shared" si="1"/>
        <v>妮妮</v>
      </c>
      <c r="AJ24" s="24"/>
    </row>
    <row r="25" spans="1:36" ht="18" customHeight="1">
      <c r="A25" s="18" t="s">
        <v>174</v>
      </c>
      <c r="B25" s="19" t="s">
        <v>165</v>
      </c>
      <c r="C25" s="2"/>
      <c r="D25" s="20">
        <v>1</v>
      </c>
      <c r="E25" s="20">
        <v>1</v>
      </c>
      <c r="F25" s="20"/>
      <c r="G25" s="20">
        <v>1</v>
      </c>
      <c r="H25" s="2"/>
      <c r="I25" s="20">
        <v>1</v>
      </c>
      <c r="J25" s="2"/>
      <c r="K25" s="20">
        <v>1</v>
      </c>
      <c r="L25" s="20"/>
      <c r="M25" s="20"/>
      <c r="N25" s="20">
        <v>1</v>
      </c>
      <c r="O25" s="2"/>
      <c r="P25" s="20"/>
      <c r="Q25" s="2"/>
      <c r="R25" s="20"/>
      <c r="S25" s="20">
        <v>1</v>
      </c>
      <c r="T25" s="20">
        <v>1</v>
      </c>
      <c r="U25" s="20"/>
      <c r="V25" s="2"/>
      <c r="W25" s="20">
        <v>1</v>
      </c>
      <c r="X25" s="12"/>
      <c r="Y25" s="18"/>
      <c r="Z25" s="18"/>
      <c r="AA25" s="18"/>
      <c r="AB25" s="18"/>
      <c r="AC25" s="12"/>
      <c r="AD25" s="18">
        <v>1</v>
      </c>
      <c r="AE25" s="12"/>
      <c r="AF25" s="18"/>
      <c r="AG25" s="21">
        <f t="shared" si="0"/>
        <v>10</v>
      </c>
      <c r="AH25" s="22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23" t="str">
        <f t="shared" si="1"/>
        <v>小貓</v>
      </c>
      <c r="AJ25" s="25"/>
    </row>
    <row r="26" spans="1:36" ht="18" customHeight="1">
      <c r="A26" s="18" t="s">
        <v>174</v>
      </c>
      <c r="B26" s="19" t="s">
        <v>166</v>
      </c>
      <c r="C26" s="2"/>
      <c r="D26" s="20"/>
      <c r="E26" s="20"/>
      <c r="F26" s="20"/>
      <c r="G26" s="20"/>
      <c r="H26" s="2"/>
      <c r="I26" s="20"/>
      <c r="J26" s="2"/>
      <c r="K26" s="20"/>
      <c r="L26" s="20"/>
      <c r="M26" s="20"/>
      <c r="N26" s="20"/>
      <c r="O26" s="2"/>
      <c r="P26" s="20"/>
      <c r="Q26" s="2"/>
      <c r="R26" s="20"/>
      <c r="S26" s="20"/>
      <c r="T26" s="20"/>
      <c r="U26" s="20"/>
      <c r="V26" s="2"/>
      <c r="W26" s="20"/>
      <c r="X26" s="12"/>
      <c r="Y26" s="18"/>
      <c r="Z26" s="18"/>
      <c r="AA26" s="18"/>
      <c r="AB26" s="18"/>
      <c r="AC26" s="12"/>
      <c r="AD26" s="18"/>
      <c r="AE26" s="12"/>
      <c r="AF26" s="18"/>
      <c r="AG26" s="21">
        <f t="shared" si="0"/>
        <v>0</v>
      </c>
      <c r="AH26" s="22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23" t="str">
        <f t="shared" si="1"/>
        <v>哈比</v>
      </c>
      <c r="AJ26" s="24"/>
    </row>
    <row r="27" spans="1:36" ht="18" customHeight="1">
      <c r="A27" s="18" t="s">
        <v>174</v>
      </c>
      <c r="B27" s="19" t="s">
        <v>91</v>
      </c>
      <c r="C27" s="2"/>
      <c r="D27" s="20"/>
      <c r="E27" s="20"/>
      <c r="F27" s="20"/>
      <c r="G27" s="20"/>
      <c r="H27" s="2"/>
      <c r="I27" s="20">
        <v>1</v>
      </c>
      <c r="J27" s="2"/>
      <c r="K27" s="20">
        <v>1</v>
      </c>
      <c r="L27" s="20"/>
      <c r="M27" s="20"/>
      <c r="N27" s="20"/>
      <c r="O27" s="2"/>
      <c r="P27" s="20">
        <v>1</v>
      </c>
      <c r="Q27" s="2"/>
      <c r="R27" s="20">
        <v>1</v>
      </c>
      <c r="S27" s="20">
        <v>1</v>
      </c>
      <c r="T27" s="20"/>
      <c r="U27" s="20"/>
      <c r="V27" s="2"/>
      <c r="W27" s="20"/>
      <c r="X27" s="12"/>
      <c r="Y27" s="18">
        <v>1</v>
      </c>
      <c r="Z27" s="18"/>
      <c r="AA27" s="18">
        <v>1</v>
      </c>
      <c r="AB27" s="18"/>
      <c r="AC27" s="12"/>
      <c r="AD27" s="18">
        <v>1</v>
      </c>
      <c r="AE27" s="12"/>
      <c r="AF27" s="18"/>
      <c r="AG27" s="21">
        <f t="shared" si="0"/>
        <v>8</v>
      </c>
      <c r="AH27" s="22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23" t="str">
        <f t="shared" si="1"/>
        <v>柔柔</v>
      </c>
      <c r="AJ27" s="24"/>
    </row>
    <row r="28" spans="1:36" ht="18" customHeight="1">
      <c r="A28" s="18" t="s">
        <v>174</v>
      </c>
      <c r="B28" s="19" t="s">
        <v>176</v>
      </c>
      <c r="C28" s="2"/>
      <c r="D28" s="20">
        <v>1</v>
      </c>
      <c r="E28" s="20">
        <v>1</v>
      </c>
      <c r="F28" s="20"/>
      <c r="G28" s="20"/>
      <c r="H28" s="2"/>
      <c r="I28" s="20"/>
      <c r="J28" s="2"/>
      <c r="K28" s="20"/>
      <c r="L28" s="20"/>
      <c r="M28" s="20"/>
      <c r="N28" s="20"/>
      <c r="O28" s="2"/>
      <c r="P28" s="20">
        <v>1</v>
      </c>
      <c r="Q28" s="2"/>
      <c r="R28" s="20"/>
      <c r="S28" s="20"/>
      <c r="T28" s="20">
        <v>1</v>
      </c>
      <c r="U28" s="20"/>
      <c r="V28" s="2"/>
      <c r="W28" s="20"/>
      <c r="X28" s="12"/>
      <c r="Y28" s="18"/>
      <c r="Z28" s="18"/>
      <c r="AA28" s="18"/>
      <c r="AB28" s="18"/>
      <c r="AC28" s="12"/>
      <c r="AD28" s="18"/>
      <c r="AE28" s="12"/>
      <c r="AF28" s="18"/>
      <c r="AG28" s="21">
        <f t="shared" si="0"/>
        <v>4</v>
      </c>
      <c r="AH28" s="22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23" t="str">
        <f t="shared" si="1"/>
        <v>芮芮</v>
      </c>
      <c r="AJ28" s="25"/>
    </row>
    <row r="29" spans="1:36" ht="18" customHeight="1">
      <c r="A29" s="18" t="s">
        <v>174</v>
      </c>
      <c r="B29" s="19" t="s">
        <v>123</v>
      </c>
      <c r="C29" s="2"/>
      <c r="D29" s="20"/>
      <c r="E29" s="20"/>
      <c r="F29" s="20"/>
      <c r="G29" s="20"/>
      <c r="H29" s="2"/>
      <c r="I29" s="20"/>
      <c r="J29" s="2"/>
      <c r="K29" s="20"/>
      <c r="L29" s="20"/>
      <c r="M29" s="20"/>
      <c r="N29" s="20"/>
      <c r="O29" s="2"/>
      <c r="P29" s="20"/>
      <c r="Q29" s="2"/>
      <c r="R29" s="20"/>
      <c r="S29" s="20"/>
      <c r="T29" s="20"/>
      <c r="U29" s="20"/>
      <c r="V29" s="2"/>
      <c r="W29" s="20"/>
      <c r="X29" s="12"/>
      <c r="Y29" s="18"/>
      <c r="Z29" s="18"/>
      <c r="AA29" s="18"/>
      <c r="AB29" s="18"/>
      <c r="AC29" s="12"/>
      <c r="AD29" s="18"/>
      <c r="AE29" s="12"/>
      <c r="AF29" s="18"/>
      <c r="AG29" s="21">
        <f t="shared" si="0"/>
        <v>0</v>
      </c>
      <c r="AH29" s="22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23" t="str">
        <f t="shared" si="1"/>
        <v>瑤瑤</v>
      </c>
      <c r="AJ29" s="24"/>
    </row>
    <row r="30" spans="1:36" ht="18" customHeight="1">
      <c r="A30" s="18" t="s">
        <v>174</v>
      </c>
      <c r="B30" s="19" t="s">
        <v>147</v>
      </c>
      <c r="C30" s="2"/>
      <c r="D30" s="20"/>
      <c r="E30" s="20"/>
      <c r="F30" s="20"/>
      <c r="G30" s="20"/>
      <c r="H30" s="2"/>
      <c r="I30" s="20"/>
      <c r="J30" s="2"/>
      <c r="K30" s="20"/>
      <c r="L30" s="20"/>
      <c r="M30" s="20"/>
      <c r="N30" s="20"/>
      <c r="O30" s="2"/>
      <c r="P30" s="20"/>
      <c r="Q30" s="2"/>
      <c r="R30" s="20"/>
      <c r="S30" s="20"/>
      <c r="T30" s="20"/>
      <c r="U30" s="20"/>
      <c r="V30" s="2"/>
      <c r="W30" s="20">
        <v>1</v>
      </c>
      <c r="X30" s="12"/>
      <c r="Y30" s="18">
        <v>1</v>
      </c>
      <c r="Z30" s="18"/>
      <c r="AA30" s="18"/>
      <c r="AB30" s="18"/>
      <c r="AC30" s="12"/>
      <c r="AD30" s="18"/>
      <c r="AE30" s="12"/>
      <c r="AF30" s="18"/>
      <c r="AG30" s="21">
        <f t="shared" si="0"/>
        <v>2</v>
      </c>
      <c r="AH30" s="22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23" t="str">
        <f t="shared" si="1"/>
        <v>湘苡</v>
      </c>
      <c r="AJ30" s="25"/>
    </row>
    <row r="31" spans="1:36" ht="18" customHeight="1">
      <c r="A31" s="18" t="s">
        <v>174</v>
      </c>
      <c r="B31" s="19" t="s">
        <v>93</v>
      </c>
      <c r="C31" s="2"/>
      <c r="D31" s="20"/>
      <c r="E31" s="20"/>
      <c r="F31" s="20"/>
      <c r="G31" s="20"/>
      <c r="H31" s="2"/>
      <c r="I31" s="20"/>
      <c r="J31" s="2"/>
      <c r="K31" s="20"/>
      <c r="L31" s="20"/>
      <c r="M31" s="20"/>
      <c r="N31" s="20"/>
      <c r="O31" s="2"/>
      <c r="P31" s="20"/>
      <c r="Q31" s="2"/>
      <c r="R31" s="20">
        <v>1</v>
      </c>
      <c r="S31" s="20"/>
      <c r="T31" s="20">
        <v>1</v>
      </c>
      <c r="U31" s="20"/>
      <c r="V31" s="2"/>
      <c r="W31" s="20">
        <v>1</v>
      </c>
      <c r="X31" s="12"/>
      <c r="Y31" s="18"/>
      <c r="Z31" s="18"/>
      <c r="AA31" s="18">
        <v>1</v>
      </c>
      <c r="AB31" s="18"/>
      <c r="AC31" s="12"/>
      <c r="AD31" s="18"/>
      <c r="AE31" s="12"/>
      <c r="AF31" s="18"/>
      <c r="AG31" s="21">
        <f t="shared" si="0"/>
        <v>4</v>
      </c>
      <c r="AH31" s="22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23" t="str">
        <f t="shared" si="1"/>
        <v>冠婷</v>
      </c>
      <c r="AJ31" s="24"/>
    </row>
    <row r="32" spans="1:36" ht="18" customHeight="1">
      <c r="A32" s="18" t="s">
        <v>174</v>
      </c>
      <c r="B32" s="19" t="s">
        <v>149</v>
      </c>
      <c r="C32" s="2"/>
      <c r="D32" s="20"/>
      <c r="E32" s="20"/>
      <c r="F32" s="20"/>
      <c r="G32" s="20"/>
      <c r="H32" s="2"/>
      <c r="I32" s="20"/>
      <c r="J32" s="2"/>
      <c r="K32" s="20"/>
      <c r="L32" s="20"/>
      <c r="M32" s="20"/>
      <c r="N32" s="20"/>
      <c r="O32" s="2"/>
      <c r="P32" s="20">
        <v>1</v>
      </c>
      <c r="Q32" s="2"/>
      <c r="R32" s="20">
        <v>1</v>
      </c>
      <c r="S32" s="20"/>
      <c r="T32" s="20">
        <v>1</v>
      </c>
      <c r="U32" s="20"/>
      <c r="V32" s="2"/>
      <c r="W32" s="20"/>
      <c r="X32" s="12"/>
      <c r="Y32" s="18"/>
      <c r="Z32" s="18"/>
      <c r="AA32" s="18"/>
      <c r="AB32" s="18"/>
      <c r="AC32" s="12"/>
      <c r="AD32" s="18"/>
      <c r="AE32" s="12"/>
      <c r="AF32" s="18"/>
      <c r="AG32" s="21">
        <f t="shared" si="0"/>
        <v>3</v>
      </c>
      <c r="AH32" s="22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23" t="str">
        <f t="shared" si="1"/>
        <v>晏寧</v>
      </c>
      <c r="AJ32" s="24"/>
    </row>
    <row r="33" spans="1:36" ht="18" customHeight="1">
      <c r="A33" s="18" t="s">
        <v>174</v>
      </c>
      <c r="B33" s="19" t="s">
        <v>146</v>
      </c>
      <c r="C33" s="2"/>
      <c r="D33" s="20"/>
      <c r="E33" s="20"/>
      <c r="F33" s="20"/>
      <c r="G33" s="20"/>
      <c r="H33" s="2"/>
      <c r="I33" s="20"/>
      <c r="J33" s="2"/>
      <c r="K33" s="20"/>
      <c r="L33" s="20">
        <v>1</v>
      </c>
      <c r="M33" s="20"/>
      <c r="N33" s="20"/>
      <c r="O33" s="2"/>
      <c r="P33" s="20"/>
      <c r="Q33" s="2"/>
      <c r="R33" s="20"/>
      <c r="S33" s="20"/>
      <c r="T33" s="20"/>
      <c r="U33" s="20"/>
      <c r="V33" s="2"/>
      <c r="W33" s="20"/>
      <c r="X33" s="12"/>
      <c r="Y33" s="18"/>
      <c r="Z33" s="18"/>
      <c r="AA33" s="18"/>
      <c r="AB33" s="18"/>
      <c r="AC33" s="12"/>
      <c r="AD33" s="18"/>
      <c r="AE33" s="12"/>
      <c r="AF33" s="18"/>
      <c r="AG33" s="21">
        <f t="shared" si="0"/>
        <v>1</v>
      </c>
      <c r="AH33" s="22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23" t="str">
        <f t="shared" si="1"/>
        <v>飛飛</v>
      </c>
      <c r="AJ33" s="24"/>
    </row>
    <row r="34" spans="1:36" ht="18" customHeight="1">
      <c r="A34" s="26" t="s">
        <v>174</v>
      </c>
      <c r="B34" s="27" t="s">
        <v>116</v>
      </c>
      <c r="C34" s="2"/>
      <c r="D34" s="28"/>
      <c r="E34" s="28"/>
      <c r="F34" s="28"/>
      <c r="G34" s="28"/>
      <c r="H34" s="2"/>
      <c r="I34" s="28"/>
      <c r="J34" s="2"/>
      <c r="K34" s="28"/>
      <c r="L34" s="28"/>
      <c r="M34" s="28"/>
      <c r="N34" s="28"/>
      <c r="O34" s="2"/>
      <c r="P34" s="28"/>
      <c r="Q34" s="2"/>
      <c r="R34" s="28"/>
      <c r="S34" s="28"/>
      <c r="T34" s="28">
        <v>1</v>
      </c>
      <c r="U34" s="28"/>
      <c r="V34" s="2"/>
      <c r="W34" s="28"/>
      <c r="X34" s="12"/>
      <c r="Y34" s="26"/>
      <c r="Z34" s="26"/>
      <c r="AA34" s="26"/>
      <c r="AB34" s="26">
        <v>1</v>
      </c>
      <c r="AC34" s="12"/>
      <c r="AD34" s="26"/>
      <c r="AE34" s="12"/>
      <c r="AF34" s="26">
        <v>1</v>
      </c>
      <c r="AG34" s="29">
        <f t="shared" si="0"/>
        <v>3</v>
      </c>
      <c r="AH34" s="30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31" t="str">
        <f t="shared" si="1"/>
        <v>大汪</v>
      </c>
      <c r="AJ34" s="32"/>
    </row>
    <row r="35" spans="1:36" ht="18" customHeight="1">
      <c r="A35" s="26" t="s">
        <v>174</v>
      </c>
      <c r="B35" s="27" t="s">
        <v>118</v>
      </c>
      <c r="C35" s="2"/>
      <c r="D35" s="28"/>
      <c r="E35" s="28"/>
      <c r="F35" s="28"/>
      <c r="G35" s="28"/>
      <c r="H35" s="2"/>
      <c r="I35" s="28"/>
      <c r="J35" s="2"/>
      <c r="K35" s="28"/>
      <c r="L35" s="28"/>
      <c r="M35" s="28"/>
      <c r="N35" s="28"/>
      <c r="O35" s="2"/>
      <c r="P35" s="28"/>
      <c r="Q35" s="2"/>
      <c r="R35" s="28">
        <v>1</v>
      </c>
      <c r="S35" s="28"/>
      <c r="T35" s="28"/>
      <c r="U35" s="28"/>
      <c r="V35" s="2"/>
      <c r="W35" s="28"/>
      <c r="X35" s="12"/>
      <c r="Y35" s="26"/>
      <c r="Z35" s="26"/>
      <c r="AA35" s="26"/>
      <c r="AB35" s="26"/>
      <c r="AC35" s="12"/>
      <c r="AD35" s="26"/>
      <c r="AE35" s="12"/>
      <c r="AF35" s="26">
        <v>1</v>
      </c>
      <c r="AG35" s="29">
        <f t="shared" si="0"/>
        <v>2</v>
      </c>
      <c r="AH35" s="30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31" t="str">
        <f t="shared" si="1"/>
        <v>雅筑</v>
      </c>
      <c r="AJ35" s="32"/>
    </row>
    <row r="36" spans="1:36" ht="18" customHeight="1">
      <c r="A36" s="26" t="s">
        <v>174</v>
      </c>
      <c r="B36" s="27" t="s">
        <v>141</v>
      </c>
      <c r="C36" s="2"/>
      <c r="D36" s="28"/>
      <c r="E36" s="28"/>
      <c r="F36" s="28"/>
      <c r="G36" s="28"/>
      <c r="H36" s="2"/>
      <c r="I36" s="28"/>
      <c r="J36" s="2"/>
      <c r="K36" s="28"/>
      <c r="L36" s="28"/>
      <c r="M36" s="28"/>
      <c r="N36" s="28"/>
      <c r="O36" s="2"/>
      <c r="P36" s="28"/>
      <c r="Q36" s="2"/>
      <c r="R36" s="28"/>
      <c r="S36" s="28"/>
      <c r="T36" s="28"/>
      <c r="U36" s="28"/>
      <c r="V36" s="2"/>
      <c r="W36" s="28"/>
      <c r="X36" s="12"/>
      <c r="Y36" s="26"/>
      <c r="Z36" s="26"/>
      <c r="AA36" s="26"/>
      <c r="AB36" s="26"/>
      <c r="AC36" s="12"/>
      <c r="AD36" s="26">
        <v>1</v>
      </c>
      <c r="AE36" s="12"/>
      <c r="AF36" s="26"/>
      <c r="AG36" s="29">
        <f t="shared" ref="AG36:AG67" si="2">COUNTA(C36:AF36)</f>
        <v>1</v>
      </c>
      <c r="AH36" s="30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31" t="str">
        <f t="shared" ref="AI36:AI67" si="3">B36</f>
        <v>Cindy</v>
      </c>
      <c r="AJ36" s="32"/>
    </row>
    <row r="37" spans="1:36" ht="18" customHeight="1">
      <c r="A37" s="26" t="s">
        <v>174</v>
      </c>
      <c r="B37" s="27" t="s">
        <v>103</v>
      </c>
      <c r="C37" s="2"/>
      <c r="D37" s="28"/>
      <c r="E37" s="28"/>
      <c r="F37" s="28"/>
      <c r="G37" s="28"/>
      <c r="H37" s="2"/>
      <c r="I37" s="28">
        <v>1</v>
      </c>
      <c r="J37" s="2"/>
      <c r="K37" s="28"/>
      <c r="L37" s="28"/>
      <c r="M37" s="28"/>
      <c r="N37" s="28">
        <v>1</v>
      </c>
      <c r="O37" s="2"/>
      <c r="P37" s="28">
        <v>1</v>
      </c>
      <c r="Q37" s="2"/>
      <c r="R37" s="28"/>
      <c r="S37" s="28">
        <v>1</v>
      </c>
      <c r="T37" s="28">
        <v>1</v>
      </c>
      <c r="U37" s="28">
        <v>1</v>
      </c>
      <c r="V37" s="2"/>
      <c r="W37" s="28"/>
      <c r="X37" s="12"/>
      <c r="Y37" s="26"/>
      <c r="Z37" s="26"/>
      <c r="AA37" s="26"/>
      <c r="AB37" s="26">
        <v>1</v>
      </c>
      <c r="AC37" s="12"/>
      <c r="AD37" s="26">
        <v>1</v>
      </c>
      <c r="AE37" s="12"/>
      <c r="AF37" s="26"/>
      <c r="AG37" s="29">
        <f t="shared" si="2"/>
        <v>8</v>
      </c>
      <c r="AH37" s="30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31" t="str">
        <f t="shared" si="3"/>
        <v>圈圈</v>
      </c>
      <c r="AJ37" s="33"/>
    </row>
    <row r="38" spans="1:36" ht="18" customHeight="1">
      <c r="A38" s="26" t="s">
        <v>174</v>
      </c>
      <c r="B38" s="27" t="s">
        <v>120</v>
      </c>
      <c r="C38" s="2"/>
      <c r="D38" s="28">
        <v>1</v>
      </c>
      <c r="E38" s="28"/>
      <c r="F38" s="28"/>
      <c r="G38" s="28"/>
      <c r="H38" s="2"/>
      <c r="I38" s="28"/>
      <c r="J38" s="2"/>
      <c r="K38" s="28">
        <v>1</v>
      </c>
      <c r="L38" s="28"/>
      <c r="M38" s="28"/>
      <c r="N38" s="28"/>
      <c r="O38" s="2"/>
      <c r="P38" s="28"/>
      <c r="Q38" s="2"/>
      <c r="R38" s="28">
        <v>1</v>
      </c>
      <c r="S38" s="28"/>
      <c r="T38" s="28"/>
      <c r="U38" s="28"/>
      <c r="V38" s="2"/>
      <c r="W38" s="28"/>
      <c r="X38" s="12"/>
      <c r="Y38" s="26"/>
      <c r="Z38" s="26"/>
      <c r="AA38" s="26"/>
      <c r="AB38" s="26"/>
      <c r="AC38" s="12"/>
      <c r="AD38" s="26"/>
      <c r="AE38" s="12"/>
      <c r="AF38" s="26">
        <v>1</v>
      </c>
      <c r="AG38" s="29">
        <f t="shared" si="2"/>
        <v>4</v>
      </c>
      <c r="AH38" s="30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31" t="str">
        <f t="shared" si="3"/>
        <v>品君</v>
      </c>
      <c r="AJ38" s="33"/>
    </row>
    <row r="39" spans="1:36" ht="18" customHeight="1">
      <c r="A39" s="26" t="s">
        <v>174</v>
      </c>
      <c r="B39" s="27" t="s">
        <v>142</v>
      </c>
      <c r="C39" s="2"/>
      <c r="D39" s="28"/>
      <c r="E39" s="28"/>
      <c r="F39" s="28"/>
      <c r="G39" s="28"/>
      <c r="H39" s="2"/>
      <c r="I39" s="28"/>
      <c r="J39" s="2"/>
      <c r="K39" s="28"/>
      <c r="L39" s="28"/>
      <c r="M39" s="28"/>
      <c r="N39" s="28"/>
      <c r="O39" s="2"/>
      <c r="P39" s="28"/>
      <c r="Q39" s="2"/>
      <c r="R39" s="28"/>
      <c r="S39" s="28"/>
      <c r="T39" s="28"/>
      <c r="U39" s="28"/>
      <c r="V39" s="2"/>
      <c r="W39" s="28"/>
      <c r="X39" s="12"/>
      <c r="Y39" s="26"/>
      <c r="Z39" s="26"/>
      <c r="AA39" s="26"/>
      <c r="AB39" s="26">
        <v>1</v>
      </c>
      <c r="AC39" s="12"/>
      <c r="AD39" s="26"/>
      <c r="AE39" s="12"/>
      <c r="AF39" s="26"/>
      <c r="AG39" s="29">
        <f t="shared" si="2"/>
        <v>1</v>
      </c>
      <c r="AH39" s="30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31" t="str">
        <f t="shared" si="3"/>
        <v>如靜</v>
      </c>
      <c r="AJ39" s="33"/>
    </row>
    <row r="40" spans="1:36" ht="18" customHeight="1">
      <c r="A40" s="26" t="s">
        <v>174</v>
      </c>
      <c r="B40" s="27" t="s">
        <v>143</v>
      </c>
      <c r="C40" s="2"/>
      <c r="D40" s="28"/>
      <c r="E40" s="28"/>
      <c r="F40" s="28"/>
      <c r="G40" s="28"/>
      <c r="H40" s="2"/>
      <c r="I40" s="28"/>
      <c r="J40" s="2"/>
      <c r="K40" s="28"/>
      <c r="L40" s="28"/>
      <c r="M40" s="28"/>
      <c r="N40" s="28"/>
      <c r="O40" s="2"/>
      <c r="P40" s="28"/>
      <c r="Q40" s="2"/>
      <c r="R40" s="28"/>
      <c r="S40" s="28"/>
      <c r="T40" s="28"/>
      <c r="U40" s="28"/>
      <c r="V40" s="2"/>
      <c r="W40" s="28"/>
      <c r="X40" s="12"/>
      <c r="Y40" s="26"/>
      <c r="Z40" s="26"/>
      <c r="AA40" s="26"/>
      <c r="AB40" s="26"/>
      <c r="AC40" s="12"/>
      <c r="AD40" s="26"/>
      <c r="AE40" s="12"/>
      <c r="AF40" s="26"/>
      <c r="AG40" s="29">
        <f t="shared" si="2"/>
        <v>0</v>
      </c>
      <c r="AH40" s="30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31" t="str">
        <f t="shared" si="3"/>
        <v>毓玫</v>
      </c>
      <c r="AJ40" s="33"/>
    </row>
    <row r="41" spans="1:36" ht="18" customHeight="1">
      <c r="A41" s="26" t="s">
        <v>174</v>
      </c>
      <c r="B41" s="27" t="s">
        <v>144</v>
      </c>
      <c r="C41" s="2"/>
      <c r="D41" s="28"/>
      <c r="E41" s="28"/>
      <c r="F41" s="28"/>
      <c r="G41" s="28"/>
      <c r="H41" s="2"/>
      <c r="I41" s="28"/>
      <c r="J41" s="2"/>
      <c r="K41" s="28"/>
      <c r="L41" s="28"/>
      <c r="M41" s="28"/>
      <c r="N41" s="28"/>
      <c r="O41" s="2"/>
      <c r="P41" s="28"/>
      <c r="Q41" s="2"/>
      <c r="R41" s="28"/>
      <c r="S41" s="28"/>
      <c r="T41" s="28"/>
      <c r="U41" s="28"/>
      <c r="V41" s="2"/>
      <c r="W41" s="28"/>
      <c r="X41" s="12"/>
      <c r="Y41" s="26"/>
      <c r="Z41" s="26"/>
      <c r="AA41" s="26"/>
      <c r="AB41" s="26"/>
      <c r="AC41" s="12"/>
      <c r="AD41" s="26"/>
      <c r="AE41" s="12"/>
      <c r="AF41" s="26"/>
      <c r="AG41" s="29">
        <f t="shared" si="2"/>
        <v>0</v>
      </c>
      <c r="AH41" s="30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31" t="str">
        <f t="shared" si="3"/>
        <v>美枝</v>
      </c>
      <c r="AJ41" s="32"/>
    </row>
    <row r="42" spans="1:36" ht="18" customHeight="1">
      <c r="A42" s="26" t="s">
        <v>174</v>
      </c>
      <c r="B42" s="27" t="s">
        <v>145</v>
      </c>
      <c r="C42" s="2"/>
      <c r="D42" s="28"/>
      <c r="E42" s="28"/>
      <c r="F42" s="28"/>
      <c r="G42" s="28"/>
      <c r="H42" s="2"/>
      <c r="I42" s="28"/>
      <c r="J42" s="2"/>
      <c r="K42" s="28"/>
      <c r="L42" s="28"/>
      <c r="M42" s="28"/>
      <c r="N42" s="28"/>
      <c r="O42" s="2"/>
      <c r="P42" s="28"/>
      <c r="Q42" s="2"/>
      <c r="R42" s="28"/>
      <c r="S42" s="28"/>
      <c r="T42" s="28"/>
      <c r="U42" s="28"/>
      <c r="V42" s="2"/>
      <c r="W42" s="28"/>
      <c r="X42" s="12"/>
      <c r="Y42" s="26"/>
      <c r="Z42" s="26"/>
      <c r="AA42" s="26"/>
      <c r="AB42" s="26"/>
      <c r="AC42" s="12"/>
      <c r="AD42" s="26"/>
      <c r="AE42" s="12"/>
      <c r="AF42" s="26"/>
      <c r="AG42" s="29">
        <f t="shared" si="2"/>
        <v>0</v>
      </c>
      <c r="AH42" s="30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31" t="str">
        <f t="shared" si="3"/>
        <v>魯魯咪</v>
      </c>
      <c r="AJ42" s="34"/>
    </row>
    <row r="43" spans="1:36" ht="18" customHeight="1">
      <c r="A43" s="9" t="s">
        <v>58</v>
      </c>
      <c r="B43" s="10" t="s">
        <v>23</v>
      </c>
      <c r="C43" s="2"/>
      <c r="D43" s="11"/>
      <c r="E43" s="11">
        <v>1</v>
      </c>
      <c r="F43" s="11"/>
      <c r="G43" s="11">
        <v>1</v>
      </c>
      <c r="H43" s="2"/>
      <c r="I43" s="11">
        <v>1</v>
      </c>
      <c r="J43" s="2"/>
      <c r="K43" s="11">
        <v>1</v>
      </c>
      <c r="L43" s="11">
        <v>1</v>
      </c>
      <c r="M43" s="11"/>
      <c r="N43" s="11"/>
      <c r="O43" s="2"/>
      <c r="P43" s="11">
        <v>1</v>
      </c>
      <c r="Q43" s="2"/>
      <c r="R43" s="11">
        <v>1</v>
      </c>
      <c r="S43" s="11">
        <v>1</v>
      </c>
      <c r="T43" s="11">
        <v>1</v>
      </c>
      <c r="U43" s="11">
        <v>1</v>
      </c>
      <c r="V43" s="2"/>
      <c r="W43" s="11">
        <v>1</v>
      </c>
      <c r="X43" s="12"/>
      <c r="Y43" s="9">
        <v>1</v>
      </c>
      <c r="Z43" s="9"/>
      <c r="AA43" s="9">
        <v>1</v>
      </c>
      <c r="AB43" s="9"/>
      <c r="AC43" s="12"/>
      <c r="AD43" s="9">
        <v>1</v>
      </c>
      <c r="AE43" s="12"/>
      <c r="AF43" s="9">
        <v>1</v>
      </c>
      <c r="AG43" s="13">
        <f t="shared" si="2"/>
        <v>15</v>
      </c>
      <c r="AH43" s="14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15" t="str">
        <f t="shared" si="3"/>
        <v>ㄈㄈ</v>
      </c>
      <c r="AJ43" s="17"/>
    </row>
    <row r="44" spans="1:36" ht="18" customHeight="1">
      <c r="A44" s="9" t="s">
        <v>58</v>
      </c>
      <c r="B44" s="10" t="s">
        <v>24</v>
      </c>
      <c r="C44" s="2"/>
      <c r="D44" s="11">
        <v>1</v>
      </c>
      <c r="E44" s="11">
        <v>1</v>
      </c>
      <c r="F44" s="11"/>
      <c r="G44" s="11">
        <v>1</v>
      </c>
      <c r="H44" s="2"/>
      <c r="I44" s="11">
        <v>1</v>
      </c>
      <c r="J44" s="2"/>
      <c r="K44" s="11">
        <v>1</v>
      </c>
      <c r="L44" s="11">
        <v>1</v>
      </c>
      <c r="M44" s="11"/>
      <c r="N44" s="11"/>
      <c r="O44" s="2"/>
      <c r="P44" s="11">
        <v>1</v>
      </c>
      <c r="Q44" s="2"/>
      <c r="R44" s="11">
        <v>1</v>
      </c>
      <c r="S44" s="11">
        <v>1</v>
      </c>
      <c r="T44" s="11">
        <v>1</v>
      </c>
      <c r="U44" s="11"/>
      <c r="V44" s="2"/>
      <c r="W44" s="11">
        <v>1</v>
      </c>
      <c r="X44" s="12"/>
      <c r="Y44" s="9"/>
      <c r="Z44" s="9">
        <v>1</v>
      </c>
      <c r="AA44" s="9">
        <v>1</v>
      </c>
      <c r="AB44" s="9"/>
      <c r="AC44" s="12"/>
      <c r="AD44" s="9">
        <v>1</v>
      </c>
      <c r="AE44" s="12"/>
      <c r="AF44" s="9">
        <v>1</v>
      </c>
      <c r="AG44" s="13">
        <f t="shared" si="2"/>
        <v>15</v>
      </c>
      <c r="AH44" s="14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15" t="str">
        <f t="shared" si="3"/>
        <v>大熊</v>
      </c>
      <c r="AJ44" s="17"/>
    </row>
    <row r="45" spans="1:36" ht="18" customHeight="1">
      <c r="A45" s="9" t="s">
        <v>58</v>
      </c>
      <c r="B45" s="10" t="s">
        <v>67</v>
      </c>
      <c r="C45" s="2"/>
      <c r="D45" s="11"/>
      <c r="E45" s="11"/>
      <c r="F45" s="11"/>
      <c r="G45" s="11"/>
      <c r="H45" s="2"/>
      <c r="I45" s="11"/>
      <c r="J45" s="2"/>
      <c r="K45" s="11"/>
      <c r="L45" s="11"/>
      <c r="M45" s="11"/>
      <c r="N45" s="11"/>
      <c r="O45" s="2"/>
      <c r="P45" s="11"/>
      <c r="Q45" s="2"/>
      <c r="R45" s="11"/>
      <c r="S45" s="11"/>
      <c r="T45" s="11"/>
      <c r="U45" s="11"/>
      <c r="V45" s="2"/>
      <c r="W45" s="11"/>
      <c r="X45" s="12"/>
      <c r="Y45" s="9"/>
      <c r="Z45" s="9"/>
      <c r="AA45" s="9"/>
      <c r="AB45" s="9"/>
      <c r="AC45" s="12"/>
      <c r="AD45" s="9"/>
      <c r="AE45" s="12"/>
      <c r="AF45" s="9"/>
      <c r="AG45" s="13">
        <f t="shared" si="2"/>
        <v>0</v>
      </c>
      <c r="AH45" s="14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15" t="str">
        <f t="shared" si="3"/>
        <v>歐吉</v>
      </c>
      <c r="AJ45" s="17"/>
    </row>
    <row r="46" spans="1:36" ht="18" customHeight="1">
      <c r="A46" s="9" t="s">
        <v>58</v>
      </c>
      <c r="B46" s="10" t="s">
        <v>65</v>
      </c>
      <c r="C46" s="2"/>
      <c r="D46" s="11">
        <v>1</v>
      </c>
      <c r="E46" s="11"/>
      <c r="F46" s="11"/>
      <c r="G46" s="11"/>
      <c r="H46" s="2"/>
      <c r="I46" s="11"/>
      <c r="J46" s="2"/>
      <c r="K46" s="11"/>
      <c r="L46" s="11"/>
      <c r="M46" s="11"/>
      <c r="N46" s="11"/>
      <c r="O46" s="2"/>
      <c r="P46" s="11">
        <v>1</v>
      </c>
      <c r="Q46" s="2"/>
      <c r="R46" s="11"/>
      <c r="S46" s="11"/>
      <c r="T46" s="11"/>
      <c r="U46" s="11"/>
      <c r="V46" s="2"/>
      <c r="W46" s="11"/>
      <c r="X46" s="12"/>
      <c r="Y46" s="9"/>
      <c r="Z46" s="9"/>
      <c r="AA46" s="9"/>
      <c r="AB46" s="9"/>
      <c r="AC46" s="12"/>
      <c r="AD46" s="9"/>
      <c r="AE46" s="12"/>
      <c r="AF46" s="9"/>
      <c r="AG46" s="13">
        <f t="shared" si="2"/>
        <v>2</v>
      </c>
      <c r="AH46" s="14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15" t="str">
        <f t="shared" si="3"/>
        <v>文淵</v>
      </c>
      <c r="AJ46" s="17"/>
    </row>
    <row r="47" spans="1:36" ht="18" customHeight="1">
      <c r="A47" s="9" t="s">
        <v>58</v>
      </c>
      <c r="B47" s="10" t="s">
        <v>69</v>
      </c>
      <c r="C47" s="2"/>
      <c r="D47" s="11"/>
      <c r="E47" s="11"/>
      <c r="F47" s="11"/>
      <c r="G47" s="11"/>
      <c r="H47" s="2"/>
      <c r="I47" s="11"/>
      <c r="J47" s="2"/>
      <c r="K47" s="11"/>
      <c r="L47" s="11"/>
      <c r="M47" s="11"/>
      <c r="N47" s="11"/>
      <c r="O47" s="2"/>
      <c r="P47" s="11"/>
      <c r="Q47" s="2"/>
      <c r="R47" s="11"/>
      <c r="S47" s="11"/>
      <c r="T47" s="11"/>
      <c r="U47" s="11"/>
      <c r="V47" s="2"/>
      <c r="W47" s="11"/>
      <c r="X47" s="12"/>
      <c r="Y47" s="9"/>
      <c r="Z47" s="9"/>
      <c r="AA47" s="9"/>
      <c r="AB47" s="9"/>
      <c r="AC47" s="12"/>
      <c r="AD47" s="9"/>
      <c r="AE47" s="12"/>
      <c r="AF47" s="9"/>
      <c r="AG47" s="13">
        <f t="shared" si="2"/>
        <v>0</v>
      </c>
      <c r="AH47" s="14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15" t="str">
        <f t="shared" si="3"/>
        <v>小馬</v>
      </c>
      <c r="AJ47" s="17"/>
    </row>
    <row r="48" spans="1:36" ht="18" customHeight="1">
      <c r="A48" s="9" t="s">
        <v>58</v>
      </c>
      <c r="B48" s="10" t="s">
        <v>64</v>
      </c>
      <c r="C48" s="2"/>
      <c r="D48" s="11"/>
      <c r="E48" s="11"/>
      <c r="F48" s="11"/>
      <c r="G48" s="11"/>
      <c r="H48" s="2"/>
      <c r="I48" s="11">
        <v>1</v>
      </c>
      <c r="J48" s="2"/>
      <c r="K48" s="11">
        <v>1</v>
      </c>
      <c r="L48" s="11">
        <v>1</v>
      </c>
      <c r="M48" s="11"/>
      <c r="N48" s="11">
        <v>1</v>
      </c>
      <c r="O48" s="2"/>
      <c r="P48" s="11">
        <v>1</v>
      </c>
      <c r="Q48" s="2"/>
      <c r="R48" s="11">
        <v>1</v>
      </c>
      <c r="S48" s="11">
        <v>1</v>
      </c>
      <c r="T48" s="11">
        <v>1</v>
      </c>
      <c r="U48" s="11"/>
      <c r="V48" s="2"/>
      <c r="W48" s="11">
        <v>1</v>
      </c>
      <c r="X48" s="12"/>
      <c r="Y48" s="9">
        <v>1</v>
      </c>
      <c r="Z48" s="9">
        <v>1</v>
      </c>
      <c r="AA48" s="9">
        <v>1</v>
      </c>
      <c r="AB48" s="9"/>
      <c r="AC48" s="12"/>
      <c r="AD48" s="9"/>
      <c r="AE48" s="12"/>
      <c r="AF48" s="9"/>
      <c r="AG48" s="13">
        <f t="shared" si="2"/>
        <v>12</v>
      </c>
      <c r="AH48" s="14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15" t="str">
        <f t="shared" si="3"/>
        <v>園棠</v>
      </c>
      <c r="AJ48" s="17"/>
    </row>
    <row r="49" spans="1:36" ht="18" customHeight="1">
      <c r="A49" s="9" t="s">
        <v>58</v>
      </c>
      <c r="B49" s="10" t="s">
        <v>31</v>
      </c>
      <c r="C49" s="2"/>
      <c r="D49" s="11"/>
      <c r="E49" s="11"/>
      <c r="F49" s="11"/>
      <c r="G49" s="11">
        <v>1</v>
      </c>
      <c r="H49" s="2"/>
      <c r="I49" s="11"/>
      <c r="J49" s="2"/>
      <c r="K49" s="11"/>
      <c r="L49" s="11">
        <v>1</v>
      </c>
      <c r="M49" s="11"/>
      <c r="N49" s="11"/>
      <c r="O49" s="2"/>
      <c r="P49" s="11">
        <v>1</v>
      </c>
      <c r="Q49" s="2"/>
      <c r="R49" s="11"/>
      <c r="S49" s="11"/>
      <c r="T49" s="11"/>
      <c r="U49" s="11"/>
      <c r="V49" s="2"/>
      <c r="W49" s="11"/>
      <c r="X49" s="12"/>
      <c r="Y49" s="9">
        <v>1</v>
      </c>
      <c r="Z49" s="9"/>
      <c r="AA49" s="9"/>
      <c r="AB49" s="9"/>
      <c r="AC49" s="12"/>
      <c r="AD49" s="9"/>
      <c r="AE49" s="12"/>
      <c r="AF49" s="9"/>
      <c r="AG49" s="13">
        <f t="shared" si="2"/>
        <v>4</v>
      </c>
      <c r="AH49" s="14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15" t="str">
        <f t="shared" si="3"/>
        <v>阿美</v>
      </c>
      <c r="AJ49" s="17"/>
    </row>
    <row r="50" spans="1:36" ht="18" customHeight="1">
      <c r="A50" s="9" t="s">
        <v>58</v>
      </c>
      <c r="B50" s="10" t="s">
        <v>75</v>
      </c>
      <c r="C50" s="2"/>
      <c r="D50" s="11"/>
      <c r="E50" s="11"/>
      <c r="F50" s="11"/>
      <c r="G50" s="11"/>
      <c r="H50" s="2"/>
      <c r="I50" s="11"/>
      <c r="J50" s="2"/>
      <c r="K50" s="11"/>
      <c r="L50" s="11"/>
      <c r="M50" s="11"/>
      <c r="N50" s="11"/>
      <c r="O50" s="2"/>
      <c r="P50" s="11"/>
      <c r="Q50" s="2"/>
      <c r="R50" s="11"/>
      <c r="S50" s="11"/>
      <c r="T50" s="11"/>
      <c r="U50" s="11"/>
      <c r="V50" s="2"/>
      <c r="W50" s="11"/>
      <c r="X50" s="12"/>
      <c r="Y50" s="9"/>
      <c r="Z50" s="9"/>
      <c r="AA50" s="9"/>
      <c r="AB50" s="9"/>
      <c r="AC50" s="12"/>
      <c r="AD50" s="9"/>
      <c r="AE50" s="12"/>
      <c r="AF50" s="9"/>
      <c r="AG50" s="13">
        <f t="shared" si="2"/>
        <v>0</v>
      </c>
      <c r="AH50" s="14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15" t="str">
        <f t="shared" si="3"/>
        <v>叮噹</v>
      </c>
      <c r="AJ50" s="17"/>
    </row>
    <row r="51" spans="1:36" ht="18" customHeight="1">
      <c r="A51" s="9" t="s">
        <v>58</v>
      </c>
      <c r="B51" s="10" t="s">
        <v>33</v>
      </c>
      <c r="C51" s="2"/>
      <c r="D51" s="11"/>
      <c r="E51" s="11"/>
      <c r="F51" s="11"/>
      <c r="G51" s="11"/>
      <c r="H51" s="2"/>
      <c r="I51" s="11"/>
      <c r="J51" s="2"/>
      <c r="K51" s="11"/>
      <c r="L51" s="11"/>
      <c r="M51" s="11"/>
      <c r="N51" s="11"/>
      <c r="O51" s="2"/>
      <c r="P51" s="11"/>
      <c r="Q51" s="2"/>
      <c r="R51" s="11"/>
      <c r="S51" s="11"/>
      <c r="T51" s="11"/>
      <c r="U51" s="11"/>
      <c r="V51" s="2"/>
      <c r="W51" s="11"/>
      <c r="X51" s="12"/>
      <c r="Y51" s="9"/>
      <c r="Z51" s="9"/>
      <c r="AA51" s="9"/>
      <c r="AB51" s="9"/>
      <c r="AC51" s="12"/>
      <c r="AD51" s="9"/>
      <c r="AE51" s="12"/>
      <c r="AF51" s="9"/>
      <c r="AG51" s="13">
        <f t="shared" si="2"/>
        <v>0</v>
      </c>
      <c r="AH51" s="14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15" t="str">
        <f t="shared" si="3"/>
        <v>一飛</v>
      </c>
      <c r="AJ51" s="17"/>
    </row>
    <row r="52" spans="1:36" ht="18" customHeight="1">
      <c r="A52" s="9" t="s">
        <v>58</v>
      </c>
      <c r="B52" s="10" t="s">
        <v>29</v>
      </c>
      <c r="C52" s="2"/>
      <c r="D52" s="11"/>
      <c r="E52" s="11"/>
      <c r="F52" s="11"/>
      <c r="G52" s="11">
        <v>1</v>
      </c>
      <c r="H52" s="2"/>
      <c r="I52" s="11"/>
      <c r="J52" s="2"/>
      <c r="K52" s="11"/>
      <c r="L52" s="11"/>
      <c r="M52" s="11"/>
      <c r="N52" s="11"/>
      <c r="O52" s="2"/>
      <c r="P52" s="11"/>
      <c r="Q52" s="2"/>
      <c r="R52" s="11"/>
      <c r="S52" s="11"/>
      <c r="T52" s="11"/>
      <c r="U52" s="11"/>
      <c r="V52" s="2"/>
      <c r="W52" s="11"/>
      <c r="X52" s="12"/>
      <c r="Y52" s="9"/>
      <c r="Z52" s="9"/>
      <c r="AA52" s="9"/>
      <c r="AB52" s="9">
        <v>1</v>
      </c>
      <c r="AC52" s="12"/>
      <c r="AD52" s="9">
        <v>1</v>
      </c>
      <c r="AE52" s="12"/>
      <c r="AF52" s="9"/>
      <c r="AG52" s="13">
        <f t="shared" si="2"/>
        <v>3</v>
      </c>
      <c r="AH52" s="14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15" t="str">
        <f t="shared" si="3"/>
        <v>大頭</v>
      </c>
      <c r="AJ52" s="17"/>
    </row>
    <row r="53" spans="1:36" ht="18" customHeight="1">
      <c r="A53" s="9" t="s">
        <v>58</v>
      </c>
      <c r="B53" s="10" t="s">
        <v>28</v>
      </c>
      <c r="C53" s="2"/>
      <c r="D53" s="11"/>
      <c r="E53" s="11"/>
      <c r="F53" s="11"/>
      <c r="G53" s="11">
        <v>1</v>
      </c>
      <c r="H53" s="2"/>
      <c r="I53" s="11"/>
      <c r="J53" s="2"/>
      <c r="K53" s="11">
        <v>1</v>
      </c>
      <c r="L53" s="11"/>
      <c r="M53" s="11"/>
      <c r="N53" s="11"/>
      <c r="O53" s="2"/>
      <c r="P53" s="11"/>
      <c r="Q53" s="2"/>
      <c r="R53" s="11"/>
      <c r="S53" s="11"/>
      <c r="T53" s="11"/>
      <c r="U53" s="11"/>
      <c r="V53" s="2"/>
      <c r="W53" s="11">
        <v>1</v>
      </c>
      <c r="X53" s="12"/>
      <c r="Y53" s="9"/>
      <c r="Z53" s="9"/>
      <c r="AA53" s="9"/>
      <c r="AB53" s="9"/>
      <c r="AC53" s="12"/>
      <c r="AD53" s="9"/>
      <c r="AE53" s="12"/>
      <c r="AF53" s="9"/>
      <c r="AG53" s="13">
        <f t="shared" si="2"/>
        <v>3</v>
      </c>
      <c r="AH53" s="14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15" t="str">
        <f t="shared" si="3"/>
        <v>克勤</v>
      </c>
      <c r="AJ53" s="17"/>
    </row>
    <row r="54" spans="1:36" ht="18" customHeight="1">
      <c r="A54" s="9" t="s">
        <v>58</v>
      </c>
      <c r="B54" s="10" t="s">
        <v>85</v>
      </c>
      <c r="C54" s="2"/>
      <c r="D54" s="11"/>
      <c r="E54" s="11"/>
      <c r="F54" s="11"/>
      <c r="G54" s="11"/>
      <c r="H54" s="2"/>
      <c r="I54" s="11"/>
      <c r="J54" s="2"/>
      <c r="K54" s="11"/>
      <c r="L54" s="11"/>
      <c r="M54" s="11"/>
      <c r="N54" s="11"/>
      <c r="O54" s="2"/>
      <c r="P54" s="11"/>
      <c r="Q54" s="2"/>
      <c r="R54" s="11"/>
      <c r="S54" s="11"/>
      <c r="T54" s="11"/>
      <c r="U54" s="11"/>
      <c r="V54" s="2"/>
      <c r="W54" s="11"/>
      <c r="X54" s="12"/>
      <c r="Y54" s="9"/>
      <c r="Z54" s="9"/>
      <c r="AA54" s="9"/>
      <c r="AB54" s="9"/>
      <c r="AC54" s="12"/>
      <c r="AD54" s="9"/>
      <c r="AE54" s="12"/>
      <c r="AF54" s="9"/>
      <c r="AG54" s="13">
        <f t="shared" si="2"/>
        <v>0</v>
      </c>
      <c r="AH54" s="14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15" t="str">
        <f t="shared" si="3"/>
        <v>阿璽</v>
      </c>
      <c r="AJ54" s="17"/>
    </row>
    <row r="55" spans="1:36" ht="18" customHeight="1">
      <c r="A55" s="9" t="s">
        <v>58</v>
      </c>
      <c r="B55" s="10" t="s">
        <v>68</v>
      </c>
      <c r="C55" s="2"/>
      <c r="D55" s="11"/>
      <c r="E55" s="11"/>
      <c r="F55" s="11"/>
      <c r="G55" s="11"/>
      <c r="H55" s="2"/>
      <c r="I55" s="11"/>
      <c r="J55" s="2"/>
      <c r="K55" s="11"/>
      <c r="L55" s="11"/>
      <c r="M55" s="11"/>
      <c r="N55" s="11"/>
      <c r="O55" s="2"/>
      <c r="P55" s="11"/>
      <c r="Q55" s="2"/>
      <c r="R55" s="11"/>
      <c r="S55" s="11"/>
      <c r="T55" s="11"/>
      <c r="U55" s="11"/>
      <c r="V55" s="2"/>
      <c r="W55" s="11"/>
      <c r="X55" s="12"/>
      <c r="Y55" s="9"/>
      <c r="Z55" s="9"/>
      <c r="AA55" s="9"/>
      <c r="AB55" s="9"/>
      <c r="AC55" s="12"/>
      <c r="AD55" s="9"/>
      <c r="AE55" s="12"/>
      <c r="AF55" s="9"/>
      <c r="AG55" s="13">
        <f t="shared" si="2"/>
        <v>0</v>
      </c>
      <c r="AH55" s="14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15" t="str">
        <f t="shared" si="3"/>
        <v>兔子</v>
      </c>
      <c r="AJ55" s="17"/>
    </row>
    <row r="56" spans="1:36" ht="18" customHeight="1">
      <c r="A56" s="9" t="s">
        <v>58</v>
      </c>
      <c r="B56" s="10" t="s">
        <v>178</v>
      </c>
      <c r="C56" s="2"/>
      <c r="D56" s="11"/>
      <c r="E56" s="11"/>
      <c r="F56" s="11"/>
      <c r="G56" s="11">
        <v>1</v>
      </c>
      <c r="H56" s="2"/>
      <c r="I56" s="11"/>
      <c r="J56" s="2"/>
      <c r="K56" s="11">
        <v>1</v>
      </c>
      <c r="L56" s="11"/>
      <c r="M56" s="11"/>
      <c r="N56" s="11"/>
      <c r="O56" s="2"/>
      <c r="P56" s="11"/>
      <c r="Q56" s="2"/>
      <c r="R56" s="11"/>
      <c r="S56" s="11"/>
      <c r="T56" s="11">
        <v>1</v>
      </c>
      <c r="U56" s="11"/>
      <c r="V56" s="2"/>
      <c r="W56" s="11"/>
      <c r="X56" s="12"/>
      <c r="Y56" s="9"/>
      <c r="Z56" s="9">
        <v>1</v>
      </c>
      <c r="AA56" s="9"/>
      <c r="AB56" s="9"/>
      <c r="AC56" s="12"/>
      <c r="AD56" s="9">
        <v>1</v>
      </c>
      <c r="AE56" s="12"/>
      <c r="AF56" s="9">
        <v>1</v>
      </c>
      <c r="AG56" s="13">
        <f t="shared" si="2"/>
        <v>6</v>
      </c>
      <c r="AH56" s="14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15" t="str">
        <f t="shared" si="3"/>
        <v>Fish</v>
      </c>
      <c r="AJ56" s="17"/>
    </row>
    <row r="57" spans="1:36" ht="18" customHeight="1">
      <c r="A57" s="9" t="s">
        <v>58</v>
      </c>
      <c r="B57" s="10" t="s">
        <v>77</v>
      </c>
      <c r="C57" s="2"/>
      <c r="D57" s="11"/>
      <c r="E57" s="11"/>
      <c r="F57" s="11"/>
      <c r="G57" s="11"/>
      <c r="H57" s="2"/>
      <c r="I57" s="11"/>
      <c r="J57" s="2"/>
      <c r="K57" s="11"/>
      <c r="L57" s="11"/>
      <c r="M57" s="11"/>
      <c r="N57" s="11"/>
      <c r="O57" s="2"/>
      <c r="P57" s="11"/>
      <c r="Q57" s="2"/>
      <c r="R57" s="11"/>
      <c r="S57" s="11"/>
      <c r="T57" s="11"/>
      <c r="U57" s="11"/>
      <c r="V57" s="2"/>
      <c r="W57" s="11"/>
      <c r="X57" s="12"/>
      <c r="Y57" s="9"/>
      <c r="Z57" s="9"/>
      <c r="AA57" s="9"/>
      <c r="AB57" s="9"/>
      <c r="AC57" s="12"/>
      <c r="AD57" s="9"/>
      <c r="AE57" s="12"/>
      <c r="AF57" s="9"/>
      <c r="AG57" s="13">
        <f t="shared" si="2"/>
        <v>0</v>
      </c>
      <c r="AH57" s="14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15" t="str">
        <f t="shared" si="3"/>
        <v>小夫</v>
      </c>
      <c r="AJ57" s="17"/>
    </row>
    <row r="58" spans="1:36" ht="18" customHeight="1">
      <c r="A58" s="9" t="s">
        <v>58</v>
      </c>
      <c r="B58" s="10" t="s">
        <v>78</v>
      </c>
      <c r="C58" s="2"/>
      <c r="D58" s="11"/>
      <c r="E58" s="11"/>
      <c r="F58" s="11"/>
      <c r="G58" s="11"/>
      <c r="H58" s="2"/>
      <c r="I58" s="11"/>
      <c r="J58" s="2"/>
      <c r="K58" s="11"/>
      <c r="L58" s="11"/>
      <c r="M58" s="11"/>
      <c r="N58" s="11"/>
      <c r="O58" s="2"/>
      <c r="P58" s="11"/>
      <c r="Q58" s="2"/>
      <c r="R58" s="11"/>
      <c r="S58" s="11"/>
      <c r="T58" s="11"/>
      <c r="U58" s="11"/>
      <c r="V58" s="2"/>
      <c r="W58" s="11"/>
      <c r="X58" s="12"/>
      <c r="Y58" s="9"/>
      <c r="Z58" s="9"/>
      <c r="AA58" s="9"/>
      <c r="AB58" s="9"/>
      <c r="AC58" s="12"/>
      <c r="AD58" s="9"/>
      <c r="AE58" s="12"/>
      <c r="AF58" s="9"/>
      <c r="AG58" s="13">
        <f t="shared" si="2"/>
        <v>0</v>
      </c>
      <c r="AH58" s="14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15" t="str">
        <f t="shared" si="3"/>
        <v>小邱</v>
      </c>
      <c r="AJ58" s="17"/>
    </row>
    <row r="59" spans="1:36" ht="18" customHeight="1">
      <c r="A59" s="9" t="s">
        <v>58</v>
      </c>
      <c r="B59" s="10" t="s">
        <v>79</v>
      </c>
      <c r="C59" s="2"/>
      <c r="D59" s="11"/>
      <c r="E59" s="11"/>
      <c r="F59" s="11"/>
      <c r="G59" s="11"/>
      <c r="H59" s="2"/>
      <c r="I59" s="11"/>
      <c r="J59" s="2"/>
      <c r="K59" s="11"/>
      <c r="L59" s="11"/>
      <c r="M59" s="11"/>
      <c r="N59" s="11"/>
      <c r="O59" s="2"/>
      <c r="P59" s="11"/>
      <c r="Q59" s="2"/>
      <c r="R59" s="11"/>
      <c r="S59" s="11"/>
      <c r="T59" s="11"/>
      <c r="U59" s="11"/>
      <c r="V59" s="2"/>
      <c r="W59" s="11"/>
      <c r="X59" s="12"/>
      <c r="Y59" s="9"/>
      <c r="Z59" s="9"/>
      <c r="AA59" s="9"/>
      <c r="AB59" s="9"/>
      <c r="AC59" s="12"/>
      <c r="AD59" s="9"/>
      <c r="AE59" s="12"/>
      <c r="AF59" s="9"/>
      <c r="AG59" s="13">
        <f t="shared" si="2"/>
        <v>0</v>
      </c>
      <c r="AH59" s="14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15" t="str">
        <f t="shared" si="3"/>
        <v>淳淳</v>
      </c>
      <c r="AJ59" s="17"/>
    </row>
    <row r="60" spans="1:36" ht="18" customHeight="1">
      <c r="A60" s="9" t="s">
        <v>58</v>
      </c>
      <c r="B60" s="10" t="s">
        <v>80</v>
      </c>
      <c r="C60" s="2"/>
      <c r="D60" s="11"/>
      <c r="E60" s="11"/>
      <c r="F60" s="11"/>
      <c r="G60" s="11"/>
      <c r="H60" s="2"/>
      <c r="I60" s="11"/>
      <c r="J60" s="2"/>
      <c r="K60" s="11"/>
      <c r="L60" s="11"/>
      <c r="M60" s="11"/>
      <c r="N60" s="11"/>
      <c r="O60" s="2"/>
      <c r="P60" s="11"/>
      <c r="Q60" s="2"/>
      <c r="R60" s="11"/>
      <c r="S60" s="11"/>
      <c r="T60" s="11"/>
      <c r="U60" s="11"/>
      <c r="V60" s="2"/>
      <c r="W60" s="11"/>
      <c r="X60" s="12"/>
      <c r="Y60" s="9"/>
      <c r="Z60" s="9"/>
      <c r="AA60" s="9"/>
      <c r="AB60" s="9"/>
      <c r="AC60" s="12"/>
      <c r="AD60" s="9"/>
      <c r="AE60" s="12"/>
      <c r="AF60" s="9"/>
      <c r="AG60" s="13">
        <f t="shared" si="2"/>
        <v>0</v>
      </c>
      <c r="AH60" s="14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15" t="str">
        <f t="shared" si="3"/>
        <v>禿鷹</v>
      </c>
      <c r="AJ60" s="17"/>
    </row>
    <row r="61" spans="1:36" ht="18" customHeight="1">
      <c r="A61" s="9" t="s">
        <v>58</v>
      </c>
      <c r="B61" s="10" t="s">
        <v>30</v>
      </c>
      <c r="C61" s="2"/>
      <c r="D61" s="11">
        <v>1</v>
      </c>
      <c r="E61" s="11">
        <v>1</v>
      </c>
      <c r="F61" s="11"/>
      <c r="G61" s="11"/>
      <c r="H61" s="2"/>
      <c r="I61" s="11"/>
      <c r="J61" s="2"/>
      <c r="K61" s="11">
        <v>1</v>
      </c>
      <c r="L61" s="11">
        <v>1</v>
      </c>
      <c r="M61" s="11"/>
      <c r="N61" s="11"/>
      <c r="O61" s="2"/>
      <c r="P61" s="11"/>
      <c r="Q61" s="2"/>
      <c r="R61" s="11"/>
      <c r="S61" s="11"/>
      <c r="T61" s="11"/>
      <c r="U61" s="11"/>
      <c r="V61" s="2"/>
      <c r="W61" s="11">
        <v>1</v>
      </c>
      <c r="X61" s="12"/>
      <c r="Y61" s="9"/>
      <c r="Z61" s="9">
        <v>1</v>
      </c>
      <c r="AA61" s="9"/>
      <c r="AB61" s="9"/>
      <c r="AC61" s="12"/>
      <c r="AD61" s="9"/>
      <c r="AE61" s="12"/>
      <c r="AF61" s="9">
        <v>1</v>
      </c>
      <c r="AG61" s="13">
        <f t="shared" si="2"/>
        <v>7</v>
      </c>
      <c r="AH61" s="14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15" t="str">
        <f t="shared" si="3"/>
        <v>鯰魚</v>
      </c>
      <c r="AJ61" s="17"/>
    </row>
    <row r="62" spans="1:36" ht="18" customHeight="1">
      <c r="A62" s="9" t="s">
        <v>58</v>
      </c>
      <c r="B62" s="10" t="s">
        <v>81</v>
      </c>
      <c r="C62" s="2"/>
      <c r="D62" s="11"/>
      <c r="E62" s="11">
        <v>1</v>
      </c>
      <c r="F62" s="11"/>
      <c r="G62" s="11"/>
      <c r="H62" s="2"/>
      <c r="I62" s="11"/>
      <c r="J62" s="2"/>
      <c r="K62" s="11">
        <v>1</v>
      </c>
      <c r="L62" s="11"/>
      <c r="M62" s="11"/>
      <c r="N62" s="11"/>
      <c r="O62" s="2"/>
      <c r="P62" s="11"/>
      <c r="Q62" s="2"/>
      <c r="R62" s="11"/>
      <c r="S62" s="11"/>
      <c r="T62" s="11"/>
      <c r="U62" s="11"/>
      <c r="V62" s="2"/>
      <c r="W62" s="11"/>
      <c r="X62" s="12"/>
      <c r="Y62" s="9"/>
      <c r="Z62" s="9"/>
      <c r="AA62" s="9"/>
      <c r="AB62" s="9"/>
      <c r="AC62" s="12"/>
      <c r="AD62" s="9"/>
      <c r="AE62" s="12"/>
      <c r="AF62" s="9"/>
      <c r="AG62" s="13">
        <f t="shared" si="2"/>
        <v>2</v>
      </c>
      <c r="AH62" s="14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15" t="str">
        <f t="shared" si="3"/>
        <v>王宏</v>
      </c>
      <c r="AJ62" s="17"/>
    </row>
    <row r="63" spans="1:36" ht="18" customHeight="1">
      <c r="A63" s="9" t="s">
        <v>58</v>
      </c>
      <c r="B63" s="10" t="s">
        <v>76</v>
      </c>
      <c r="C63" s="2"/>
      <c r="D63" s="11"/>
      <c r="E63" s="11"/>
      <c r="F63" s="11"/>
      <c r="G63" s="11"/>
      <c r="H63" s="2"/>
      <c r="I63" s="11"/>
      <c r="J63" s="2"/>
      <c r="K63" s="11"/>
      <c r="L63" s="11"/>
      <c r="M63" s="11"/>
      <c r="N63" s="11">
        <v>1</v>
      </c>
      <c r="O63" s="2"/>
      <c r="P63" s="11"/>
      <c r="Q63" s="2"/>
      <c r="R63" s="11"/>
      <c r="S63" s="11"/>
      <c r="T63" s="11"/>
      <c r="U63" s="11"/>
      <c r="V63" s="2"/>
      <c r="W63" s="11"/>
      <c r="X63" s="12"/>
      <c r="Y63" s="9">
        <v>1</v>
      </c>
      <c r="Z63" s="9"/>
      <c r="AA63" s="9"/>
      <c r="AB63" s="9"/>
      <c r="AC63" s="12"/>
      <c r="AD63" s="9"/>
      <c r="AE63" s="12"/>
      <c r="AF63" s="9"/>
      <c r="AG63" s="13">
        <f t="shared" si="2"/>
        <v>2</v>
      </c>
      <c r="AH63" s="14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15" t="str">
        <f t="shared" si="3"/>
        <v>肥肥</v>
      </c>
      <c r="AJ63" s="17"/>
    </row>
    <row r="64" spans="1:36" ht="18" customHeight="1">
      <c r="A64" s="9" t="s">
        <v>58</v>
      </c>
      <c r="B64" s="10" t="s">
        <v>74</v>
      </c>
      <c r="C64" s="2"/>
      <c r="D64" s="11"/>
      <c r="E64" s="11"/>
      <c r="F64" s="11"/>
      <c r="G64" s="11"/>
      <c r="H64" s="2"/>
      <c r="I64" s="11"/>
      <c r="J64" s="2"/>
      <c r="K64" s="11"/>
      <c r="L64" s="11"/>
      <c r="M64" s="11"/>
      <c r="N64" s="11"/>
      <c r="O64" s="2"/>
      <c r="P64" s="11"/>
      <c r="Q64" s="2"/>
      <c r="R64" s="11"/>
      <c r="S64" s="11"/>
      <c r="T64" s="11"/>
      <c r="U64" s="11"/>
      <c r="V64" s="2"/>
      <c r="W64" s="11"/>
      <c r="X64" s="12"/>
      <c r="Y64" s="9"/>
      <c r="Z64" s="9"/>
      <c r="AA64" s="9"/>
      <c r="AB64" s="9"/>
      <c r="AC64" s="12"/>
      <c r="AD64" s="9"/>
      <c r="AE64" s="12"/>
      <c r="AF64" s="9"/>
      <c r="AG64" s="13">
        <f t="shared" si="2"/>
        <v>0</v>
      </c>
      <c r="AH64" s="14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15" t="str">
        <f t="shared" si="3"/>
        <v>蘆葦</v>
      </c>
      <c r="AJ64" s="17"/>
    </row>
    <row r="65" spans="1:36" ht="18" customHeight="1">
      <c r="A65" s="9" t="s">
        <v>58</v>
      </c>
      <c r="B65" s="10" t="s">
        <v>82</v>
      </c>
      <c r="C65" s="2"/>
      <c r="D65" s="11"/>
      <c r="E65" s="11"/>
      <c r="F65" s="11"/>
      <c r="G65" s="11"/>
      <c r="H65" s="2"/>
      <c r="I65" s="11"/>
      <c r="J65" s="2"/>
      <c r="K65" s="11"/>
      <c r="L65" s="11"/>
      <c r="M65" s="11"/>
      <c r="N65" s="11"/>
      <c r="O65" s="2"/>
      <c r="P65" s="11"/>
      <c r="Q65" s="2"/>
      <c r="R65" s="11"/>
      <c r="S65" s="11"/>
      <c r="T65" s="11"/>
      <c r="U65" s="11"/>
      <c r="V65" s="2"/>
      <c r="W65" s="11"/>
      <c r="X65" s="12"/>
      <c r="Y65" s="9"/>
      <c r="Z65" s="9"/>
      <c r="AA65" s="9"/>
      <c r="AB65" s="9"/>
      <c r="AC65" s="12"/>
      <c r="AD65" s="9"/>
      <c r="AE65" s="12"/>
      <c r="AF65" s="9"/>
      <c r="AG65" s="13">
        <f t="shared" si="2"/>
        <v>0</v>
      </c>
      <c r="AH65" s="14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15" t="str">
        <f t="shared" si="3"/>
        <v>犀牛</v>
      </c>
      <c r="AJ65" s="17"/>
    </row>
    <row r="66" spans="1:36" ht="18" customHeight="1">
      <c r="A66" s="9" t="s">
        <v>58</v>
      </c>
      <c r="B66" s="10" t="s">
        <v>83</v>
      </c>
      <c r="C66" s="2"/>
      <c r="D66" s="11"/>
      <c r="E66" s="11"/>
      <c r="F66" s="11"/>
      <c r="G66" s="11"/>
      <c r="H66" s="2"/>
      <c r="I66" s="11"/>
      <c r="J66" s="2"/>
      <c r="K66" s="11"/>
      <c r="L66" s="11"/>
      <c r="M66" s="11"/>
      <c r="N66" s="11"/>
      <c r="O66" s="2"/>
      <c r="P66" s="11"/>
      <c r="Q66" s="2"/>
      <c r="R66" s="11"/>
      <c r="S66" s="11"/>
      <c r="T66" s="11"/>
      <c r="U66" s="11"/>
      <c r="V66" s="2"/>
      <c r="W66" s="11"/>
      <c r="X66" s="12"/>
      <c r="Y66" s="9"/>
      <c r="Z66" s="9"/>
      <c r="AA66" s="9"/>
      <c r="AB66" s="9"/>
      <c r="AC66" s="12"/>
      <c r="AD66" s="9"/>
      <c r="AE66" s="12"/>
      <c r="AF66" s="9"/>
      <c r="AG66" s="13">
        <f t="shared" si="2"/>
        <v>0</v>
      </c>
      <c r="AH66" s="14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15" t="str">
        <f t="shared" si="3"/>
        <v>來福</v>
      </c>
      <c r="AJ66" s="17"/>
    </row>
    <row r="67" spans="1:36" ht="18" customHeight="1">
      <c r="A67" s="9" t="s">
        <v>58</v>
      </c>
      <c r="B67" s="10" t="s">
        <v>27</v>
      </c>
      <c r="C67" s="2"/>
      <c r="D67" s="11"/>
      <c r="E67" s="11"/>
      <c r="F67" s="11"/>
      <c r="G67" s="11"/>
      <c r="H67" s="2"/>
      <c r="I67" s="11"/>
      <c r="J67" s="2"/>
      <c r="K67" s="11"/>
      <c r="L67" s="11"/>
      <c r="M67" s="11"/>
      <c r="N67" s="11"/>
      <c r="O67" s="2"/>
      <c r="P67" s="11"/>
      <c r="Q67" s="2"/>
      <c r="R67" s="11"/>
      <c r="S67" s="11"/>
      <c r="T67" s="11"/>
      <c r="U67" s="11"/>
      <c r="V67" s="2"/>
      <c r="W67" s="11"/>
      <c r="X67" s="12"/>
      <c r="Y67" s="9"/>
      <c r="Z67" s="9"/>
      <c r="AA67" s="9"/>
      <c r="AB67" s="9"/>
      <c r="AC67" s="12"/>
      <c r="AD67" s="9"/>
      <c r="AE67" s="12"/>
      <c r="AF67" s="9"/>
      <c r="AG67" s="13">
        <f t="shared" si="2"/>
        <v>0</v>
      </c>
      <c r="AH67" s="14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15" t="str">
        <f t="shared" si="3"/>
        <v>芋圓</v>
      </c>
      <c r="AJ67" s="17"/>
    </row>
    <row r="68" spans="1:36" ht="18" customHeight="1">
      <c r="A68" s="9" t="s">
        <v>58</v>
      </c>
      <c r="B68" s="10" t="s">
        <v>84</v>
      </c>
      <c r="C68" s="2"/>
      <c r="D68" s="11"/>
      <c r="E68" s="11"/>
      <c r="F68" s="11"/>
      <c r="G68" s="11"/>
      <c r="H68" s="2"/>
      <c r="I68" s="11"/>
      <c r="J68" s="2"/>
      <c r="K68" s="11"/>
      <c r="L68" s="11"/>
      <c r="M68" s="11"/>
      <c r="N68" s="11"/>
      <c r="O68" s="2"/>
      <c r="P68" s="11"/>
      <c r="Q68" s="2"/>
      <c r="R68" s="11"/>
      <c r="S68" s="11"/>
      <c r="T68" s="11"/>
      <c r="U68" s="11"/>
      <c r="V68" s="2"/>
      <c r="W68" s="11"/>
      <c r="X68" s="12"/>
      <c r="Y68" s="9"/>
      <c r="Z68" s="9"/>
      <c r="AA68" s="9"/>
      <c r="AB68" s="9"/>
      <c r="AC68" s="12"/>
      <c r="AD68" s="9"/>
      <c r="AE68" s="12"/>
      <c r="AF68" s="9"/>
      <c r="AG68" s="13">
        <f t="shared" ref="AG68:AG99" si="4">COUNTA(C68:AF68)</f>
        <v>0</v>
      </c>
      <c r="AH68" s="14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15" t="str">
        <f t="shared" ref="AI68:AI99" si="5">B68</f>
        <v>誌誌</v>
      </c>
      <c r="AJ68" s="17"/>
    </row>
    <row r="69" spans="1:36" ht="18" customHeight="1">
      <c r="A69" s="9" t="s">
        <v>58</v>
      </c>
      <c r="B69" s="10" t="s">
        <v>86</v>
      </c>
      <c r="C69" s="2"/>
      <c r="D69" s="11"/>
      <c r="E69" s="11"/>
      <c r="F69" s="11"/>
      <c r="G69" s="11"/>
      <c r="H69" s="2"/>
      <c r="I69" s="11"/>
      <c r="J69" s="2"/>
      <c r="K69" s="11"/>
      <c r="L69" s="11"/>
      <c r="M69" s="11"/>
      <c r="N69" s="11"/>
      <c r="O69" s="2"/>
      <c r="P69" s="11"/>
      <c r="Q69" s="2"/>
      <c r="R69" s="11"/>
      <c r="S69" s="11"/>
      <c r="T69" s="11"/>
      <c r="U69" s="11"/>
      <c r="V69" s="2"/>
      <c r="W69" s="11"/>
      <c r="X69" s="12"/>
      <c r="Y69" s="9"/>
      <c r="Z69" s="9"/>
      <c r="AA69" s="9"/>
      <c r="AB69" s="9"/>
      <c r="AC69" s="12"/>
      <c r="AD69" s="9"/>
      <c r="AE69" s="12"/>
      <c r="AF69" s="9"/>
      <c r="AG69" s="13">
        <f t="shared" si="4"/>
        <v>0</v>
      </c>
      <c r="AH69" s="14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15" t="str">
        <f t="shared" si="5"/>
        <v>正誼</v>
      </c>
      <c r="AJ69" s="17"/>
    </row>
    <row r="70" spans="1:36" ht="18" customHeight="1">
      <c r="A70" s="9" t="s">
        <v>58</v>
      </c>
      <c r="B70" s="10" t="s">
        <v>32</v>
      </c>
      <c r="C70" s="2"/>
      <c r="D70" s="11"/>
      <c r="E70" s="11"/>
      <c r="F70" s="11"/>
      <c r="G70" s="11"/>
      <c r="H70" s="2"/>
      <c r="I70" s="11"/>
      <c r="J70" s="2"/>
      <c r="K70" s="11"/>
      <c r="L70" s="11"/>
      <c r="M70" s="11"/>
      <c r="N70" s="11"/>
      <c r="O70" s="2"/>
      <c r="P70" s="11"/>
      <c r="Q70" s="2"/>
      <c r="R70" s="11"/>
      <c r="S70" s="11"/>
      <c r="T70" s="11"/>
      <c r="U70" s="11"/>
      <c r="V70" s="2"/>
      <c r="W70" s="11"/>
      <c r="X70" s="12"/>
      <c r="Y70" s="9"/>
      <c r="Z70" s="9"/>
      <c r="AA70" s="9"/>
      <c r="AB70" s="9"/>
      <c r="AC70" s="12"/>
      <c r="AD70" s="9"/>
      <c r="AE70" s="12"/>
      <c r="AF70" s="9"/>
      <c r="AG70" s="13">
        <f t="shared" si="4"/>
        <v>0</v>
      </c>
      <c r="AH70" s="14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15" t="str">
        <f t="shared" si="5"/>
        <v>小翔</v>
      </c>
      <c r="AJ70" s="17"/>
    </row>
    <row r="71" spans="1:36" ht="18" customHeight="1">
      <c r="A71" s="9" t="s">
        <v>58</v>
      </c>
      <c r="B71" s="10" t="s">
        <v>66</v>
      </c>
      <c r="C71" s="2"/>
      <c r="D71" s="11"/>
      <c r="E71" s="11">
        <v>1</v>
      </c>
      <c r="F71" s="11"/>
      <c r="G71" s="11"/>
      <c r="H71" s="2"/>
      <c r="I71" s="11"/>
      <c r="J71" s="2"/>
      <c r="K71" s="11"/>
      <c r="L71" s="11"/>
      <c r="M71" s="11"/>
      <c r="N71" s="11"/>
      <c r="O71" s="2"/>
      <c r="P71" s="11"/>
      <c r="Q71" s="2"/>
      <c r="R71" s="11"/>
      <c r="S71" s="11"/>
      <c r="T71" s="11"/>
      <c r="U71" s="11"/>
      <c r="V71" s="2"/>
      <c r="W71" s="11"/>
      <c r="X71" s="12"/>
      <c r="Y71" s="9"/>
      <c r="Z71" s="9"/>
      <c r="AA71" s="9"/>
      <c r="AB71" s="9"/>
      <c r="AC71" s="12"/>
      <c r="AD71" s="9"/>
      <c r="AE71" s="12"/>
      <c r="AF71" s="9"/>
      <c r="AG71" s="13">
        <f t="shared" si="4"/>
        <v>1</v>
      </c>
      <c r="AH71" s="14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15" t="str">
        <f t="shared" si="5"/>
        <v>昆佑</v>
      </c>
      <c r="AJ71" s="17"/>
    </row>
    <row r="72" spans="1:36" ht="18" customHeight="1">
      <c r="A72" s="9" t="s">
        <v>58</v>
      </c>
      <c r="B72" s="10" t="s">
        <v>179</v>
      </c>
      <c r="C72" s="2"/>
      <c r="D72" s="11"/>
      <c r="E72" s="11"/>
      <c r="F72" s="11"/>
      <c r="G72" s="11"/>
      <c r="H72" s="2"/>
      <c r="I72" s="11"/>
      <c r="J72" s="2"/>
      <c r="K72" s="11"/>
      <c r="L72" s="11"/>
      <c r="M72" s="11"/>
      <c r="N72" s="11"/>
      <c r="O72" s="2"/>
      <c r="P72" s="11"/>
      <c r="Q72" s="2"/>
      <c r="R72" s="11"/>
      <c r="S72" s="11"/>
      <c r="T72" s="11"/>
      <c r="U72" s="11"/>
      <c r="V72" s="2"/>
      <c r="W72" s="11"/>
      <c r="X72" s="12"/>
      <c r="Y72" s="9"/>
      <c r="Z72" s="9"/>
      <c r="AA72" s="9"/>
      <c r="AB72" s="9"/>
      <c r="AC72" s="12"/>
      <c r="AD72" s="9"/>
      <c r="AE72" s="12"/>
      <c r="AF72" s="9"/>
      <c r="AG72" s="13">
        <f t="shared" si="4"/>
        <v>0</v>
      </c>
      <c r="AH72" s="14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15" t="str">
        <f t="shared" si="5"/>
        <v>玹玹</v>
      </c>
      <c r="AJ72" s="17"/>
    </row>
    <row r="73" spans="1:36" ht="18" customHeight="1">
      <c r="A73" s="9" t="s">
        <v>58</v>
      </c>
      <c r="B73" s="10" t="s">
        <v>70</v>
      </c>
      <c r="C73" s="2"/>
      <c r="D73" s="11"/>
      <c r="E73" s="11"/>
      <c r="F73" s="11"/>
      <c r="G73" s="11"/>
      <c r="H73" s="2"/>
      <c r="I73" s="11"/>
      <c r="J73" s="2"/>
      <c r="K73" s="11"/>
      <c r="L73" s="11"/>
      <c r="M73" s="11"/>
      <c r="N73" s="11"/>
      <c r="O73" s="2"/>
      <c r="P73" s="11"/>
      <c r="Q73" s="2"/>
      <c r="R73" s="11"/>
      <c r="S73" s="11"/>
      <c r="T73" s="11"/>
      <c r="U73" s="11"/>
      <c r="V73" s="2"/>
      <c r="W73" s="11"/>
      <c r="X73" s="12"/>
      <c r="Y73" s="9"/>
      <c r="Z73" s="9"/>
      <c r="AA73" s="9"/>
      <c r="AB73" s="9"/>
      <c r="AC73" s="12"/>
      <c r="AD73" s="9">
        <v>1</v>
      </c>
      <c r="AE73" s="12"/>
      <c r="AF73" s="9"/>
      <c r="AG73" s="13">
        <f t="shared" si="4"/>
        <v>1</v>
      </c>
      <c r="AH73" s="14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15" t="str">
        <f t="shared" si="5"/>
        <v>Allen</v>
      </c>
      <c r="AJ73" s="17"/>
    </row>
    <row r="74" spans="1:36" ht="18" customHeight="1">
      <c r="A74" s="9" t="s">
        <v>58</v>
      </c>
      <c r="B74" s="10" t="s">
        <v>25</v>
      </c>
      <c r="C74" s="2"/>
      <c r="D74" s="11">
        <v>1</v>
      </c>
      <c r="E74" s="11">
        <v>1</v>
      </c>
      <c r="F74" s="11"/>
      <c r="G74" s="11">
        <v>1</v>
      </c>
      <c r="H74" s="2"/>
      <c r="I74" s="11">
        <v>1</v>
      </c>
      <c r="J74" s="2"/>
      <c r="K74" s="11">
        <v>1</v>
      </c>
      <c r="L74" s="11">
        <v>1</v>
      </c>
      <c r="M74" s="11"/>
      <c r="N74" s="11">
        <v>1</v>
      </c>
      <c r="O74" s="2"/>
      <c r="P74" s="11"/>
      <c r="Q74" s="2"/>
      <c r="R74" s="11">
        <v>1</v>
      </c>
      <c r="S74" s="11"/>
      <c r="T74" s="11">
        <v>1</v>
      </c>
      <c r="U74" s="11">
        <v>1</v>
      </c>
      <c r="V74" s="2"/>
      <c r="W74" s="11"/>
      <c r="X74" s="12"/>
      <c r="Y74" s="9"/>
      <c r="Z74" s="9"/>
      <c r="AA74" s="9"/>
      <c r="AB74" s="9"/>
      <c r="AC74" s="12"/>
      <c r="AD74" s="9">
        <v>1</v>
      </c>
      <c r="AE74" s="12"/>
      <c r="AF74" s="9"/>
      <c r="AG74" s="13">
        <f t="shared" si="4"/>
        <v>11</v>
      </c>
      <c r="AH74" s="14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15" t="str">
        <f t="shared" si="5"/>
        <v>潘潘</v>
      </c>
      <c r="AJ74" s="17"/>
    </row>
    <row r="75" spans="1:36" ht="18" customHeight="1">
      <c r="A75" s="9" t="s">
        <v>58</v>
      </c>
      <c r="B75" s="10" t="s">
        <v>63</v>
      </c>
      <c r="C75" s="2"/>
      <c r="D75" s="11"/>
      <c r="E75" s="11"/>
      <c r="F75" s="11"/>
      <c r="G75" s="11"/>
      <c r="H75" s="2"/>
      <c r="I75" s="11">
        <v>1</v>
      </c>
      <c r="J75" s="2"/>
      <c r="K75" s="11"/>
      <c r="L75" s="11"/>
      <c r="M75" s="11"/>
      <c r="N75" s="11"/>
      <c r="O75" s="2"/>
      <c r="P75" s="11"/>
      <c r="Q75" s="2"/>
      <c r="R75" s="11">
        <v>1</v>
      </c>
      <c r="S75" s="11"/>
      <c r="T75" s="11"/>
      <c r="U75" s="11"/>
      <c r="V75" s="2"/>
      <c r="W75" s="11">
        <v>1</v>
      </c>
      <c r="X75" s="12"/>
      <c r="Y75" s="9"/>
      <c r="Z75" s="9"/>
      <c r="AA75" s="9"/>
      <c r="AB75" s="9"/>
      <c r="AC75" s="12"/>
      <c r="AD75" s="9"/>
      <c r="AE75" s="12"/>
      <c r="AF75" s="9">
        <v>1</v>
      </c>
      <c r="AG75" s="13">
        <f t="shared" si="4"/>
        <v>4</v>
      </c>
      <c r="AH75" s="14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15" t="str">
        <f t="shared" si="5"/>
        <v>芒果</v>
      </c>
      <c r="AJ75" s="17"/>
    </row>
    <row r="76" spans="1:36" ht="18" customHeight="1">
      <c r="A76" s="9" t="s">
        <v>58</v>
      </c>
      <c r="B76" s="10" t="s">
        <v>73</v>
      </c>
      <c r="C76" s="2"/>
      <c r="D76" s="11"/>
      <c r="E76" s="11"/>
      <c r="F76" s="11"/>
      <c r="G76" s="11"/>
      <c r="H76" s="2"/>
      <c r="I76" s="11"/>
      <c r="J76" s="2"/>
      <c r="K76" s="11"/>
      <c r="L76" s="11">
        <v>1</v>
      </c>
      <c r="M76" s="11"/>
      <c r="N76" s="11"/>
      <c r="O76" s="2"/>
      <c r="P76" s="11"/>
      <c r="Q76" s="2"/>
      <c r="R76" s="11"/>
      <c r="S76" s="11"/>
      <c r="T76" s="11"/>
      <c r="U76" s="11"/>
      <c r="V76" s="2"/>
      <c r="W76" s="11"/>
      <c r="X76" s="12"/>
      <c r="Y76" s="9"/>
      <c r="Z76" s="9"/>
      <c r="AA76" s="9"/>
      <c r="AB76" s="9"/>
      <c r="AC76" s="12"/>
      <c r="AD76" s="9"/>
      <c r="AE76" s="12"/>
      <c r="AF76" s="9"/>
      <c r="AG76" s="13">
        <f t="shared" si="4"/>
        <v>1</v>
      </c>
      <c r="AH76" s="14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15" t="str">
        <f t="shared" si="5"/>
        <v>冠軍</v>
      </c>
      <c r="AJ76" s="17"/>
    </row>
    <row r="77" spans="1:36" ht="18" customHeight="1">
      <c r="A77" s="9" t="s">
        <v>58</v>
      </c>
      <c r="B77" s="10" t="s">
        <v>59</v>
      </c>
      <c r="C77" s="2"/>
      <c r="D77" s="11"/>
      <c r="E77" s="11"/>
      <c r="F77" s="11"/>
      <c r="G77" s="11"/>
      <c r="H77" s="2"/>
      <c r="I77" s="11"/>
      <c r="J77" s="2"/>
      <c r="K77" s="11"/>
      <c r="L77" s="11"/>
      <c r="M77" s="11"/>
      <c r="N77" s="11"/>
      <c r="O77" s="2"/>
      <c r="P77" s="11">
        <v>1</v>
      </c>
      <c r="Q77" s="2"/>
      <c r="R77" s="11">
        <v>1</v>
      </c>
      <c r="S77" s="11"/>
      <c r="T77" s="11"/>
      <c r="U77" s="11"/>
      <c r="V77" s="2"/>
      <c r="W77" s="11">
        <v>1</v>
      </c>
      <c r="X77" s="12"/>
      <c r="Y77" s="9"/>
      <c r="Z77" s="9">
        <v>1</v>
      </c>
      <c r="AA77" s="9"/>
      <c r="AB77" s="9"/>
      <c r="AC77" s="12"/>
      <c r="AD77" s="9">
        <v>1</v>
      </c>
      <c r="AE77" s="12"/>
      <c r="AF77" s="9"/>
      <c r="AG77" s="13">
        <f t="shared" si="4"/>
        <v>5</v>
      </c>
      <c r="AH77" s="14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15" t="str">
        <f t="shared" si="5"/>
        <v>阿幹</v>
      </c>
      <c r="AJ77" s="17"/>
    </row>
    <row r="78" spans="1:36" ht="18" customHeight="1">
      <c r="A78" s="9" t="s">
        <v>58</v>
      </c>
      <c r="B78" s="10" t="s">
        <v>26</v>
      </c>
      <c r="C78" s="2"/>
      <c r="D78" s="11"/>
      <c r="E78" s="11"/>
      <c r="F78" s="11"/>
      <c r="G78" s="11"/>
      <c r="H78" s="2"/>
      <c r="I78" s="11"/>
      <c r="J78" s="2"/>
      <c r="K78" s="11"/>
      <c r="L78" s="11"/>
      <c r="M78" s="11"/>
      <c r="N78" s="11"/>
      <c r="O78" s="2"/>
      <c r="P78" s="11"/>
      <c r="Q78" s="2"/>
      <c r="R78" s="11"/>
      <c r="S78" s="11"/>
      <c r="T78" s="11"/>
      <c r="U78" s="11"/>
      <c r="V78" s="2"/>
      <c r="W78" s="11"/>
      <c r="X78" s="12"/>
      <c r="Y78" s="9"/>
      <c r="Z78" s="9">
        <v>1</v>
      </c>
      <c r="AA78" s="9"/>
      <c r="AB78" s="9"/>
      <c r="AC78" s="12"/>
      <c r="AD78" s="9"/>
      <c r="AE78" s="12"/>
      <c r="AF78" s="9"/>
      <c r="AG78" s="13">
        <f t="shared" si="4"/>
        <v>1</v>
      </c>
      <c r="AH78" s="14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15" t="str">
        <f t="shared" si="5"/>
        <v>曉強</v>
      </c>
      <c r="AJ78" s="17"/>
    </row>
    <row r="79" spans="1:36" ht="18" customHeight="1">
      <c r="A79" s="18" t="s">
        <v>58</v>
      </c>
      <c r="B79" s="19" t="s">
        <v>152</v>
      </c>
      <c r="C79" s="2"/>
      <c r="D79" s="20"/>
      <c r="E79" s="20"/>
      <c r="F79" s="20"/>
      <c r="G79" s="20"/>
      <c r="H79" s="2"/>
      <c r="I79" s="20">
        <v>1</v>
      </c>
      <c r="J79" s="2"/>
      <c r="K79" s="20">
        <v>1</v>
      </c>
      <c r="L79" s="20">
        <v>1</v>
      </c>
      <c r="M79" s="20"/>
      <c r="N79" s="20"/>
      <c r="O79" s="2"/>
      <c r="P79" s="20">
        <v>1</v>
      </c>
      <c r="Q79" s="2"/>
      <c r="R79" s="20">
        <v>1</v>
      </c>
      <c r="S79" s="20">
        <v>1</v>
      </c>
      <c r="T79" s="20"/>
      <c r="U79" s="20"/>
      <c r="V79" s="2"/>
      <c r="W79" s="20">
        <v>1</v>
      </c>
      <c r="X79" s="12"/>
      <c r="Y79" s="18">
        <v>1</v>
      </c>
      <c r="Z79" s="18"/>
      <c r="AA79" s="18"/>
      <c r="AB79" s="18"/>
      <c r="AC79" s="12"/>
      <c r="AD79" s="18">
        <v>1</v>
      </c>
      <c r="AE79" s="12"/>
      <c r="AF79" s="18"/>
      <c r="AG79" s="21">
        <f t="shared" si="4"/>
        <v>9</v>
      </c>
      <c r="AH79" s="22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23" t="str">
        <f t="shared" si="5"/>
        <v>阿俗</v>
      </c>
      <c r="AJ79" s="25"/>
    </row>
    <row r="80" spans="1:36" ht="18" customHeight="1">
      <c r="A80" s="18" t="s">
        <v>58</v>
      </c>
      <c r="B80" s="19" t="s">
        <v>151</v>
      </c>
      <c r="C80" s="2"/>
      <c r="D80" s="20">
        <v>1</v>
      </c>
      <c r="E80" s="20">
        <v>1</v>
      </c>
      <c r="F80" s="20"/>
      <c r="G80" s="20"/>
      <c r="H80" s="2"/>
      <c r="I80" s="20">
        <v>1</v>
      </c>
      <c r="J80" s="2"/>
      <c r="K80" s="20">
        <v>1</v>
      </c>
      <c r="L80" s="20">
        <v>1</v>
      </c>
      <c r="M80" s="20"/>
      <c r="N80" s="20"/>
      <c r="O80" s="2"/>
      <c r="P80" s="20">
        <v>1</v>
      </c>
      <c r="Q80" s="2"/>
      <c r="R80" s="20"/>
      <c r="S80" s="20"/>
      <c r="T80" s="20">
        <v>1</v>
      </c>
      <c r="U80" s="20"/>
      <c r="V80" s="2"/>
      <c r="W80" s="20"/>
      <c r="X80" s="12"/>
      <c r="Y80" s="18"/>
      <c r="Z80" s="18"/>
      <c r="AA80" s="18"/>
      <c r="AB80" s="18"/>
      <c r="AC80" s="12"/>
      <c r="AD80" s="18"/>
      <c r="AE80" s="12"/>
      <c r="AF80" s="18"/>
      <c r="AG80" s="21">
        <f t="shared" si="4"/>
        <v>7</v>
      </c>
      <c r="AH80" s="22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23" t="str">
        <f t="shared" si="5"/>
        <v>宇嬅</v>
      </c>
      <c r="AJ80" s="25"/>
    </row>
    <row r="81" spans="1:36" ht="18" customHeight="1">
      <c r="A81" s="18" t="s">
        <v>58</v>
      </c>
      <c r="B81" s="19" t="s">
        <v>154</v>
      </c>
      <c r="C81" s="2"/>
      <c r="D81" s="20"/>
      <c r="E81" s="20"/>
      <c r="F81" s="20"/>
      <c r="G81" s="20"/>
      <c r="H81" s="2"/>
      <c r="I81" s="20"/>
      <c r="J81" s="2"/>
      <c r="K81" s="20"/>
      <c r="L81" s="20"/>
      <c r="M81" s="20"/>
      <c r="N81" s="20"/>
      <c r="O81" s="2"/>
      <c r="P81" s="20"/>
      <c r="Q81" s="2"/>
      <c r="R81" s="20"/>
      <c r="S81" s="20"/>
      <c r="T81" s="20"/>
      <c r="U81" s="20"/>
      <c r="V81" s="2"/>
      <c r="W81" s="20"/>
      <c r="X81" s="12"/>
      <c r="Y81" s="18"/>
      <c r="Z81" s="18"/>
      <c r="AA81" s="18"/>
      <c r="AB81" s="18"/>
      <c r="AC81" s="12"/>
      <c r="AD81" s="18"/>
      <c r="AE81" s="12"/>
      <c r="AF81" s="18"/>
      <c r="AG81" s="21">
        <f t="shared" si="4"/>
        <v>0</v>
      </c>
      <c r="AH81" s="22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23" t="str">
        <f t="shared" si="5"/>
        <v>筱攸</v>
      </c>
      <c r="AJ81" s="25"/>
    </row>
    <row r="82" spans="1:36" ht="18" customHeight="1">
      <c r="A82" s="18" t="s">
        <v>58</v>
      </c>
      <c r="B82" s="19" t="s">
        <v>153</v>
      </c>
      <c r="C82" s="2"/>
      <c r="D82" s="20">
        <v>1</v>
      </c>
      <c r="E82" s="20">
        <v>1</v>
      </c>
      <c r="F82" s="20"/>
      <c r="G82" s="20">
        <v>1</v>
      </c>
      <c r="H82" s="2"/>
      <c r="I82" s="20"/>
      <c r="J82" s="2"/>
      <c r="K82" s="20">
        <v>1</v>
      </c>
      <c r="L82" s="20"/>
      <c r="M82" s="20"/>
      <c r="N82" s="20">
        <v>1</v>
      </c>
      <c r="O82" s="2"/>
      <c r="P82" s="20"/>
      <c r="Q82" s="2"/>
      <c r="R82" s="20"/>
      <c r="S82" s="20"/>
      <c r="T82" s="20">
        <v>1</v>
      </c>
      <c r="U82" s="20">
        <v>1</v>
      </c>
      <c r="V82" s="2"/>
      <c r="W82" s="20"/>
      <c r="X82" s="12"/>
      <c r="Y82" s="18"/>
      <c r="Z82" s="18">
        <v>1</v>
      </c>
      <c r="AA82" s="18">
        <v>1</v>
      </c>
      <c r="AB82" s="18"/>
      <c r="AC82" s="12"/>
      <c r="AD82" s="18"/>
      <c r="AE82" s="12"/>
      <c r="AF82" s="18"/>
      <c r="AG82" s="21">
        <f t="shared" si="4"/>
        <v>9</v>
      </c>
      <c r="AH82" s="22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23" t="str">
        <f t="shared" si="5"/>
        <v>傻妹</v>
      </c>
      <c r="AJ82" s="25"/>
    </row>
    <row r="83" spans="1:36" ht="18" customHeight="1">
      <c r="A83" s="18" t="s">
        <v>58</v>
      </c>
      <c r="B83" s="19" t="s">
        <v>96</v>
      </c>
      <c r="C83" s="2"/>
      <c r="D83" s="20"/>
      <c r="E83" s="20"/>
      <c r="F83" s="20"/>
      <c r="G83" s="20"/>
      <c r="H83" s="2"/>
      <c r="I83" s="20">
        <v>1</v>
      </c>
      <c r="J83" s="2"/>
      <c r="K83" s="20"/>
      <c r="L83" s="20"/>
      <c r="M83" s="20"/>
      <c r="N83" s="20"/>
      <c r="O83" s="2"/>
      <c r="P83" s="20"/>
      <c r="Q83" s="2"/>
      <c r="R83" s="20">
        <v>1</v>
      </c>
      <c r="S83" s="20"/>
      <c r="T83" s="20">
        <v>1</v>
      </c>
      <c r="U83" s="20"/>
      <c r="V83" s="2"/>
      <c r="W83" s="20">
        <v>1</v>
      </c>
      <c r="X83" s="12"/>
      <c r="Y83" s="18">
        <v>1</v>
      </c>
      <c r="Z83" s="18"/>
      <c r="AA83" s="18">
        <v>1</v>
      </c>
      <c r="AB83" s="18"/>
      <c r="AC83" s="12"/>
      <c r="AD83" s="18"/>
      <c r="AE83" s="12"/>
      <c r="AF83" s="18"/>
      <c r="AG83" s="21">
        <f t="shared" si="4"/>
        <v>6</v>
      </c>
      <c r="AH83" s="22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23" t="str">
        <f t="shared" si="5"/>
        <v>靜婷</v>
      </c>
      <c r="AJ83" s="25"/>
    </row>
    <row r="84" spans="1:36" ht="18" customHeight="1">
      <c r="A84" s="18" t="s">
        <v>58</v>
      </c>
      <c r="B84" s="19" t="s">
        <v>155</v>
      </c>
      <c r="C84" s="2"/>
      <c r="D84" s="20"/>
      <c r="E84" s="20"/>
      <c r="F84" s="20"/>
      <c r="G84" s="20"/>
      <c r="H84" s="2"/>
      <c r="I84" s="20"/>
      <c r="J84" s="2"/>
      <c r="K84" s="20"/>
      <c r="L84" s="20"/>
      <c r="M84" s="20"/>
      <c r="N84" s="20"/>
      <c r="O84" s="2"/>
      <c r="P84" s="20"/>
      <c r="Q84" s="2"/>
      <c r="R84" s="20"/>
      <c r="S84" s="20"/>
      <c r="T84" s="20"/>
      <c r="U84" s="20"/>
      <c r="V84" s="2"/>
      <c r="W84" s="20"/>
      <c r="X84" s="12"/>
      <c r="Y84" s="18"/>
      <c r="Z84" s="18"/>
      <c r="AA84" s="18"/>
      <c r="AB84" s="18"/>
      <c r="AC84" s="12"/>
      <c r="AD84" s="18"/>
      <c r="AE84" s="12"/>
      <c r="AF84" s="18"/>
      <c r="AG84" s="21">
        <f t="shared" si="4"/>
        <v>0</v>
      </c>
      <c r="AH84" s="22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23" t="str">
        <f t="shared" si="5"/>
        <v>康康</v>
      </c>
      <c r="AJ84" s="25"/>
    </row>
    <row r="85" spans="1:36" ht="18" customHeight="1">
      <c r="A85" s="18" t="s">
        <v>58</v>
      </c>
      <c r="B85" s="19" t="s">
        <v>92</v>
      </c>
      <c r="C85" s="2"/>
      <c r="D85" s="20">
        <v>1</v>
      </c>
      <c r="E85" s="20">
        <v>1</v>
      </c>
      <c r="F85" s="20"/>
      <c r="G85" s="20"/>
      <c r="H85" s="2"/>
      <c r="I85" s="20"/>
      <c r="J85" s="2"/>
      <c r="K85" s="20">
        <v>1</v>
      </c>
      <c r="L85" s="20">
        <v>1</v>
      </c>
      <c r="M85" s="20"/>
      <c r="N85" s="20"/>
      <c r="O85" s="2"/>
      <c r="P85" s="20"/>
      <c r="Q85" s="2"/>
      <c r="R85" s="20"/>
      <c r="S85" s="20"/>
      <c r="T85" s="20">
        <v>1</v>
      </c>
      <c r="U85" s="20"/>
      <c r="V85" s="2"/>
      <c r="W85" s="20"/>
      <c r="X85" s="12"/>
      <c r="Y85" s="18"/>
      <c r="Z85" s="18"/>
      <c r="AA85" s="18"/>
      <c r="AB85" s="18"/>
      <c r="AC85" s="12"/>
      <c r="AD85" s="18"/>
      <c r="AE85" s="12"/>
      <c r="AF85" s="18"/>
      <c r="AG85" s="21">
        <f t="shared" si="4"/>
        <v>5</v>
      </c>
      <c r="AH85" s="22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23" t="str">
        <f t="shared" si="5"/>
        <v>婉晴</v>
      </c>
      <c r="AJ85" s="25"/>
    </row>
    <row r="86" spans="1:36" ht="18" customHeight="1">
      <c r="A86" s="18" t="s">
        <v>58</v>
      </c>
      <c r="B86" s="19" t="s">
        <v>156</v>
      </c>
      <c r="C86" s="2"/>
      <c r="D86" s="20"/>
      <c r="E86" s="20"/>
      <c r="F86" s="20"/>
      <c r="G86" s="20"/>
      <c r="H86" s="2"/>
      <c r="I86" s="20"/>
      <c r="J86" s="2"/>
      <c r="K86" s="20"/>
      <c r="L86" s="20"/>
      <c r="M86" s="20"/>
      <c r="N86" s="20"/>
      <c r="O86" s="2"/>
      <c r="P86" s="20"/>
      <c r="Q86" s="2"/>
      <c r="R86" s="20"/>
      <c r="S86" s="20"/>
      <c r="T86" s="20"/>
      <c r="U86" s="20"/>
      <c r="V86" s="2"/>
      <c r="W86" s="20"/>
      <c r="X86" s="12"/>
      <c r="Y86" s="18"/>
      <c r="Z86" s="18"/>
      <c r="AA86" s="18"/>
      <c r="AB86" s="18"/>
      <c r="AC86" s="12"/>
      <c r="AD86" s="18"/>
      <c r="AE86" s="12"/>
      <c r="AF86" s="18"/>
      <c r="AG86" s="21">
        <f t="shared" si="4"/>
        <v>0</v>
      </c>
      <c r="AH86" s="22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23" t="str">
        <f t="shared" si="5"/>
        <v>阿金</v>
      </c>
      <c r="AJ86" s="25"/>
    </row>
    <row r="87" spans="1:36" ht="18" customHeight="1">
      <c r="A87" s="18" t="s">
        <v>58</v>
      </c>
      <c r="B87" s="19" t="s">
        <v>104</v>
      </c>
      <c r="C87" s="2"/>
      <c r="D87" s="20"/>
      <c r="E87" s="20"/>
      <c r="F87" s="20"/>
      <c r="G87" s="20"/>
      <c r="H87" s="2"/>
      <c r="I87" s="20"/>
      <c r="J87" s="2"/>
      <c r="K87" s="20"/>
      <c r="L87" s="20"/>
      <c r="M87" s="20"/>
      <c r="N87" s="20"/>
      <c r="O87" s="2"/>
      <c r="P87" s="20"/>
      <c r="Q87" s="2"/>
      <c r="R87" s="20"/>
      <c r="S87" s="20"/>
      <c r="T87" s="20"/>
      <c r="U87" s="20"/>
      <c r="V87" s="2"/>
      <c r="W87" s="20"/>
      <c r="X87" s="12"/>
      <c r="Y87" s="18"/>
      <c r="Z87" s="18"/>
      <c r="AA87" s="18"/>
      <c r="AB87" s="18"/>
      <c r="AC87" s="12"/>
      <c r="AD87" s="18"/>
      <c r="AE87" s="12"/>
      <c r="AF87" s="18"/>
      <c r="AG87" s="21">
        <f t="shared" si="4"/>
        <v>0</v>
      </c>
      <c r="AH87" s="22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23" t="str">
        <f t="shared" si="5"/>
        <v>卡丘</v>
      </c>
      <c r="AJ87" s="25"/>
    </row>
    <row r="88" spans="1:36" ht="18" customHeight="1">
      <c r="A88" s="18" t="s">
        <v>58</v>
      </c>
      <c r="B88" s="19" t="s">
        <v>157</v>
      </c>
      <c r="C88" s="2"/>
      <c r="D88" s="20"/>
      <c r="E88" s="20"/>
      <c r="F88" s="20"/>
      <c r="G88" s="20"/>
      <c r="H88" s="2"/>
      <c r="I88" s="20"/>
      <c r="J88" s="2"/>
      <c r="K88" s="20"/>
      <c r="L88" s="20"/>
      <c r="M88" s="20"/>
      <c r="N88" s="20"/>
      <c r="O88" s="2"/>
      <c r="P88" s="20"/>
      <c r="Q88" s="2"/>
      <c r="R88" s="20"/>
      <c r="S88" s="20"/>
      <c r="T88" s="20"/>
      <c r="U88" s="20"/>
      <c r="V88" s="2"/>
      <c r="W88" s="20"/>
      <c r="X88" s="12"/>
      <c r="Y88" s="18"/>
      <c r="Z88" s="18"/>
      <c r="AA88" s="18"/>
      <c r="AB88" s="18"/>
      <c r="AC88" s="12"/>
      <c r="AD88" s="18"/>
      <c r="AE88" s="12"/>
      <c r="AF88" s="18"/>
      <c r="AG88" s="21">
        <f t="shared" si="4"/>
        <v>0</v>
      </c>
      <c r="AH88" s="22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23" t="str">
        <f t="shared" si="5"/>
        <v>派大</v>
      </c>
      <c r="AJ88" s="25"/>
    </row>
    <row r="89" spans="1:36" ht="18" customHeight="1">
      <c r="A89" s="18" t="s">
        <v>58</v>
      </c>
      <c r="B89" s="19" t="s">
        <v>101</v>
      </c>
      <c r="C89" s="2"/>
      <c r="D89" s="20"/>
      <c r="E89" s="20"/>
      <c r="F89" s="20"/>
      <c r="G89" s="20"/>
      <c r="H89" s="2"/>
      <c r="I89" s="20"/>
      <c r="J89" s="2"/>
      <c r="K89" s="20"/>
      <c r="L89" s="20"/>
      <c r="M89" s="20"/>
      <c r="N89" s="20"/>
      <c r="O89" s="2"/>
      <c r="P89" s="20"/>
      <c r="Q89" s="2"/>
      <c r="R89" s="20"/>
      <c r="S89" s="20"/>
      <c r="T89" s="20"/>
      <c r="U89" s="20"/>
      <c r="V89" s="2"/>
      <c r="W89" s="20"/>
      <c r="X89" s="12"/>
      <c r="Y89" s="18"/>
      <c r="Z89" s="18"/>
      <c r="AA89" s="18"/>
      <c r="AB89" s="18"/>
      <c r="AC89" s="12"/>
      <c r="AD89" s="18"/>
      <c r="AE89" s="12"/>
      <c r="AF89" s="18"/>
      <c r="AG89" s="21">
        <f t="shared" si="4"/>
        <v>0</v>
      </c>
      <c r="AH89" s="22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23" t="str">
        <f t="shared" si="5"/>
        <v>文媛</v>
      </c>
      <c r="AJ89" s="25"/>
    </row>
    <row r="90" spans="1:36" ht="18" customHeight="1">
      <c r="A90" s="18" t="s">
        <v>58</v>
      </c>
      <c r="B90" s="19" t="s">
        <v>158</v>
      </c>
      <c r="C90" s="2"/>
      <c r="D90" s="20"/>
      <c r="E90" s="20"/>
      <c r="F90" s="20"/>
      <c r="G90" s="20"/>
      <c r="H90" s="2"/>
      <c r="I90" s="20"/>
      <c r="J90" s="2"/>
      <c r="K90" s="20"/>
      <c r="L90" s="20"/>
      <c r="M90" s="20"/>
      <c r="N90" s="20"/>
      <c r="O90" s="2"/>
      <c r="P90" s="20"/>
      <c r="Q90" s="2"/>
      <c r="R90" s="20"/>
      <c r="S90" s="20"/>
      <c r="T90" s="20"/>
      <c r="U90" s="20"/>
      <c r="V90" s="2"/>
      <c r="W90" s="20"/>
      <c r="X90" s="12"/>
      <c r="Y90" s="18"/>
      <c r="Z90" s="18"/>
      <c r="AA90" s="18"/>
      <c r="AB90" s="18"/>
      <c r="AC90" s="12"/>
      <c r="AD90" s="18"/>
      <c r="AE90" s="12"/>
      <c r="AF90" s="18"/>
      <c r="AG90" s="21">
        <f t="shared" si="4"/>
        <v>0</v>
      </c>
      <c r="AH90" s="22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23" t="str">
        <f t="shared" si="5"/>
        <v>吉娃</v>
      </c>
      <c r="AJ90" s="25"/>
    </row>
    <row r="91" spans="1:36" ht="18" customHeight="1">
      <c r="A91" s="26" t="s">
        <v>58</v>
      </c>
      <c r="B91" s="27" t="s">
        <v>126</v>
      </c>
      <c r="C91" s="2"/>
      <c r="D91" s="28"/>
      <c r="E91" s="28"/>
      <c r="F91" s="28"/>
      <c r="G91" s="28"/>
      <c r="H91" s="2"/>
      <c r="I91" s="28"/>
      <c r="J91" s="2"/>
      <c r="K91" s="28"/>
      <c r="L91" s="28"/>
      <c r="M91" s="28"/>
      <c r="N91" s="28"/>
      <c r="O91" s="2"/>
      <c r="P91" s="28"/>
      <c r="Q91" s="2"/>
      <c r="R91" s="28"/>
      <c r="S91" s="28"/>
      <c r="T91" s="28"/>
      <c r="U91" s="28"/>
      <c r="V91" s="2"/>
      <c r="W91" s="28"/>
      <c r="X91" s="12"/>
      <c r="Y91" s="26"/>
      <c r="Z91" s="26"/>
      <c r="AA91" s="26"/>
      <c r="AB91" s="26"/>
      <c r="AC91" s="12"/>
      <c r="AD91" s="26"/>
      <c r="AE91" s="12"/>
      <c r="AF91" s="26"/>
      <c r="AG91" s="29">
        <f t="shared" si="4"/>
        <v>0</v>
      </c>
      <c r="AH91" s="30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31" t="str">
        <f t="shared" si="5"/>
        <v>妹妹</v>
      </c>
      <c r="AJ91" s="32"/>
    </row>
    <row r="92" spans="1:36" ht="18" customHeight="1">
      <c r="A92" s="26" t="s">
        <v>58</v>
      </c>
      <c r="B92" s="27" t="s">
        <v>160</v>
      </c>
      <c r="C92" s="2"/>
      <c r="D92" s="28"/>
      <c r="E92" s="28"/>
      <c r="F92" s="28"/>
      <c r="G92" s="28"/>
      <c r="H92" s="2"/>
      <c r="I92" s="28"/>
      <c r="J92" s="2"/>
      <c r="K92" s="28"/>
      <c r="L92" s="28"/>
      <c r="M92" s="28"/>
      <c r="N92" s="28"/>
      <c r="O92" s="2"/>
      <c r="P92" s="28"/>
      <c r="Q92" s="2"/>
      <c r="R92" s="28"/>
      <c r="S92" s="28"/>
      <c r="T92" s="28"/>
      <c r="U92" s="28"/>
      <c r="V92" s="2"/>
      <c r="W92" s="28"/>
      <c r="X92" s="12"/>
      <c r="Y92" s="26"/>
      <c r="Z92" s="26"/>
      <c r="AA92" s="26"/>
      <c r="AB92" s="26"/>
      <c r="AC92" s="12"/>
      <c r="AD92" s="26"/>
      <c r="AE92" s="12"/>
      <c r="AF92" s="26"/>
      <c r="AG92" s="29">
        <f t="shared" si="4"/>
        <v>0</v>
      </c>
      <c r="AH92" s="30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31" t="str">
        <f t="shared" si="5"/>
        <v>小妹</v>
      </c>
      <c r="AJ92" s="32"/>
    </row>
    <row r="93" spans="1:36" ht="18" customHeight="1">
      <c r="A93" s="26" t="s">
        <v>58</v>
      </c>
      <c r="B93" s="27" t="s">
        <v>130</v>
      </c>
      <c r="C93" s="2"/>
      <c r="D93" s="28"/>
      <c r="E93" s="28"/>
      <c r="F93" s="28"/>
      <c r="G93" s="28"/>
      <c r="H93" s="2"/>
      <c r="I93" s="28"/>
      <c r="J93" s="2"/>
      <c r="K93" s="28"/>
      <c r="L93" s="28"/>
      <c r="M93" s="28"/>
      <c r="N93" s="28"/>
      <c r="O93" s="2"/>
      <c r="P93" s="28"/>
      <c r="Q93" s="2"/>
      <c r="R93" s="28"/>
      <c r="S93" s="28"/>
      <c r="T93" s="28"/>
      <c r="U93" s="28"/>
      <c r="V93" s="2"/>
      <c r="W93" s="28"/>
      <c r="X93" s="12"/>
      <c r="Y93" s="26"/>
      <c r="Z93" s="26"/>
      <c r="AA93" s="26"/>
      <c r="AB93" s="26"/>
      <c r="AC93" s="12"/>
      <c r="AD93" s="26"/>
      <c r="AE93" s="12"/>
      <c r="AF93" s="26"/>
      <c r="AG93" s="29">
        <f t="shared" si="4"/>
        <v>0</v>
      </c>
      <c r="AH93" s="30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31" t="str">
        <f t="shared" si="5"/>
        <v>猛女</v>
      </c>
      <c r="AJ93" s="32"/>
    </row>
    <row r="94" spans="1:36" ht="18" customHeight="1">
      <c r="A94" s="26" t="s">
        <v>58</v>
      </c>
      <c r="B94" s="27" t="s">
        <v>131</v>
      </c>
      <c r="C94" s="2"/>
      <c r="D94" s="28"/>
      <c r="E94" s="28"/>
      <c r="F94" s="28"/>
      <c r="G94" s="28"/>
      <c r="H94" s="2"/>
      <c r="I94" s="28"/>
      <c r="J94" s="2"/>
      <c r="K94" s="28"/>
      <c r="L94" s="28"/>
      <c r="M94" s="28"/>
      <c r="N94" s="28"/>
      <c r="O94" s="2"/>
      <c r="P94" s="28"/>
      <c r="Q94" s="2"/>
      <c r="R94" s="28"/>
      <c r="S94" s="28"/>
      <c r="T94" s="28"/>
      <c r="U94" s="28"/>
      <c r="V94" s="2"/>
      <c r="W94" s="28"/>
      <c r="X94" s="12"/>
      <c r="Y94" s="26"/>
      <c r="Z94" s="26"/>
      <c r="AA94" s="26"/>
      <c r="AB94" s="26"/>
      <c r="AC94" s="12"/>
      <c r="AD94" s="26"/>
      <c r="AE94" s="12"/>
      <c r="AF94" s="26"/>
      <c r="AG94" s="29">
        <f t="shared" si="4"/>
        <v>0</v>
      </c>
      <c r="AH94" s="30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31" t="str">
        <f t="shared" si="5"/>
        <v>欣容</v>
      </c>
      <c r="AJ94" s="32"/>
    </row>
    <row r="95" spans="1:36" ht="18" customHeight="1">
      <c r="A95" s="26" t="s">
        <v>58</v>
      </c>
      <c r="B95" s="27" t="s">
        <v>132</v>
      </c>
      <c r="C95" s="2"/>
      <c r="D95" s="28"/>
      <c r="E95" s="28"/>
      <c r="F95" s="28"/>
      <c r="G95" s="28"/>
      <c r="H95" s="2"/>
      <c r="I95" s="28"/>
      <c r="J95" s="2"/>
      <c r="K95" s="28"/>
      <c r="L95" s="28"/>
      <c r="M95" s="28"/>
      <c r="N95" s="28"/>
      <c r="O95" s="2"/>
      <c r="P95" s="28"/>
      <c r="Q95" s="2"/>
      <c r="R95" s="28"/>
      <c r="S95" s="28"/>
      <c r="T95" s="28"/>
      <c r="U95" s="28"/>
      <c r="V95" s="2"/>
      <c r="W95" s="28"/>
      <c r="X95" s="12"/>
      <c r="Y95" s="26"/>
      <c r="Z95" s="26"/>
      <c r="AA95" s="26"/>
      <c r="AB95" s="26"/>
      <c r="AC95" s="12"/>
      <c r="AD95" s="26"/>
      <c r="AE95" s="12"/>
      <c r="AF95" s="26"/>
      <c r="AG95" s="29">
        <f t="shared" si="4"/>
        <v>0</v>
      </c>
      <c r="AH95" s="30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31" t="str">
        <f t="shared" si="5"/>
        <v>萁萁</v>
      </c>
      <c r="AJ95" s="32"/>
    </row>
    <row r="96" spans="1:36" ht="18" customHeight="1">
      <c r="A96" s="26" t="s">
        <v>58</v>
      </c>
      <c r="B96" s="27" t="s">
        <v>133</v>
      </c>
      <c r="C96" s="2"/>
      <c r="D96" s="28"/>
      <c r="E96" s="28"/>
      <c r="F96" s="28"/>
      <c r="G96" s="28"/>
      <c r="H96" s="2"/>
      <c r="I96" s="28"/>
      <c r="J96" s="2"/>
      <c r="K96" s="28"/>
      <c r="L96" s="28"/>
      <c r="M96" s="28"/>
      <c r="N96" s="28"/>
      <c r="O96" s="2"/>
      <c r="P96" s="28"/>
      <c r="Q96" s="2"/>
      <c r="R96" s="28"/>
      <c r="S96" s="28"/>
      <c r="T96" s="28"/>
      <c r="U96" s="28"/>
      <c r="V96" s="2"/>
      <c r="W96" s="28"/>
      <c r="X96" s="12"/>
      <c r="Y96" s="26"/>
      <c r="Z96" s="26"/>
      <c r="AA96" s="26"/>
      <c r="AB96" s="26"/>
      <c r="AC96" s="12"/>
      <c r="AD96" s="26"/>
      <c r="AE96" s="12"/>
      <c r="AF96" s="26"/>
      <c r="AG96" s="29">
        <f t="shared" si="4"/>
        <v>0</v>
      </c>
      <c r="AH96" s="30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31" t="str">
        <f t="shared" si="5"/>
        <v>萱</v>
      </c>
      <c r="AJ96" s="32"/>
    </row>
    <row r="97" spans="1:36" ht="18" customHeight="1">
      <c r="A97" s="26" t="s">
        <v>58</v>
      </c>
      <c r="B97" s="27" t="s">
        <v>134</v>
      </c>
      <c r="C97" s="2"/>
      <c r="D97" s="28"/>
      <c r="E97" s="28"/>
      <c r="F97" s="28"/>
      <c r="G97" s="28"/>
      <c r="H97" s="2"/>
      <c r="I97" s="28"/>
      <c r="J97" s="2"/>
      <c r="K97" s="28"/>
      <c r="L97" s="28"/>
      <c r="M97" s="28"/>
      <c r="N97" s="28"/>
      <c r="O97" s="2"/>
      <c r="P97" s="28"/>
      <c r="Q97" s="2"/>
      <c r="R97" s="28"/>
      <c r="S97" s="28"/>
      <c r="T97" s="28"/>
      <c r="U97" s="28"/>
      <c r="V97" s="2"/>
      <c r="W97" s="28"/>
      <c r="X97" s="12"/>
      <c r="Y97" s="26"/>
      <c r="Z97" s="26"/>
      <c r="AA97" s="26"/>
      <c r="AB97" s="26"/>
      <c r="AC97" s="12"/>
      <c r="AD97" s="26"/>
      <c r="AE97" s="12"/>
      <c r="AF97" s="26"/>
      <c r="AG97" s="29">
        <f t="shared" si="4"/>
        <v>0</v>
      </c>
      <c r="AH97" s="30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31" t="str">
        <f t="shared" si="5"/>
        <v>Mei</v>
      </c>
      <c r="AJ97" s="32"/>
    </row>
    <row r="98" spans="1:36" ht="18" customHeight="1">
      <c r="A98" s="26" t="s">
        <v>58</v>
      </c>
      <c r="B98" s="27" t="s">
        <v>161</v>
      </c>
      <c r="C98" s="2"/>
      <c r="D98" s="28"/>
      <c r="E98" s="28"/>
      <c r="F98" s="28"/>
      <c r="G98" s="28"/>
      <c r="H98" s="2"/>
      <c r="I98" s="28"/>
      <c r="J98" s="2"/>
      <c r="K98" s="28"/>
      <c r="L98" s="28"/>
      <c r="M98" s="28"/>
      <c r="N98" s="28"/>
      <c r="O98" s="2"/>
      <c r="P98" s="28"/>
      <c r="Q98" s="2"/>
      <c r="R98" s="28"/>
      <c r="S98" s="28"/>
      <c r="T98" s="28"/>
      <c r="U98" s="28"/>
      <c r="V98" s="2"/>
      <c r="W98" s="28"/>
      <c r="X98" s="12"/>
      <c r="Y98" s="26"/>
      <c r="Z98" s="26"/>
      <c r="AA98" s="26"/>
      <c r="AB98" s="26"/>
      <c r="AC98" s="12"/>
      <c r="AD98" s="26"/>
      <c r="AE98" s="12"/>
      <c r="AF98" s="26"/>
      <c r="AG98" s="29">
        <f t="shared" si="4"/>
        <v>0</v>
      </c>
      <c r="AH98" s="30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31" t="str">
        <f t="shared" si="5"/>
        <v>佩鈺</v>
      </c>
      <c r="AJ98" s="32"/>
    </row>
    <row r="99" spans="1:36" ht="18" customHeight="1">
      <c r="A99" s="26" t="s">
        <v>58</v>
      </c>
      <c r="B99" s="27" t="s">
        <v>124</v>
      </c>
      <c r="C99" s="2"/>
      <c r="D99" s="28"/>
      <c r="E99" s="28"/>
      <c r="F99" s="28"/>
      <c r="G99" s="28"/>
      <c r="H99" s="2"/>
      <c r="I99" s="28"/>
      <c r="J99" s="2"/>
      <c r="K99" s="28"/>
      <c r="L99" s="28"/>
      <c r="M99" s="28"/>
      <c r="N99" s="28"/>
      <c r="O99" s="2"/>
      <c r="P99" s="28"/>
      <c r="Q99" s="2"/>
      <c r="R99" s="28"/>
      <c r="S99" s="28"/>
      <c r="T99" s="28">
        <v>1</v>
      </c>
      <c r="U99" s="28"/>
      <c r="V99" s="2"/>
      <c r="W99" s="28"/>
      <c r="X99" s="12"/>
      <c r="Y99" s="26"/>
      <c r="Z99" s="26"/>
      <c r="AA99" s="26">
        <v>1</v>
      </c>
      <c r="AB99" s="26"/>
      <c r="AC99" s="12"/>
      <c r="AD99" s="26"/>
      <c r="AE99" s="12"/>
      <c r="AF99" s="26">
        <v>1</v>
      </c>
      <c r="AG99" s="29">
        <f t="shared" si="4"/>
        <v>3</v>
      </c>
      <c r="AH99" s="30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31" t="str">
        <f t="shared" si="5"/>
        <v>玉蕙</v>
      </c>
      <c r="AJ99" s="32"/>
    </row>
    <row r="100" spans="1:36" ht="18" customHeight="1">
      <c r="A100" s="26" t="s">
        <v>58</v>
      </c>
      <c r="B100" s="27" t="s">
        <v>159</v>
      </c>
      <c r="C100" s="2"/>
      <c r="D100" s="28"/>
      <c r="E100" s="28"/>
      <c r="F100" s="28"/>
      <c r="G100" s="28"/>
      <c r="H100" s="2"/>
      <c r="I100" s="28"/>
      <c r="J100" s="2"/>
      <c r="K100" s="28"/>
      <c r="L100" s="28"/>
      <c r="M100" s="28"/>
      <c r="N100" s="28"/>
      <c r="O100" s="2"/>
      <c r="P100" s="28"/>
      <c r="Q100" s="2"/>
      <c r="R100" s="28"/>
      <c r="S100" s="28"/>
      <c r="T100" s="28"/>
      <c r="U100" s="28"/>
      <c r="V100" s="2"/>
      <c r="W100" s="28"/>
      <c r="X100" s="12"/>
      <c r="Y100" s="26"/>
      <c r="Z100" s="26"/>
      <c r="AA100" s="26"/>
      <c r="AB100" s="26"/>
      <c r="AC100" s="12"/>
      <c r="AD100" s="26"/>
      <c r="AE100" s="12"/>
      <c r="AF100" s="26"/>
      <c r="AG100" s="29">
        <f t="shared" ref="AG100:AG131" si="6">COUNTA(C100:AF100)</f>
        <v>0</v>
      </c>
      <c r="AH100" s="30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31" t="str">
        <f t="shared" ref="AI100:AI111" si="7">B100</f>
        <v>小寧</v>
      </c>
      <c r="AJ100" s="32"/>
    </row>
    <row r="101" spans="1:36" ht="18" customHeight="1">
      <c r="A101" s="26" t="s">
        <v>58</v>
      </c>
      <c r="B101" s="27" t="s">
        <v>135</v>
      </c>
      <c r="C101" s="2"/>
      <c r="D101" s="28"/>
      <c r="E101" s="28"/>
      <c r="F101" s="28"/>
      <c r="G101" s="28"/>
      <c r="H101" s="2"/>
      <c r="I101" s="28"/>
      <c r="J101" s="2"/>
      <c r="K101" s="28"/>
      <c r="L101" s="28"/>
      <c r="M101" s="28"/>
      <c r="N101" s="28"/>
      <c r="O101" s="2"/>
      <c r="P101" s="28"/>
      <c r="Q101" s="2"/>
      <c r="R101" s="28"/>
      <c r="S101" s="28"/>
      <c r="T101" s="28"/>
      <c r="U101" s="28"/>
      <c r="V101" s="2"/>
      <c r="W101" s="28"/>
      <c r="X101" s="12"/>
      <c r="Y101" s="26"/>
      <c r="Z101" s="26"/>
      <c r="AA101" s="26"/>
      <c r="AB101" s="26"/>
      <c r="AC101" s="12"/>
      <c r="AD101" s="26"/>
      <c r="AE101" s="12"/>
      <c r="AF101" s="26"/>
      <c r="AG101" s="29">
        <f t="shared" si="6"/>
        <v>0</v>
      </c>
      <c r="AH101" s="30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31" t="str">
        <f t="shared" si="7"/>
        <v>屁屁</v>
      </c>
      <c r="AJ101" s="32"/>
    </row>
    <row r="102" spans="1:36" ht="18" customHeight="1">
      <c r="A102" s="26" t="s">
        <v>58</v>
      </c>
      <c r="B102" s="27" t="s">
        <v>162</v>
      </c>
      <c r="C102" s="2"/>
      <c r="D102" s="28"/>
      <c r="E102" s="28"/>
      <c r="F102" s="28"/>
      <c r="G102" s="28"/>
      <c r="H102" s="2"/>
      <c r="I102" s="28"/>
      <c r="J102" s="2"/>
      <c r="K102" s="28"/>
      <c r="L102" s="28"/>
      <c r="M102" s="28"/>
      <c r="N102" s="28"/>
      <c r="O102" s="2"/>
      <c r="P102" s="28"/>
      <c r="Q102" s="2"/>
      <c r="R102" s="28"/>
      <c r="S102" s="28"/>
      <c r="T102" s="28"/>
      <c r="U102" s="28"/>
      <c r="V102" s="2"/>
      <c r="W102" s="28"/>
      <c r="X102" s="12"/>
      <c r="Y102" s="26"/>
      <c r="Z102" s="26"/>
      <c r="AA102" s="26"/>
      <c r="AB102" s="26"/>
      <c r="AC102" s="12"/>
      <c r="AD102" s="26"/>
      <c r="AE102" s="12"/>
      <c r="AF102" s="26"/>
      <c r="AG102" s="29">
        <f t="shared" si="6"/>
        <v>0</v>
      </c>
      <c r="AH102" s="30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31" t="str">
        <f t="shared" si="7"/>
        <v>阿布</v>
      </c>
      <c r="AJ102" s="32"/>
    </row>
    <row r="103" spans="1:36" ht="18" customHeight="1">
      <c r="A103" s="26" t="s">
        <v>58</v>
      </c>
      <c r="B103" s="27" t="s">
        <v>127</v>
      </c>
      <c r="C103" s="2"/>
      <c r="D103" s="28"/>
      <c r="E103" s="28"/>
      <c r="F103" s="28"/>
      <c r="G103" s="28">
        <v>1</v>
      </c>
      <c r="H103" s="2"/>
      <c r="I103" s="28"/>
      <c r="J103" s="2"/>
      <c r="K103" s="28">
        <v>1</v>
      </c>
      <c r="L103" s="28"/>
      <c r="M103" s="28"/>
      <c r="N103" s="28"/>
      <c r="O103" s="2"/>
      <c r="P103" s="28"/>
      <c r="Q103" s="2"/>
      <c r="R103" s="28"/>
      <c r="S103" s="28"/>
      <c r="T103" s="28">
        <v>1</v>
      </c>
      <c r="U103" s="28"/>
      <c r="V103" s="2"/>
      <c r="W103" s="28"/>
      <c r="X103" s="12"/>
      <c r="Y103" s="26"/>
      <c r="Z103" s="26">
        <v>1</v>
      </c>
      <c r="AA103" s="26">
        <v>1</v>
      </c>
      <c r="AB103" s="26"/>
      <c r="AC103" s="12"/>
      <c r="AD103" s="26">
        <v>1</v>
      </c>
      <c r="AE103" s="12"/>
      <c r="AF103" s="26">
        <v>1</v>
      </c>
      <c r="AG103" s="29">
        <f t="shared" si="6"/>
        <v>7</v>
      </c>
      <c r="AH103" s="30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31" t="str">
        <f t="shared" si="7"/>
        <v>小雞</v>
      </c>
      <c r="AJ103" s="32"/>
    </row>
    <row r="104" spans="1:36" ht="18" customHeight="1">
      <c r="A104" s="26" t="s">
        <v>58</v>
      </c>
      <c r="B104" s="27" t="s">
        <v>180</v>
      </c>
      <c r="C104" s="2"/>
      <c r="D104" s="28"/>
      <c r="E104" s="28"/>
      <c r="F104" s="28"/>
      <c r="G104" s="28"/>
      <c r="H104" s="2"/>
      <c r="I104" s="28"/>
      <c r="J104" s="2"/>
      <c r="K104" s="28"/>
      <c r="L104" s="28"/>
      <c r="M104" s="28"/>
      <c r="N104" s="28"/>
      <c r="O104" s="2"/>
      <c r="P104" s="28"/>
      <c r="Q104" s="2"/>
      <c r="R104" s="28"/>
      <c r="S104" s="28"/>
      <c r="T104" s="28"/>
      <c r="U104" s="28"/>
      <c r="V104" s="2"/>
      <c r="W104" s="28"/>
      <c r="X104" s="12"/>
      <c r="Y104" s="26"/>
      <c r="Z104" s="26"/>
      <c r="AA104" s="26"/>
      <c r="AB104" s="26"/>
      <c r="AC104" s="12"/>
      <c r="AD104" s="26"/>
      <c r="AE104" s="12"/>
      <c r="AF104" s="26"/>
      <c r="AG104" s="29">
        <f t="shared" si="6"/>
        <v>0</v>
      </c>
      <c r="AH104" s="30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31" t="str">
        <f t="shared" si="7"/>
        <v>小茜</v>
      </c>
      <c r="AJ104" s="32"/>
    </row>
    <row r="105" spans="1:36" ht="18" customHeight="1">
      <c r="A105" s="26" t="s">
        <v>58</v>
      </c>
      <c r="B105" s="27" t="s">
        <v>137</v>
      </c>
      <c r="C105" s="2"/>
      <c r="D105" s="28"/>
      <c r="E105" s="28"/>
      <c r="F105" s="28"/>
      <c r="G105" s="28"/>
      <c r="H105" s="2"/>
      <c r="I105" s="28"/>
      <c r="J105" s="2"/>
      <c r="K105" s="28"/>
      <c r="L105" s="28"/>
      <c r="M105" s="28"/>
      <c r="N105" s="28"/>
      <c r="O105" s="2"/>
      <c r="P105" s="28"/>
      <c r="Q105" s="2"/>
      <c r="R105" s="28"/>
      <c r="S105" s="28"/>
      <c r="T105" s="28"/>
      <c r="U105" s="28"/>
      <c r="V105" s="2"/>
      <c r="W105" s="28"/>
      <c r="X105" s="12"/>
      <c r="Y105" s="26"/>
      <c r="Z105" s="26"/>
      <c r="AA105" s="26"/>
      <c r="AB105" s="26"/>
      <c r="AC105" s="12"/>
      <c r="AD105" s="26"/>
      <c r="AE105" s="12"/>
      <c r="AF105" s="26"/>
      <c r="AG105" s="29">
        <f t="shared" si="6"/>
        <v>0</v>
      </c>
      <c r="AH105" s="30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31" t="str">
        <f t="shared" si="7"/>
        <v>姚</v>
      </c>
      <c r="AJ105" s="32"/>
    </row>
    <row r="106" spans="1:36" ht="18" customHeight="1">
      <c r="A106" s="26" t="s">
        <v>58</v>
      </c>
      <c r="B106" s="27" t="s">
        <v>181</v>
      </c>
      <c r="C106" s="2"/>
      <c r="D106" s="28"/>
      <c r="E106" s="28"/>
      <c r="F106" s="28"/>
      <c r="G106" s="28"/>
      <c r="H106" s="2"/>
      <c r="I106" s="28"/>
      <c r="J106" s="2"/>
      <c r="K106" s="28"/>
      <c r="L106" s="28"/>
      <c r="M106" s="28"/>
      <c r="N106" s="28"/>
      <c r="O106" s="2"/>
      <c r="P106" s="28"/>
      <c r="Q106" s="2"/>
      <c r="R106" s="28"/>
      <c r="S106" s="28"/>
      <c r="T106" s="28"/>
      <c r="U106" s="28"/>
      <c r="V106" s="2"/>
      <c r="W106" s="28"/>
      <c r="X106" s="12"/>
      <c r="Y106" s="26"/>
      <c r="Z106" s="26"/>
      <c r="AA106" s="26"/>
      <c r="AB106" s="26"/>
      <c r="AC106" s="12"/>
      <c r="AD106" s="26"/>
      <c r="AE106" s="12"/>
      <c r="AF106" s="26"/>
      <c r="AG106" s="29">
        <f t="shared" si="6"/>
        <v>0</v>
      </c>
      <c r="AH106" s="30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31" t="str">
        <f t="shared" si="7"/>
        <v>毛毛</v>
      </c>
      <c r="AJ106" s="32"/>
    </row>
    <row r="107" spans="1:36" ht="18" customHeight="1">
      <c r="A107" s="35" t="s">
        <v>58</v>
      </c>
      <c r="B107" s="36" t="s">
        <v>189</v>
      </c>
      <c r="C107" s="2"/>
      <c r="D107" s="37"/>
      <c r="E107" s="37"/>
      <c r="F107" s="37"/>
      <c r="G107" s="37"/>
      <c r="H107" s="2"/>
      <c r="I107" s="37"/>
      <c r="J107" s="2"/>
      <c r="K107" s="37"/>
      <c r="L107" s="37">
        <v>1</v>
      </c>
      <c r="M107" s="37"/>
      <c r="N107" s="37">
        <v>1</v>
      </c>
      <c r="O107" s="2"/>
      <c r="P107" s="37">
        <v>1</v>
      </c>
      <c r="Q107" s="2"/>
      <c r="R107" s="37">
        <v>1</v>
      </c>
      <c r="S107" s="37">
        <v>1</v>
      </c>
      <c r="T107" s="37">
        <v>1</v>
      </c>
      <c r="U107" s="37">
        <v>1</v>
      </c>
      <c r="V107" s="2"/>
      <c r="W107" s="37">
        <v>1</v>
      </c>
      <c r="X107" s="12"/>
      <c r="Y107" s="35">
        <v>1</v>
      </c>
      <c r="Z107" s="35">
        <v>1</v>
      </c>
      <c r="AA107" s="35">
        <v>1</v>
      </c>
      <c r="AB107" s="35">
        <v>1</v>
      </c>
      <c r="AC107" s="12"/>
      <c r="AD107" s="35">
        <v>1</v>
      </c>
      <c r="AE107" s="12"/>
      <c r="AF107" s="35"/>
      <c r="AG107" s="38">
        <f t="shared" si="6"/>
        <v>13</v>
      </c>
      <c r="AH107" s="39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40" t="str">
        <f t="shared" si="7"/>
        <v>牙</v>
      </c>
      <c r="AJ107" s="41"/>
    </row>
    <row r="108" spans="1:36" ht="18" customHeight="1">
      <c r="A108" s="35" t="s">
        <v>58</v>
      </c>
      <c r="B108" s="36" t="s">
        <v>190</v>
      </c>
      <c r="C108" s="2"/>
      <c r="D108" s="37">
        <v>1</v>
      </c>
      <c r="E108" s="37"/>
      <c r="F108" s="37"/>
      <c r="G108" s="37">
        <v>1</v>
      </c>
      <c r="H108" s="2"/>
      <c r="I108" s="37"/>
      <c r="J108" s="2"/>
      <c r="K108" s="37">
        <v>1</v>
      </c>
      <c r="L108" s="37">
        <v>1</v>
      </c>
      <c r="M108" s="37">
        <v>1</v>
      </c>
      <c r="N108" s="37">
        <v>1</v>
      </c>
      <c r="O108" s="2"/>
      <c r="P108" s="37">
        <v>1</v>
      </c>
      <c r="Q108" s="2"/>
      <c r="R108" s="37">
        <v>1</v>
      </c>
      <c r="S108" s="37">
        <v>1</v>
      </c>
      <c r="T108" s="37">
        <v>1</v>
      </c>
      <c r="U108" s="37">
        <v>1</v>
      </c>
      <c r="V108" s="2"/>
      <c r="W108" s="37">
        <v>1</v>
      </c>
      <c r="X108" s="12"/>
      <c r="Y108" s="35">
        <v>1</v>
      </c>
      <c r="Z108" s="35">
        <v>1</v>
      </c>
      <c r="AA108" s="35">
        <v>1</v>
      </c>
      <c r="AB108" s="35">
        <v>1</v>
      </c>
      <c r="AC108" s="12"/>
      <c r="AD108" s="35">
        <v>1</v>
      </c>
      <c r="AE108" s="12"/>
      <c r="AF108" s="35">
        <v>1</v>
      </c>
      <c r="AG108" s="38">
        <f t="shared" si="6"/>
        <v>18</v>
      </c>
      <c r="AH108" s="39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40" t="str">
        <f t="shared" si="7"/>
        <v>丁俊理</v>
      </c>
      <c r="AJ108" s="41"/>
    </row>
    <row r="109" spans="1:36" ht="18" customHeight="1">
      <c r="A109" s="35" t="s">
        <v>58</v>
      </c>
      <c r="B109" s="36" t="s">
        <v>191</v>
      </c>
      <c r="C109" s="2"/>
      <c r="D109" s="37">
        <v>1</v>
      </c>
      <c r="E109" s="37"/>
      <c r="F109" s="37"/>
      <c r="G109" s="37">
        <v>1</v>
      </c>
      <c r="H109" s="2"/>
      <c r="I109" s="37"/>
      <c r="J109" s="2"/>
      <c r="K109" s="37">
        <v>1</v>
      </c>
      <c r="L109" s="37">
        <v>1</v>
      </c>
      <c r="M109" s="37">
        <v>1</v>
      </c>
      <c r="N109" s="37">
        <v>1</v>
      </c>
      <c r="O109" s="2"/>
      <c r="P109" s="37">
        <v>1</v>
      </c>
      <c r="Q109" s="2"/>
      <c r="R109" s="37">
        <v>1</v>
      </c>
      <c r="S109" s="37">
        <v>1</v>
      </c>
      <c r="T109" s="37">
        <v>1</v>
      </c>
      <c r="U109" s="37">
        <v>1</v>
      </c>
      <c r="V109" s="2"/>
      <c r="W109" s="37">
        <v>1</v>
      </c>
      <c r="X109" s="12"/>
      <c r="Y109" s="35">
        <v>1</v>
      </c>
      <c r="Z109" s="35">
        <v>1</v>
      </c>
      <c r="AA109" s="35">
        <v>1</v>
      </c>
      <c r="AB109" s="35">
        <v>1</v>
      </c>
      <c r="AC109" s="12"/>
      <c r="AD109" s="35">
        <v>1</v>
      </c>
      <c r="AE109" s="12"/>
      <c r="AF109" s="35">
        <v>1</v>
      </c>
      <c r="AG109" s="38">
        <f t="shared" si="6"/>
        <v>18</v>
      </c>
      <c r="AH109" s="39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40" t="str">
        <f t="shared" si="7"/>
        <v>蕭芸家</v>
      </c>
      <c r="AJ109" s="41"/>
    </row>
    <row r="110" spans="1:36" ht="18" customHeight="1">
      <c r="A110" s="35" t="s">
        <v>58</v>
      </c>
      <c r="B110" s="36" t="s">
        <v>192</v>
      </c>
      <c r="C110" s="2"/>
      <c r="D110" s="37">
        <v>1</v>
      </c>
      <c r="E110" s="37"/>
      <c r="F110" s="37"/>
      <c r="G110" s="37">
        <v>1</v>
      </c>
      <c r="H110" s="2"/>
      <c r="I110" s="37"/>
      <c r="J110" s="2"/>
      <c r="K110" s="37">
        <v>1</v>
      </c>
      <c r="L110" s="37"/>
      <c r="M110" s="37">
        <v>1</v>
      </c>
      <c r="N110" s="37">
        <v>1</v>
      </c>
      <c r="O110" s="2"/>
      <c r="P110" s="37">
        <v>1</v>
      </c>
      <c r="Q110" s="2"/>
      <c r="R110" s="37">
        <v>1</v>
      </c>
      <c r="S110" s="37">
        <v>1</v>
      </c>
      <c r="T110" s="37">
        <v>1</v>
      </c>
      <c r="U110" s="37">
        <v>1</v>
      </c>
      <c r="V110" s="2"/>
      <c r="W110" s="37">
        <v>1</v>
      </c>
      <c r="X110" s="12"/>
      <c r="Y110" s="35">
        <v>1</v>
      </c>
      <c r="Z110" s="35">
        <v>1</v>
      </c>
      <c r="AA110" s="35">
        <v>1</v>
      </c>
      <c r="AB110" s="35"/>
      <c r="AC110" s="12"/>
      <c r="AD110" s="35">
        <v>1</v>
      </c>
      <c r="AE110" s="12"/>
      <c r="AF110" s="35"/>
      <c r="AG110" s="38">
        <f t="shared" si="6"/>
        <v>15</v>
      </c>
      <c r="AH110" s="39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40" t="str">
        <f t="shared" si="7"/>
        <v>孫安琪</v>
      </c>
      <c r="AJ110" s="41"/>
    </row>
    <row r="111" spans="1:36" ht="18" customHeight="1">
      <c r="A111" s="35" t="s">
        <v>58</v>
      </c>
      <c r="B111" s="36" t="s">
        <v>193</v>
      </c>
      <c r="C111" s="2"/>
      <c r="D111" s="37"/>
      <c r="E111" s="37">
        <v>1</v>
      </c>
      <c r="F111" s="37"/>
      <c r="G111" s="37"/>
      <c r="H111" s="2"/>
      <c r="I111" s="37"/>
      <c r="J111" s="2"/>
      <c r="K111" s="37">
        <v>1</v>
      </c>
      <c r="L111" s="37">
        <v>1</v>
      </c>
      <c r="M111" s="37">
        <v>1</v>
      </c>
      <c r="N111" s="37"/>
      <c r="O111" s="2"/>
      <c r="P111" s="37"/>
      <c r="Q111" s="2"/>
      <c r="R111" s="37">
        <v>1</v>
      </c>
      <c r="S111" s="37">
        <v>1</v>
      </c>
      <c r="T111" s="37"/>
      <c r="U111" s="37"/>
      <c r="V111" s="2"/>
      <c r="W111" s="37"/>
      <c r="X111" s="12"/>
      <c r="Y111" s="35">
        <v>1</v>
      </c>
      <c r="Z111" s="35">
        <v>1</v>
      </c>
      <c r="AA111" s="35">
        <v>1</v>
      </c>
      <c r="AB111" s="35"/>
      <c r="AC111" s="12"/>
      <c r="AD111" s="35"/>
      <c r="AE111" s="12"/>
      <c r="AF111" s="35"/>
      <c r="AG111" s="38">
        <f t="shared" si="6"/>
        <v>9</v>
      </c>
      <c r="AH111" s="39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40" t="str">
        <f t="shared" si="7"/>
        <v>邱郁翔</v>
      </c>
      <c r="AJ111" s="41"/>
    </row>
  </sheetData>
  <mergeCells count="5">
    <mergeCell ref="AI1:AI3"/>
    <mergeCell ref="AJ1:AJ2"/>
    <mergeCell ref="AH1:AH3"/>
    <mergeCell ref="A1:B1"/>
    <mergeCell ref="AG1:AG3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x="16383" man="1"/>
    <brk id="42" max="16383" man="1"/>
    <brk id="7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A9999"/>
    <outlinePr summaryBelow="0" summaryRight="0"/>
  </sheetPr>
  <dimension ref="A1:AK12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3" max="34" width="4.453125" customWidth="1"/>
    <col min="35" max="35" width="6" customWidth="1"/>
    <col min="36" max="36" width="6.1796875" customWidth="1"/>
    <col min="37" max="37" width="16.26953125" hidden="1" customWidth="1"/>
  </cols>
  <sheetData>
    <row r="1" spans="1:37" ht="18" customHeight="1">
      <c r="A1" s="279" t="s">
        <v>0</v>
      </c>
      <c r="B1" s="280"/>
      <c r="C1" s="1"/>
      <c r="D1" s="1" t="s">
        <v>186</v>
      </c>
      <c r="E1" s="1" t="s">
        <v>182</v>
      </c>
      <c r="F1" s="2"/>
      <c r="G1" s="1" t="s">
        <v>183</v>
      </c>
      <c r="H1" s="2"/>
      <c r="I1" s="1" t="s">
        <v>184</v>
      </c>
      <c r="J1" s="1" t="s">
        <v>184</v>
      </c>
      <c r="K1" s="1" t="s">
        <v>186</v>
      </c>
      <c r="L1" s="1"/>
      <c r="M1" s="2"/>
      <c r="N1" s="1" t="s">
        <v>183</v>
      </c>
      <c r="O1" s="2"/>
      <c r="P1" s="1" t="s">
        <v>184</v>
      </c>
      <c r="Q1" s="1" t="s">
        <v>184</v>
      </c>
      <c r="R1" s="1" t="s">
        <v>186</v>
      </c>
      <c r="S1" s="1" t="s">
        <v>182</v>
      </c>
      <c r="T1" s="2"/>
      <c r="U1" s="1" t="s">
        <v>184</v>
      </c>
      <c r="V1" s="2"/>
      <c r="W1" s="1" t="s">
        <v>184</v>
      </c>
      <c r="X1" s="1" t="s">
        <v>194</v>
      </c>
      <c r="Y1" s="1" t="s">
        <v>194</v>
      </c>
      <c r="Z1" s="1" t="s">
        <v>182</v>
      </c>
      <c r="AA1" s="2"/>
      <c r="AB1" s="1" t="s">
        <v>183</v>
      </c>
      <c r="AC1" s="2"/>
      <c r="AD1" s="1" t="s">
        <v>184</v>
      </c>
      <c r="AE1" s="1" t="s">
        <v>186</v>
      </c>
      <c r="AF1" s="1" t="s">
        <v>186</v>
      </c>
      <c r="AG1" s="1" t="s">
        <v>182</v>
      </c>
      <c r="AH1" s="281" t="s">
        <v>6</v>
      </c>
      <c r="AI1" s="276" t="s">
        <v>7</v>
      </c>
      <c r="AJ1" s="271" t="s">
        <v>172</v>
      </c>
      <c r="AK1" s="274" t="s">
        <v>195</v>
      </c>
    </row>
    <row r="2" spans="1:37" ht="18" customHeight="1">
      <c r="A2" s="4" t="s">
        <v>2</v>
      </c>
      <c r="B2" s="5" t="s">
        <v>3</v>
      </c>
      <c r="C2" s="7">
        <v>45108</v>
      </c>
      <c r="D2" s="7">
        <v>45109</v>
      </c>
      <c r="E2" s="7">
        <v>45110</v>
      </c>
      <c r="F2" s="6">
        <v>45111</v>
      </c>
      <c r="G2" s="7">
        <v>45112</v>
      </c>
      <c r="H2" s="6">
        <v>45113</v>
      </c>
      <c r="I2" s="7">
        <v>45114</v>
      </c>
      <c r="J2" s="7">
        <v>45115</v>
      </c>
      <c r="K2" s="7">
        <v>45116</v>
      </c>
      <c r="L2" s="7">
        <v>45117</v>
      </c>
      <c r="M2" s="6">
        <v>45118</v>
      </c>
      <c r="N2" s="7">
        <v>45119</v>
      </c>
      <c r="O2" s="6">
        <v>45120</v>
      </c>
      <c r="P2" s="7">
        <v>45121</v>
      </c>
      <c r="Q2" s="7">
        <v>45122</v>
      </c>
      <c r="R2" s="7">
        <v>45123</v>
      </c>
      <c r="S2" s="7">
        <v>45124</v>
      </c>
      <c r="T2" s="6">
        <v>45125</v>
      </c>
      <c r="U2" s="7">
        <v>45126</v>
      </c>
      <c r="V2" s="6">
        <v>45127</v>
      </c>
      <c r="W2" s="7">
        <v>45128</v>
      </c>
      <c r="X2" s="7">
        <v>45129</v>
      </c>
      <c r="Y2" s="7">
        <v>45130</v>
      </c>
      <c r="Z2" s="7">
        <v>45131</v>
      </c>
      <c r="AA2" s="6">
        <v>45132</v>
      </c>
      <c r="AB2" s="7">
        <v>45133</v>
      </c>
      <c r="AC2" s="6">
        <v>45134</v>
      </c>
      <c r="AD2" s="7">
        <v>45135</v>
      </c>
      <c r="AE2" s="7">
        <v>45136</v>
      </c>
      <c r="AF2" s="7">
        <v>45137</v>
      </c>
      <c r="AG2" s="7">
        <v>45138</v>
      </c>
      <c r="AH2" s="282"/>
      <c r="AI2" s="277"/>
      <c r="AJ2" s="272"/>
      <c r="AK2" s="275"/>
    </row>
    <row r="3" spans="1:37" ht="18" customHeight="1">
      <c r="A3" s="4" t="s">
        <v>4</v>
      </c>
      <c r="B3" s="5" t="s">
        <v>5</v>
      </c>
      <c r="C3" s="1">
        <f>WEEKDAY(C2)-1</f>
        <v>6</v>
      </c>
      <c r="D3" s="1">
        <v>7</v>
      </c>
      <c r="E3" s="1">
        <v>1</v>
      </c>
      <c r="F3" s="2">
        <v>2</v>
      </c>
      <c r="G3" s="1">
        <v>3</v>
      </c>
      <c r="H3" s="2">
        <v>4</v>
      </c>
      <c r="I3" s="1">
        <v>5</v>
      </c>
      <c r="J3" s="1">
        <f>WEEKDAY(J2)-1</f>
        <v>6</v>
      </c>
      <c r="K3" s="1">
        <v>7</v>
      </c>
      <c r="L3" s="1">
        <v>1</v>
      </c>
      <c r="M3" s="2">
        <v>2</v>
      </c>
      <c r="N3" s="1">
        <v>3</v>
      </c>
      <c r="O3" s="2">
        <v>4</v>
      </c>
      <c r="P3" s="1">
        <v>5</v>
      </c>
      <c r="Q3" s="1">
        <f>WEEKDAY(Q2)-1</f>
        <v>6</v>
      </c>
      <c r="R3" s="1">
        <v>7</v>
      </c>
      <c r="S3" s="1">
        <v>1</v>
      </c>
      <c r="T3" s="2">
        <v>2</v>
      </c>
      <c r="U3" s="1">
        <v>3</v>
      </c>
      <c r="V3" s="2">
        <v>4</v>
      </c>
      <c r="W3" s="1">
        <v>5</v>
      </c>
      <c r="X3" s="1">
        <f>WEEKDAY(X2)-1</f>
        <v>6</v>
      </c>
      <c r="Y3" s="1">
        <v>7</v>
      </c>
      <c r="Z3" s="1">
        <v>1</v>
      </c>
      <c r="AA3" s="2">
        <v>2</v>
      </c>
      <c r="AB3" s="1">
        <v>3</v>
      </c>
      <c r="AC3" s="2">
        <v>4</v>
      </c>
      <c r="AD3" s="1">
        <v>5</v>
      </c>
      <c r="AE3" s="1">
        <f>WEEKDAY(AE2)-1</f>
        <v>6</v>
      </c>
      <c r="AF3" s="1">
        <v>7</v>
      </c>
      <c r="AG3" s="1">
        <v>1</v>
      </c>
      <c r="AH3" s="283"/>
      <c r="AI3" s="278"/>
      <c r="AJ3" s="273"/>
      <c r="AK3" s="8" t="e">
        <f ca="1">SUM(AI4:AI121)</f>
        <v>#NAME?</v>
      </c>
    </row>
    <row r="4" spans="1:37" ht="18" customHeight="1">
      <c r="A4" s="9" t="s">
        <v>174</v>
      </c>
      <c r="B4" s="10" t="s">
        <v>10</v>
      </c>
      <c r="C4" s="11"/>
      <c r="D4" s="11"/>
      <c r="E4" s="11"/>
      <c r="F4" s="2"/>
      <c r="G4" s="11"/>
      <c r="H4" s="2"/>
      <c r="I4" s="11"/>
      <c r="J4" s="11"/>
      <c r="K4" s="11"/>
      <c r="L4" s="11"/>
      <c r="M4" s="2"/>
      <c r="N4" s="11"/>
      <c r="O4" s="12"/>
      <c r="P4" s="9"/>
      <c r="Q4" s="9"/>
      <c r="R4" s="9"/>
      <c r="S4" s="9">
        <v>1</v>
      </c>
      <c r="T4" s="12"/>
      <c r="U4" s="9"/>
      <c r="V4" s="12"/>
      <c r="W4" s="9">
        <v>1</v>
      </c>
      <c r="X4" s="9"/>
      <c r="Y4" s="11"/>
      <c r="Z4" s="11">
        <v>1</v>
      </c>
      <c r="AA4" s="2"/>
      <c r="AB4" s="11"/>
      <c r="AC4" s="3"/>
      <c r="AD4" s="11"/>
      <c r="AE4" s="11"/>
      <c r="AF4" s="11"/>
      <c r="AG4" s="11">
        <v>1</v>
      </c>
      <c r="AH4" s="13">
        <f t="shared" ref="AH4:AH35" si="0">COUNTA(C4:AG4)</f>
        <v>4</v>
      </c>
      <c r="AI4" s="14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15" t="str">
        <f t="shared" ref="AJ4:AJ35" si="1">B4</f>
        <v>阿發</v>
      </c>
      <c r="AK4" s="16"/>
    </row>
    <row r="5" spans="1:37" ht="18" customHeight="1">
      <c r="A5" s="9" t="s">
        <v>174</v>
      </c>
      <c r="B5" s="10" t="s">
        <v>13</v>
      </c>
      <c r="C5" s="11"/>
      <c r="D5" s="11"/>
      <c r="E5" s="11">
        <v>1</v>
      </c>
      <c r="F5" s="2"/>
      <c r="G5" s="11">
        <v>1</v>
      </c>
      <c r="H5" s="2"/>
      <c r="I5" s="11">
        <v>1</v>
      </c>
      <c r="J5" s="11"/>
      <c r="K5" s="11">
        <v>1</v>
      </c>
      <c r="L5" s="11"/>
      <c r="M5" s="2"/>
      <c r="N5" s="11">
        <v>1</v>
      </c>
      <c r="O5" s="12"/>
      <c r="P5" s="9">
        <v>1</v>
      </c>
      <c r="Q5" s="9">
        <v>1</v>
      </c>
      <c r="R5" s="9"/>
      <c r="S5" s="9"/>
      <c r="T5" s="12"/>
      <c r="U5" s="9"/>
      <c r="V5" s="12"/>
      <c r="W5" s="9"/>
      <c r="X5" s="9"/>
      <c r="Y5" s="11"/>
      <c r="Z5" s="11">
        <v>1</v>
      </c>
      <c r="AA5" s="2"/>
      <c r="AB5" s="11">
        <v>1</v>
      </c>
      <c r="AC5" s="3"/>
      <c r="AD5" s="11">
        <v>1</v>
      </c>
      <c r="AE5" s="11"/>
      <c r="AF5" s="11"/>
      <c r="AG5" s="11">
        <v>1</v>
      </c>
      <c r="AH5" s="13">
        <f t="shared" si="0"/>
        <v>11</v>
      </c>
      <c r="AI5" s="14" t="e">
        <f ca="1">IF(A5="O", (VALUE(_xludf.IFS(AH5=0,"0",AH5=1,"150",AH5=2,"300",AH5=3,"450",AH5=4,"600",AH5=5,"750",AH5&gt;=6,"800"))),(VALUE(_xludf.IFS(AH5=0,"0",AH5=1,"150",AH5=2,"300",AH5=3,"450",AH5=4,"600",AH5=5,"750",AH5=6,"900",AH5&gt;=7,"1,000"))))</f>
        <v>#NAME?</v>
      </c>
      <c r="AJ5" s="15" t="str">
        <f t="shared" si="1"/>
        <v>李洋</v>
      </c>
      <c r="AK5" s="16"/>
    </row>
    <row r="6" spans="1:37" ht="18" customHeight="1">
      <c r="A6" s="9" t="s">
        <v>174</v>
      </c>
      <c r="B6" s="10" t="s">
        <v>11</v>
      </c>
      <c r="C6" s="11"/>
      <c r="D6" s="11"/>
      <c r="E6" s="11">
        <v>1</v>
      </c>
      <c r="F6" s="2"/>
      <c r="G6" s="11">
        <v>1</v>
      </c>
      <c r="H6" s="2"/>
      <c r="I6" s="11">
        <v>1</v>
      </c>
      <c r="J6" s="11">
        <v>1</v>
      </c>
      <c r="K6" s="11">
        <v>1</v>
      </c>
      <c r="L6" s="11"/>
      <c r="M6" s="2"/>
      <c r="N6" s="11">
        <v>1</v>
      </c>
      <c r="O6" s="12"/>
      <c r="P6" s="9">
        <v>1</v>
      </c>
      <c r="Q6" s="9">
        <v>1</v>
      </c>
      <c r="R6" s="9">
        <v>1</v>
      </c>
      <c r="S6" s="9">
        <v>1</v>
      </c>
      <c r="T6" s="12"/>
      <c r="U6" s="9">
        <v>1</v>
      </c>
      <c r="V6" s="12"/>
      <c r="W6" s="9">
        <v>1</v>
      </c>
      <c r="X6" s="9"/>
      <c r="Y6" s="11"/>
      <c r="Z6" s="11">
        <v>1</v>
      </c>
      <c r="AA6" s="2"/>
      <c r="AB6" s="11">
        <v>1</v>
      </c>
      <c r="AC6" s="3"/>
      <c r="AD6" s="11">
        <v>1</v>
      </c>
      <c r="AE6" s="11"/>
      <c r="AF6" s="11">
        <v>1</v>
      </c>
      <c r="AG6" s="11">
        <v>1</v>
      </c>
      <c r="AH6" s="13">
        <f t="shared" si="0"/>
        <v>17</v>
      </c>
      <c r="AI6" s="14" t="e">
        <f ca="1">IF(A6="O", (VALUE(_xludf.IFS(AH6=0,"0",AH6=1,"150",AH6=2,"300",AH6=3,"450",AH6=4,"600",AH6=5,"750",AH6&gt;=6,"800"))),(VALUE(_xludf.IFS(AH6=0,"0",AH6=1,"150",AH6=2,"300",AH6=3,"450",AH6=4,"600",AH6=5,"750",AH6=6,"900",AH6&gt;=7,"1,000"))))</f>
        <v>#NAME?</v>
      </c>
      <c r="AJ6" s="15" t="str">
        <f t="shared" si="1"/>
        <v>捷升</v>
      </c>
      <c r="AK6" s="17"/>
    </row>
    <row r="7" spans="1:37" ht="18" customHeight="1">
      <c r="A7" s="9" t="s">
        <v>174</v>
      </c>
      <c r="B7" s="10" t="s">
        <v>19</v>
      </c>
      <c r="C7" s="11"/>
      <c r="D7" s="11"/>
      <c r="E7" s="11">
        <v>1</v>
      </c>
      <c r="F7" s="2"/>
      <c r="G7" s="11">
        <v>1</v>
      </c>
      <c r="H7" s="2"/>
      <c r="I7" s="11">
        <v>1</v>
      </c>
      <c r="J7" s="11">
        <v>1</v>
      </c>
      <c r="K7" s="11">
        <v>1</v>
      </c>
      <c r="L7" s="11"/>
      <c r="M7" s="2"/>
      <c r="N7" s="11">
        <v>1</v>
      </c>
      <c r="O7" s="12"/>
      <c r="P7" s="9">
        <v>1</v>
      </c>
      <c r="Q7" s="9">
        <v>1</v>
      </c>
      <c r="R7" s="9">
        <v>1</v>
      </c>
      <c r="S7" s="9">
        <v>1</v>
      </c>
      <c r="T7" s="12"/>
      <c r="U7" s="9">
        <v>1</v>
      </c>
      <c r="V7" s="12"/>
      <c r="W7" s="9">
        <v>1</v>
      </c>
      <c r="X7" s="9"/>
      <c r="Y7" s="11"/>
      <c r="Z7" s="11">
        <v>1</v>
      </c>
      <c r="AA7" s="2"/>
      <c r="AB7" s="11">
        <v>1</v>
      </c>
      <c r="AC7" s="3"/>
      <c r="AD7" s="11">
        <v>1</v>
      </c>
      <c r="AE7" s="11"/>
      <c r="AF7" s="11">
        <v>1</v>
      </c>
      <c r="AG7" s="11">
        <v>1</v>
      </c>
      <c r="AH7" s="13">
        <f t="shared" si="0"/>
        <v>17</v>
      </c>
      <c r="AI7" s="14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15" t="str">
        <f t="shared" si="1"/>
        <v>青蛙</v>
      </c>
      <c r="AK7" s="16"/>
    </row>
    <row r="8" spans="1:37" ht="18" customHeight="1">
      <c r="A8" s="9" t="s">
        <v>174</v>
      </c>
      <c r="B8" s="10" t="s">
        <v>14</v>
      </c>
      <c r="C8" s="11"/>
      <c r="D8" s="11"/>
      <c r="E8" s="11">
        <v>1</v>
      </c>
      <c r="F8" s="2"/>
      <c r="G8" s="11">
        <v>1</v>
      </c>
      <c r="H8" s="2"/>
      <c r="I8" s="11">
        <v>1</v>
      </c>
      <c r="J8" s="11"/>
      <c r="K8" s="11">
        <v>1</v>
      </c>
      <c r="L8" s="11"/>
      <c r="M8" s="2"/>
      <c r="N8" s="11">
        <v>1</v>
      </c>
      <c r="O8" s="12"/>
      <c r="P8" s="9">
        <v>1</v>
      </c>
      <c r="Q8" s="9"/>
      <c r="R8" s="9">
        <v>1</v>
      </c>
      <c r="S8" s="9">
        <v>1</v>
      </c>
      <c r="T8" s="12"/>
      <c r="U8" s="9">
        <v>1</v>
      </c>
      <c r="V8" s="12"/>
      <c r="W8" s="9">
        <v>1</v>
      </c>
      <c r="X8" s="9"/>
      <c r="Y8" s="11"/>
      <c r="Z8" s="11">
        <v>1</v>
      </c>
      <c r="AA8" s="2"/>
      <c r="AB8" s="11">
        <v>1</v>
      </c>
      <c r="AC8" s="3"/>
      <c r="AD8" s="11">
        <v>1</v>
      </c>
      <c r="AE8" s="11"/>
      <c r="AF8" s="11">
        <v>1</v>
      </c>
      <c r="AG8" s="11">
        <v>1</v>
      </c>
      <c r="AH8" s="13">
        <f t="shared" si="0"/>
        <v>15</v>
      </c>
      <c r="AI8" s="14" t="e">
        <f ca="1">IF(A8="O", (VALUE(_xludf.IFS(AH8=0,"0",AH8=1,"150",AH8=2,"300",AH8=3,"450",AH8=4,"600",AH8=5,"750",AH8&gt;=6,"800"))),(VALUE(_xludf.IFS(AH8=0,"0",AH8=1,"150",AH8=2,"300",AH8=3,"450",AH8=4,"600",AH8=5,"750",AH8=6,"900",AH8&gt;=7,"1,000"))))</f>
        <v>#NAME?</v>
      </c>
      <c r="AJ8" s="15" t="str">
        <f t="shared" si="1"/>
        <v>曉明</v>
      </c>
      <c r="AK8" s="16"/>
    </row>
    <row r="9" spans="1:37" ht="18" customHeight="1">
      <c r="A9" s="9" t="s">
        <v>174</v>
      </c>
      <c r="B9" s="10" t="s">
        <v>18</v>
      </c>
      <c r="C9" s="11"/>
      <c r="D9" s="11"/>
      <c r="E9" s="11"/>
      <c r="F9" s="2"/>
      <c r="G9" s="11">
        <v>1</v>
      </c>
      <c r="H9" s="2"/>
      <c r="I9" s="11">
        <v>1</v>
      </c>
      <c r="J9" s="11"/>
      <c r="K9" s="11">
        <v>1</v>
      </c>
      <c r="L9" s="11"/>
      <c r="M9" s="2"/>
      <c r="N9" s="11">
        <v>1</v>
      </c>
      <c r="O9" s="12"/>
      <c r="P9" s="9">
        <v>1</v>
      </c>
      <c r="Q9" s="9"/>
      <c r="R9" s="9">
        <v>1</v>
      </c>
      <c r="S9" s="9">
        <v>1</v>
      </c>
      <c r="T9" s="12"/>
      <c r="U9" s="9">
        <v>1</v>
      </c>
      <c r="V9" s="12"/>
      <c r="W9" s="9">
        <v>1</v>
      </c>
      <c r="X9" s="9"/>
      <c r="Y9" s="11"/>
      <c r="Z9" s="11">
        <v>1</v>
      </c>
      <c r="AA9" s="2"/>
      <c r="AB9" s="11">
        <v>1</v>
      </c>
      <c r="AC9" s="3"/>
      <c r="AD9" s="11">
        <v>1</v>
      </c>
      <c r="AE9" s="11"/>
      <c r="AF9" s="11"/>
      <c r="AG9" s="11">
        <v>1</v>
      </c>
      <c r="AH9" s="13">
        <f t="shared" si="0"/>
        <v>13</v>
      </c>
      <c r="AI9" s="14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15" t="str">
        <f t="shared" si="1"/>
        <v>皓元</v>
      </c>
      <c r="AK9" s="16"/>
    </row>
    <row r="10" spans="1:37" ht="18" customHeight="1">
      <c r="A10" s="9" t="s">
        <v>174</v>
      </c>
      <c r="B10" s="10" t="s">
        <v>21</v>
      </c>
      <c r="C10" s="11"/>
      <c r="D10" s="11"/>
      <c r="E10" s="11"/>
      <c r="F10" s="2"/>
      <c r="G10" s="11"/>
      <c r="H10" s="2"/>
      <c r="I10" s="11"/>
      <c r="J10" s="11"/>
      <c r="K10" s="11">
        <v>1</v>
      </c>
      <c r="L10" s="11"/>
      <c r="M10" s="2"/>
      <c r="N10" s="11">
        <v>1</v>
      </c>
      <c r="O10" s="12"/>
      <c r="P10" s="9"/>
      <c r="Q10" s="9"/>
      <c r="R10" s="9"/>
      <c r="S10" s="9">
        <v>1</v>
      </c>
      <c r="T10" s="12"/>
      <c r="U10" s="9"/>
      <c r="V10" s="12"/>
      <c r="W10" s="9"/>
      <c r="X10" s="9"/>
      <c r="Y10" s="11"/>
      <c r="Z10" s="11">
        <v>1</v>
      </c>
      <c r="AA10" s="2"/>
      <c r="AB10" s="11"/>
      <c r="AC10" s="3"/>
      <c r="AD10" s="11">
        <v>1</v>
      </c>
      <c r="AE10" s="11"/>
      <c r="AF10" s="11"/>
      <c r="AG10" s="11">
        <v>1</v>
      </c>
      <c r="AH10" s="13">
        <f t="shared" si="0"/>
        <v>6</v>
      </c>
      <c r="AI10" s="14" t="e">
        <f ca="1">IF(A10="O", (VALUE(_xludf.IFS(AH10=0,"0",AH10=1,"150",AH10=2,"300",AH10=3,"450",AH10=4,"600",AH10=5,"750",AH10&gt;=6,"800"))),(VALUE(_xludf.IFS(AH10=0,"0",AH10=1,"150",AH10=2,"300",AH10=3,"450",AH10=4,"600",AH10=5,"750",AH10=6,"900",AH10&gt;=7,"1,000"))))</f>
        <v>#NAME?</v>
      </c>
      <c r="AJ10" s="15" t="str">
        <f t="shared" si="1"/>
        <v>晧全</v>
      </c>
      <c r="AK10" s="17"/>
    </row>
    <row r="11" spans="1:37" ht="18" customHeight="1">
      <c r="A11" s="9" t="s">
        <v>174</v>
      </c>
      <c r="B11" s="10" t="s">
        <v>72</v>
      </c>
      <c r="C11" s="11"/>
      <c r="D11" s="11"/>
      <c r="E11" s="11">
        <v>1</v>
      </c>
      <c r="F11" s="2"/>
      <c r="G11" s="11">
        <v>1</v>
      </c>
      <c r="H11" s="2"/>
      <c r="I11" s="11">
        <v>1</v>
      </c>
      <c r="J11" s="11"/>
      <c r="K11" s="11">
        <v>1</v>
      </c>
      <c r="L11" s="11"/>
      <c r="M11" s="2"/>
      <c r="N11" s="11">
        <v>1</v>
      </c>
      <c r="O11" s="12"/>
      <c r="P11" s="9">
        <v>1</v>
      </c>
      <c r="Q11" s="9"/>
      <c r="R11" s="9">
        <v>1</v>
      </c>
      <c r="S11" s="9">
        <v>1</v>
      </c>
      <c r="T11" s="12"/>
      <c r="U11" s="9">
        <v>1</v>
      </c>
      <c r="V11" s="12"/>
      <c r="W11" s="9">
        <v>1</v>
      </c>
      <c r="X11" s="9"/>
      <c r="Y11" s="11"/>
      <c r="Z11" s="11">
        <v>1</v>
      </c>
      <c r="AA11" s="2"/>
      <c r="AB11" s="11"/>
      <c r="AC11" s="3"/>
      <c r="AD11" s="11">
        <v>1</v>
      </c>
      <c r="AE11" s="11"/>
      <c r="AF11" s="11"/>
      <c r="AG11" s="11">
        <v>1</v>
      </c>
      <c r="AH11" s="13">
        <f t="shared" si="0"/>
        <v>13</v>
      </c>
      <c r="AI11" s="14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15" t="str">
        <f t="shared" si="1"/>
        <v>八卦</v>
      </c>
      <c r="AK11" s="16"/>
    </row>
    <row r="12" spans="1:37" ht="18" customHeight="1">
      <c r="A12" s="9" t="s">
        <v>174</v>
      </c>
      <c r="B12" s="10" t="s">
        <v>175</v>
      </c>
      <c r="C12" s="11"/>
      <c r="D12" s="11"/>
      <c r="E12" s="11"/>
      <c r="F12" s="2"/>
      <c r="G12" s="11">
        <v>1</v>
      </c>
      <c r="H12" s="2"/>
      <c r="I12" s="11">
        <v>1</v>
      </c>
      <c r="J12" s="11"/>
      <c r="K12" s="11">
        <v>1</v>
      </c>
      <c r="L12" s="11"/>
      <c r="M12" s="2"/>
      <c r="N12" s="11">
        <v>1</v>
      </c>
      <c r="O12" s="12"/>
      <c r="P12" s="9">
        <v>1</v>
      </c>
      <c r="Q12" s="9"/>
      <c r="R12" s="9">
        <v>1</v>
      </c>
      <c r="S12" s="9">
        <v>1</v>
      </c>
      <c r="T12" s="12"/>
      <c r="U12" s="9">
        <v>1</v>
      </c>
      <c r="V12" s="12"/>
      <c r="W12" s="9">
        <v>1</v>
      </c>
      <c r="X12" s="9"/>
      <c r="Y12" s="11"/>
      <c r="Z12" s="11">
        <v>1</v>
      </c>
      <c r="AA12" s="2"/>
      <c r="AB12" s="11"/>
      <c r="AC12" s="3"/>
      <c r="AD12" s="11">
        <v>1</v>
      </c>
      <c r="AE12" s="11"/>
      <c r="AF12" s="11"/>
      <c r="AG12" s="11"/>
      <c r="AH12" s="13">
        <f t="shared" si="0"/>
        <v>11</v>
      </c>
      <c r="AI12" s="14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15" t="str">
        <f t="shared" si="1"/>
        <v>咪咪</v>
      </c>
      <c r="AK12" s="17"/>
    </row>
    <row r="13" spans="1:37" ht="18" customHeight="1">
      <c r="A13" s="9" t="s">
        <v>174</v>
      </c>
      <c r="B13" s="10" t="s">
        <v>17</v>
      </c>
      <c r="C13" s="11"/>
      <c r="D13" s="11"/>
      <c r="E13" s="11"/>
      <c r="F13" s="2"/>
      <c r="G13" s="11"/>
      <c r="H13" s="2"/>
      <c r="I13" s="11"/>
      <c r="J13" s="11"/>
      <c r="K13" s="11"/>
      <c r="L13" s="11"/>
      <c r="M13" s="2"/>
      <c r="N13" s="11"/>
      <c r="O13" s="12"/>
      <c r="P13" s="9"/>
      <c r="Q13" s="9"/>
      <c r="R13" s="9"/>
      <c r="S13" s="9">
        <v>1</v>
      </c>
      <c r="T13" s="12"/>
      <c r="U13" s="9">
        <v>1</v>
      </c>
      <c r="V13" s="12"/>
      <c r="W13" s="9"/>
      <c r="X13" s="9"/>
      <c r="Y13" s="11"/>
      <c r="Z13" s="11">
        <v>1</v>
      </c>
      <c r="AA13" s="2"/>
      <c r="AB13" s="11"/>
      <c r="AC13" s="3"/>
      <c r="AD13" s="11"/>
      <c r="AE13" s="11"/>
      <c r="AF13" s="11"/>
      <c r="AG13" s="11">
        <v>1</v>
      </c>
      <c r="AH13" s="13">
        <f t="shared" si="0"/>
        <v>4</v>
      </c>
      <c r="AI13" s="14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15" t="str">
        <f t="shared" si="1"/>
        <v>光曜</v>
      </c>
      <c r="AK13" s="16"/>
    </row>
    <row r="14" spans="1:37" ht="18" customHeight="1">
      <c r="A14" s="9" t="s">
        <v>174</v>
      </c>
      <c r="B14" s="10" t="s">
        <v>15</v>
      </c>
      <c r="C14" s="11"/>
      <c r="D14" s="11"/>
      <c r="E14" s="11"/>
      <c r="F14" s="2"/>
      <c r="G14" s="11">
        <v>1</v>
      </c>
      <c r="H14" s="2"/>
      <c r="I14" s="11">
        <v>1</v>
      </c>
      <c r="J14" s="11"/>
      <c r="K14" s="11"/>
      <c r="L14" s="11"/>
      <c r="M14" s="2"/>
      <c r="N14" s="11">
        <v>1</v>
      </c>
      <c r="O14" s="12"/>
      <c r="P14" s="9">
        <v>1</v>
      </c>
      <c r="Q14" s="9"/>
      <c r="R14" s="9"/>
      <c r="S14" s="9">
        <v>1</v>
      </c>
      <c r="T14" s="12"/>
      <c r="U14" s="9">
        <v>1</v>
      </c>
      <c r="V14" s="12"/>
      <c r="W14" s="9">
        <v>1</v>
      </c>
      <c r="X14" s="9"/>
      <c r="Y14" s="11"/>
      <c r="Z14" s="11">
        <v>1</v>
      </c>
      <c r="AA14" s="2"/>
      <c r="AB14" s="11">
        <v>1</v>
      </c>
      <c r="AC14" s="3"/>
      <c r="AD14" s="11">
        <v>1</v>
      </c>
      <c r="AE14" s="11"/>
      <c r="AF14" s="11">
        <v>1</v>
      </c>
      <c r="AG14" s="11">
        <v>1</v>
      </c>
      <c r="AH14" s="13">
        <f t="shared" si="0"/>
        <v>12</v>
      </c>
      <c r="AI14" s="14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15" t="str">
        <f t="shared" si="1"/>
        <v>大支</v>
      </c>
      <c r="AK14" s="17"/>
    </row>
    <row r="15" spans="1:37" ht="18" customHeight="1">
      <c r="A15" s="9" t="s">
        <v>174</v>
      </c>
      <c r="B15" s="10" t="s">
        <v>61</v>
      </c>
      <c r="C15" s="11"/>
      <c r="D15" s="11"/>
      <c r="E15" s="11"/>
      <c r="F15" s="2"/>
      <c r="G15" s="11">
        <v>1</v>
      </c>
      <c r="H15" s="2"/>
      <c r="I15" s="11">
        <v>1</v>
      </c>
      <c r="J15" s="11"/>
      <c r="K15" s="11"/>
      <c r="L15" s="11"/>
      <c r="M15" s="2"/>
      <c r="N15" s="11"/>
      <c r="O15" s="12"/>
      <c r="P15" s="9"/>
      <c r="Q15" s="9"/>
      <c r="R15" s="9"/>
      <c r="S15" s="9">
        <v>1</v>
      </c>
      <c r="T15" s="12"/>
      <c r="U15" s="9"/>
      <c r="V15" s="12"/>
      <c r="W15" s="9"/>
      <c r="X15" s="9"/>
      <c r="Y15" s="11"/>
      <c r="Z15" s="11">
        <v>1</v>
      </c>
      <c r="AA15" s="2"/>
      <c r="AB15" s="11"/>
      <c r="AC15" s="3"/>
      <c r="AD15" s="11">
        <v>1</v>
      </c>
      <c r="AE15" s="11"/>
      <c r="AF15" s="11"/>
      <c r="AG15" s="11"/>
      <c r="AH15" s="13">
        <f t="shared" si="0"/>
        <v>5</v>
      </c>
      <c r="AI15" s="14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15" t="str">
        <f t="shared" si="1"/>
        <v>韋融</v>
      </c>
      <c r="AK15" s="16"/>
    </row>
    <row r="16" spans="1:37" ht="18" customHeight="1">
      <c r="A16" s="9" t="s">
        <v>174</v>
      </c>
      <c r="B16" s="10" t="s">
        <v>20</v>
      </c>
      <c r="C16" s="11"/>
      <c r="D16" s="11"/>
      <c r="E16" s="11">
        <v>1</v>
      </c>
      <c r="F16" s="2"/>
      <c r="G16" s="11">
        <v>1</v>
      </c>
      <c r="H16" s="2"/>
      <c r="I16" s="11"/>
      <c r="J16" s="11">
        <v>1</v>
      </c>
      <c r="K16" s="11"/>
      <c r="L16" s="11"/>
      <c r="M16" s="2"/>
      <c r="N16" s="11">
        <v>1</v>
      </c>
      <c r="O16" s="12"/>
      <c r="P16" s="9"/>
      <c r="Q16" s="9"/>
      <c r="R16" s="9"/>
      <c r="S16" s="9">
        <v>1</v>
      </c>
      <c r="T16" s="12"/>
      <c r="U16" s="9">
        <v>1</v>
      </c>
      <c r="V16" s="12"/>
      <c r="W16" s="9"/>
      <c r="X16" s="9"/>
      <c r="Y16" s="11"/>
      <c r="Z16" s="11">
        <v>1</v>
      </c>
      <c r="AA16" s="2"/>
      <c r="AB16" s="11">
        <v>1</v>
      </c>
      <c r="AC16" s="3"/>
      <c r="AD16" s="11"/>
      <c r="AE16" s="11">
        <v>1</v>
      </c>
      <c r="AF16" s="11"/>
      <c r="AG16" s="11">
        <v>1</v>
      </c>
      <c r="AH16" s="13">
        <f t="shared" si="0"/>
        <v>10</v>
      </c>
      <c r="AI16" s="14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15" t="str">
        <f t="shared" si="1"/>
        <v>港弟</v>
      </c>
      <c r="AK16" s="17"/>
    </row>
    <row r="17" spans="1:37" ht="18" customHeight="1">
      <c r="A17" s="9" t="s">
        <v>174</v>
      </c>
      <c r="B17" s="10" t="s">
        <v>16</v>
      </c>
      <c r="C17" s="11"/>
      <c r="D17" s="11"/>
      <c r="E17" s="11">
        <v>1</v>
      </c>
      <c r="F17" s="2"/>
      <c r="G17" s="11">
        <v>1</v>
      </c>
      <c r="H17" s="2"/>
      <c r="I17" s="11">
        <v>1</v>
      </c>
      <c r="J17" s="11">
        <v>1</v>
      </c>
      <c r="K17" s="11">
        <v>1</v>
      </c>
      <c r="L17" s="11"/>
      <c r="M17" s="2"/>
      <c r="N17" s="11">
        <v>1</v>
      </c>
      <c r="O17" s="12"/>
      <c r="P17" s="9">
        <v>1</v>
      </c>
      <c r="Q17" s="9">
        <v>1</v>
      </c>
      <c r="R17" s="9">
        <v>1</v>
      </c>
      <c r="S17" s="9">
        <v>1</v>
      </c>
      <c r="T17" s="12"/>
      <c r="U17" s="9">
        <v>1</v>
      </c>
      <c r="V17" s="12"/>
      <c r="W17" s="9"/>
      <c r="X17" s="9"/>
      <c r="Y17" s="11"/>
      <c r="Z17" s="11">
        <v>1</v>
      </c>
      <c r="AA17" s="2"/>
      <c r="AB17" s="11">
        <v>1</v>
      </c>
      <c r="AC17" s="3"/>
      <c r="AD17" s="11">
        <v>1</v>
      </c>
      <c r="AE17" s="11">
        <v>1</v>
      </c>
      <c r="AF17" s="11">
        <v>1</v>
      </c>
      <c r="AG17" s="11">
        <v>1</v>
      </c>
      <c r="AH17" s="13">
        <f t="shared" si="0"/>
        <v>17</v>
      </c>
      <c r="AI17" s="14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15" t="str">
        <f t="shared" si="1"/>
        <v>弼善</v>
      </c>
      <c r="AK17" s="16"/>
    </row>
    <row r="18" spans="1:37" ht="18" customHeight="1">
      <c r="A18" s="9" t="s">
        <v>174</v>
      </c>
      <c r="B18" s="10" t="s">
        <v>62</v>
      </c>
      <c r="C18" s="11"/>
      <c r="D18" s="11">
        <v>1</v>
      </c>
      <c r="E18" s="11"/>
      <c r="F18" s="2"/>
      <c r="G18" s="11">
        <v>1</v>
      </c>
      <c r="H18" s="2"/>
      <c r="I18" s="11"/>
      <c r="J18" s="11">
        <v>1</v>
      </c>
      <c r="K18" s="11">
        <v>1</v>
      </c>
      <c r="L18" s="11"/>
      <c r="M18" s="2"/>
      <c r="N18" s="11"/>
      <c r="O18" s="12"/>
      <c r="P18" s="9">
        <v>1</v>
      </c>
      <c r="Q18" s="9"/>
      <c r="R18" s="9"/>
      <c r="S18" s="9">
        <v>1</v>
      </c>
      <c r="T18" s="12"/>
      <c r="U18" s="9"/>
      <c r="V18" s="12"/>
      <c r="W18" s="9"/>
      <c r="X18" s="9"/>
      <c r="Y18" s="11"/>
      <c r="Z18" s="11"/>
      <c r="AA18" s="2"/>
      <c r="AB18" s="11">
        <v>1</v>
      </c>
      <c r="AC18" s="3"/>
      <c r="AD18" s="11"/>
      <c r="AE18" s="11"/>
      <c r="AF18" s="11"/>
      <c r="AG18" s="11"/>
      <c r="AH18" s="13">
        <f t="shared" si="0"/>
        <v>7</v>
      </c>
      <c r="AI18" s="14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15" t="str">
        <f t="shared" si="1"/>
        <v>國源</v>
      </c>
      <c r="AK18" s="17"/>
    </row>
    <row r="19" spans="1:37" ht="18" customHeight="1">
      <c r="A19" s="18" t="s">
        <v>174</v>
      </c>
      <c r="B19" s="19" t="s">
        <v>89</v>
      </c>
      <c r="C19" s="20"/>
      <c r="D19" s="20"/>
      <c r="E19" s="20">
        <v>1</v>
      </c>
      <c r="F19" s="2"/>
      <c r="G19" s="20">
        <v>1</v>
      </c>
      <c r="H19" s="2"/>
      <c r="I19" s="20"/>
      <c r="J19" s="20">
        <v>1</v>
      </c>
      <c r="K19" s="20">
        <v>1</v>
      </c>
      <c r="L19" s="20"/>
      <c r="M19" s="2"/>
      <c r="N19" s="20">
        <v>1</v>
      </c>
      <c r="O19" s="12"/>
      <c r="P19" s="18">
        <v>1</v>
      </c>
      <c r="Q19" s="18">
        <v>1</v>
      </c>
      <c r="R19" s="18"/>
      <c r="S19" s="18"/>
      <c r="T19" s="12"/>
      <c r="U19" s="18">
        <v>1</v>
      </c>
      <c r="V19" s="12"/>
      <c r="W19" s="18"/>
      <c r="X19" s="18"/>
      <c r="Y19" s="20"/>
      <c r="Z19" s="20">
        <v>1</v>
      </c>
      <c r="AA19" s="2"/>
      <c r="AB19" s="20"/>
      <c r="AC19" s="3"/>
      <c r="AD19" s="20">
        <v>1</v>
      </c>
      <c r="AE19" s="20">
        <v>1</v>
      </c>
      <c r="AF19" s="20">
        <v>1</v>
      </c>
      <c r="AG19" s="20">
        <v>1</v>
      </c>
      <c r="AH19" s="21">
        <f t="shared" si="0"/>
        <v>13</v>
      </c>
      <c r="AI19" s="22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23" t="str">
        <f t="shared" si="1"/>
        <v>泡芙</v>
      </c>
      <c r="AK19" s="24"/>
    </row>
    <row r="20" spans="1:37" ht="18" customHeight="1">
      <c r="A20" s="18" t="s">
        <v>174</v>
      </c>
      <c r="B20" s="19" t="s">
        <v>90</v>
      </c>
      <c r="C20" s="20"/>
      <c r="D20" s="20"/>
      <c r="E20" s="20"/>
      <c r="F20" s="2"/>
      <c r="G20" s="20">
        <v>1</v>
      </c>
      <c r="H20" s="2"/>
      <c r="I20" s="20">
        <v>1</v>
      </c>
      <c r="J20" s="20"/>
      <c r="K20" s="20"/>
      <c r="L20" s="20"/>
      <c r="M20" s="2"/>
      <c r="N20" s="20">
        <v>1</v>
      </c>
      <c r="O20" s="12"/>
      <c r="P20" s="18"/>
      <c r="Q20" s="18"/>
      <c r="R20" s="18"/>
      <c r="S20" s="18">
        <v>1</v>
      </c>
      <c r="T20" s="12"/>
      <c r="U20" s="18">
        <v>1</v>
      </c>
      <c r="V20" s="12"/>
      <c r="W20" s="18"/>
      <c r="X20" s="18"/>
      <c r="Y20" s="20"/>
      <c r="Z20" s="20">
        <v>1</v>
      </c>
      <c r="AA20" s="2"/>
      <c r="AB20" s="20">
        <v>1</v>
      </c>
      <c r="AC20" s="3"/>
      <c r="AD20" s="20">
        <v>1</v>
      </c>
      <c r="AE20" s="20"/>
      <c r="AF20" s="20"/>
      <c r="AG20" s="20">
        <v>1</v>
      </c>
      <c r="AH20" s="21">
        <f t="shared" si="0"/>
        <v>9</v>
      </c>
      <c r="AI20" s="22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23" t="str">
        <f t="shared" si="1"/>
        <v>蓓蓓</v>
      </c>
      <c r="AK20" s="24"/>
    </row>
    <row r="21" spans="1:37" ht="18" customHeight="1">
      <c r="A21" s="18" t="s">
        <v>174</v>
      </c>
      <c r="B21" s="19" t="s">
        <v>150</v>
      </c>
      <c r="C21" s="20"/>
      <c r="D21" s="20"/>
      <c r="E21" s="20">
        <v>1</v>
      </c>
      <c r="F21" s="2"/>
      <c r="G21" s="20">
        <v>1</v>
      </c>
      <c r="H21" s="2"/>
      <c r="I21" s="20">
        <v>1</v>
      </c>
      <c r="J21" s="20"/>
      <c r="K21" s="20">
        <v>1</v>
      </c>
      <c r="L21" s="20"/>
      <c r="M21" s="2"/>
      <c r="N21" s="20">
        <v>1</v>
      </c>
      <c r="O21" s="12"/>
      <c r="P21" s="18">
        <v>1</v>
      </c>
      <c r="Q21" s="18"/>
      <c r="R21" s="18">
        <v>1</v>
      </c>
      <c r="S21" s="18"/>
      <c r="T21" s="12"/>
      <c r="U21" s="18">
        <v>1</v>
      </c>
      <c r="V21" s="12"/>
      <c r="W21" s="18"/>
      <c r="X21" s="18"/>
      <c r="Y21" s="20"/>
      <c r="Z21" s="20"/>
      <c r="AA21" s="2"/>
      <c r="AB21" s="20">
        <v>1</v>
      </c>
      <c r="AC21" s="3"/>
      <c r="AD21" s="20">
        <v>1</v>
      </c>
      <c r="AE21" s="20">
        <v>1</v>
      </c>
      <c r="AF21" s="20"/>
      <c r="AG21" s="20"/>
      <c r="AH21" s="21">
        <f t="shared" si="0"/>
        <v>11</v>
      </c>
      <c r="AI21" s="22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23" t="str">
        <f t="shared" si="1"/>
        <v>高麗菜</v>
      </c>
      <c r="AK21" s="24"/>
    </row>
    <row r="22" spans="1:37" ht="18" customHeight="1">
      <c r="A22" s="18" t="s">
        <v>174</v>
      </c>
      <c r="B22" s="19" t="s">
        <v>164</v>
      </c>
      <c r="C22" s="20"/>
      <c r="D22" s="20"/>
      <c r="E22" s="20"/>
      <c r="F22" s="2"/>
      <c r="G22" s="20"/>
      <c r="H22" s="2"/>
      <c r="I22" s="20"/>
      <c r="J22" s="20"/>
      <c r="K22" s="20"/>
      <c r="L22" s="20"/>
      <c r="M22" s="2"/>
      <c r="N22" s="20"/>
      <c r="O22" s="12"/>
      <c r="P22" s="18"/>
      <c r="Q22" s="18"/>
      <c r="R22" s="18"/>
      <c r="S22" s="18"/>
      <c r="T22" s="12"/>
      <c r="U22" s="18"/>
      <c r="V22" s="12"/>
      <c r="W22" s="18"/>
      <c r="X22" s="18"/>
      <c r="Y22" s="20"/>
      <c r="Z22" s="20"/>
      <c r="AA22" s="2"/>
      <c r="AB22" s="20"/>
      <c r="AC22" s="3"/>
      <c r="AD22" s="20"/>
      <c r="AE22" s="20"/>
      <c r="AF22" s="20"/>
      <c r="AG22" s="20"/>
      <c r="AH22" s="21">
        <f t="shared" si="0"/>
        <v>0</v>
      </c>
      <c r="AI22" s="22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23" t="str">
        <f t="shared" si="1"/>
        <v>小菜</v>
      </c>
      <c r="AK22" s="25"/>
    </row>
    <row r="23" spans="1:37" ht="18" customHeight="1">
      <c r="A23" s="18" t="s">
        <v>174</v>
      </c>
      <c r="B23" s="19" t="s">
        <v>94</v>
      </c>
      <c r="C23" s="20"/>
      <c r="D23" s="20"/>
      <c r="E23" s="20"/>
      <c r="F23" s="2"/>
      <c r="G23" s="20">
        <v>1</v>
      </c>
      <c r="H23" s="2"/>
      <c r="I23" s="20"/>
      <c r="J23" s="20"/>
      <c r="K23" s="20"/>
      <c r="L23" s="20"/>
      <c r="M23" s="2"/>
      <c r="N23" s="20"/>
      <c r="O23" s="12"/>
      <c r="P23" s="18">
        <v>1</v>
      </c>
      <c r="Q23" s="18"/>
      <c r="R23" s="18"/>
      <c r="S23" s="18">
        <v>1</v>
      </c>
      <c r="T23" s="12"/>
      <c r="U23" s="18"/>
      <c r="V23" s="12"/>
      <c r="W23" s="18">
        <v>1</v>
      </c>
      <c r="X23" s="18"/>
      <c r="Y23" s="20"/>
      <c r="Z23" s="20">
        <v>1</v>
      </c>
      <c r="AA23" s="2"/>
      <c r="AB23" s="20">
        <v>1</v>
      </c>
      <c r="AC23" s="3"/>
      <c r="AD23" s="20">
        <v>1</v>
      </c>
      <c r="AE23" s="20"/>
      <c r="AF23" s="20">
        <v>1</v>
      </c>
      <c r="AG23" s="20">
        <v>1</v>
      </c>
      <c r="AH23" s="21">
        <f t="shared" si="0"/>
        <v>9</v>
      </c>
      <c r="AI23" s="22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23" t="str">
        <f t="shared" si="1"/>
        <v>小花</v>
      </c>
      <c r="AK23" s="25"/>
    </row>
    <row r="24" spans="1:37" ht="18" customHeight="1">
      <c r="A24" s="18" t="s">
        <v>174</v>
      </c>
      <c r="B24" s="19" t="s">
        <v>102</v>
      </c>
      <c r="C24" s="20"/>
      <c r="D24" s="20"/>
      <c r="E24" s="20"/>
      <c r="F24" s="2"/>
      <c r="G24" s="20"/>
      <c r="H24" s="2"/>
      <c r="I24" s="20"/>
      <c r="J24" s="20"/>
      <c r="K24" s="20"/>
      <c r="L24" s="20"/>
      <c r="M24" s="2"/>
      <c r="N24" s="20"/>
      <c r="O24" s="12"/>
      <c r="P24" s="18"/>
      <c r="Q24" s="18"/>
      <c r="R24" s="18"/>
      <c r="S24" s="18"/>
      <c r="T24" s="12"/>
      <c r="U24" s="18"/>
      <c r="V24" s="12"/>
      <c r="W24" s="18"/>
      <c r="X24" s="18"/>
      <c r="Y24" s="20"/>
      <c r="Z24" s="20"/>
      <c r="AA24" s="2"/>
      <c r="AB24" s="20"/>
      <c r="AC24" s="3"/>
      <c r="AD24" s="20"/>
      <c r="AE24" s="20"/>
      <c r="AF24" s="20"/>
      <c r="AG24" s="20"/>
      <c r="AH24" s="21">
        <f t="shared" si="0"/>
        <v>0</v>
      </c>
      <c r="AI24" s="22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23" t="str">
        <f t="shared" si="1"/>
        <v>妮妮</v>
      </c>
      <c r="AK24" s="24"/>
    </row>
    <row r="25" spans="1:37" ht="18" customHeight="1">
      <c r="A25" s="18" t="s">
        <v>174</v>
      </c>
      <c r="B25" s="19" t="s">
        <v>165</v>
      </c>
      <c r="C25" s="20"/>
      <c r="D25" s="20"/>
      <c r="E25" s="20">
        <v>1</v>
      </c>
      <c r="F25" s="2"/>
      <c r="G25" s="20">
        <v>1</v>
      </c>
      <c r="H25" s="2"/>
      <c r="I25" s="20"/>
      <c r="J25" s="20"/>
      <c r="K25" s="20">
        <v>1</v>
      </c>
      <c r="L25" s="20"/>
      <c r="M25" s="2"/>
      <c r="N25" s="20">
        <v>1</v>
      </c>
      <c r="O25" s="12"/>
      <c r="P25" s="18">
        <v>1</v>
      </c>
      <c r="Q25" s="18"/>
      <c r="R25" s="18">
        <v>1</v>
      </c>
      <c r="S25" s="18">
        <v>1</v>
      </c>
      <c r="T25" s="12"/>
      <c r="U25" s="18"/>
      <c r="V25" s="12"/>
      <c r="W25" s="18">
        <v>1</v>
      </c>
      <c r="X25" s="18"/>
      <c r="Y25" s="20"/>
      <c r="Z25" s="20">
        <v>1</v>
      </c>
      <c r="AA25" s="2"/>
      <c r="AB25" s="20"/>
      <c r="AC25" s="3"/>
      <c r="AD25" s="20"/>
      <c r="AE25" s="20"/>
      <c r="AF25" s="20"/>
      <c r="AG25" s="20">
        <v>1</v>
      </c>
      <c r="AH25" s="21">
        <f t="shared" si="0"/>
        <v>10</v>
      </c>
      <c r="AI25" s="22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23" t="str">
        <f t="shared" si="1"/>
        <v>小貓</v>
      </c>
      <c r="AK25" s="25"/>
    </row>
    <row r="26" spans="1:37" ht="18" customHeight="1">
      <c r="A26" s="18" t="s">
        <v>174</v>
      </c>
      <c r="B26" s="19" t="s">
        <v>166</v>
      </c>
      <c r="C26" s="20"/>
      <c r="D26" s="20"/>
      <c r="E26" s="20"/>
      <c r="F26" s="2"/>
      <c r="G26" s="20"/>
      <c r="H26" s="2"/>
      <c r="I26" s="20"/>
      <c r="J26" s="20"/>
      <c r="K26" s="20"/>
      <c r="L26" s="20"/>
      <c r="M26" s="2"/>
      <c r="N26" s="20"/>
      <c r="O26" s="12"/>
      <c r="P26" s="18"/>
      <c r="Q26" s="18"/>
      <c r="R26" s="18"/>
      <c r="S26" s="18"/>
      <c r="T26" s="12"/>
      <c r="U26" s="18"/>
      <c r="V26" s="12"/>
      <c r="W26" s="18"/>
      <c r="X26" s="18"/>
      <c r="Y26" s="20"/>
      <c r="Z26" s="20"/>
      <c r="AA26" s="2"/>
      <c r="AB26" s="20"/>
      <c r="AC26" s="3"/>
      <c r="AD26" s="20"/>
      <c r="AE26" s="20"/>
      <c r="AF26" s="20"/>
      <c r="AG26" s="20"/>
      <c r="AH26" s="21">
        <f t="shared" si="0"/>
        <v>0</v>
      </c>
      <c r="AI26" s="22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23" t="str">
        <f t="shared" si="1"/>
        <v>哈比</v>
      </c>
      <c r="AK26" s="24"/>
    </row>
    <row r="27" spans="1:37" ht="18" customHeight="1">
      <c r="A27" s="18" t="s">
        <v>174</v>
      </c>
      <c r="B27" s="19" t="s">
        <v>91</v>
      </c>
      <c r="C27" s="20"/>
      <c r="D27" s="20"/>
      <c r="E27" s="20"/>
      <c r="F27" s="2"/>
      <c r="G27" s="20">
        <v>1</v>
      </c>
      <c r="H27" s="2"/>
      <c r="I27" s="20"/>
      <c r="J27" s="20"/>
      <c r="K27" s="20">
        <v>1</v>
      </c>
      <c r="L27" s="20"/>
      <c r="M27" s="2"/>
      <c r="N27" s="20">
        <v>1</v>
      </c>
      <c r="O27" s="12"/>
      <c r="P27" s="18">
        <v>1</v>
      </c>
      <c r="Q27" s="18">
        <v>1</v>
      </c>
      <c r="R27" s="18"/>
      <c r="S27" s="18">
        <v>1</v>
      </c>
      <c r="T27" s="12"/>
      <c r="U27" s="18">
        <v>1</v>
      </c>
      <c r="V27" s="12"/>
      <c r="W27" s="18"/>
      <c r="X27" s="18"/>
      <c r="Y27" s="20"/>
      <c r="Z27" s="20"/>
      <c r="AA27" s="2"/>
      <c r="AB27" s="20"/>
      <c r="AC27" s="3"/>
      <c r="AD27" s="20">
        <v>1</v>
      </c>
      <c r="AE27" s="20"/>
      <c r="AF27" s="20"/>
      <c r="AG27" s="20"/>
      <c r="AH27" s="21">
        <f t="shared" si="0"/>
        <v>8</v>
      </c>
      <c r="AI27" s="22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23" t="str">
        <f t="shared" si="1"/>
        <v>柔柔</v>
      </c>
      <c r="AK27" s="24"/>
    </row>
    <row r="28" spans="1:37" ht="18" customHeight="1">
      <c r="A28" s="18" t="s">
        <v>174</v>
      </c>
      <c r="B28" s="19" t="s">
        <v>176</v>
      </c>
      <c r="C28" s="20"/>
      <c r="D28" s="20"/>
      <c r="E28" s="20"/>
      <c r="F28" s="2"/>
      <c r="G28" s="20">
        <v>1</v>
      </c>
      <c r="H28" s="2"/>
      <c r="I28" s="20">
        <v>1</v>
      </c>
      <c r="J28" s="20"/>
      <c r="K28" s="20"/>
      <c r="L28" s="20"/>
      <c r="M28" s="2"/>
      <c r="N28" s="20"/>
      <c r="O28" s="12"/>
      <c r="P28" s="18"/>
      <c r="Q28" s="18"/>
      <c r="R28" s="18"/>
      <c r="S28" s="18">
        <v>1</v>
      </c>
      <c r="T28" s="12"/>
      <c r="U28" s="18"/>
      <c r="V28" s="12"/>
      <c r="W28" s="18"/>
      <c r="X28" s="18"/>
      <c r="Y28" s="20"/>
      <c r="Z28" s="20">
        <v>1</v>
      </c>
      <c r="AA28" s="2"/>
      <c r="AB28" s="20"/>
      <c r="AC28" s="3"/>
      <c r="AD28" s="20">
        <v>1</v>
      </c>
      <c r="AE28" s="20"/>
      <c r="AF28" s="20"/>
      <c r="AG28" s="20"/>
      <c r="AH28" s="21">
        <f t="shared" si="0"/>
        <v>5</v>
      </c>
      <c r="AI28" s="22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23" t="str">
        <f t="shared" si="1"/>
        <v>芮芮</v>
      </c>
      <c r="AK28" s="25"/>
    </row>
    <row r="29" spans="1:37" ht="18" customHeight="1">
      <c r="A29" s="18" t="s">
        <v>174</v>
      </c>
      <c r="B29" s="19" t="s">
        <v>123</v>
      </c>
      <c r="C29" s="20"/>
      <c r="D29" s="20"/>
      <c r="E29" s="20"/>
      <c r="F29" s="2"/>
      <c r="G29" s="20">
        <v>1</v>
      </c>
      <c r="H29" s="2"/>
      <c r="I29" s="20"/>
      <c r="J29" s="20">
        <v>1</v>
      </c>
      <c r="K29" s="20"/>
      <c r="L29" s="20"/>
      <c r="M29" s="2"/>
      <c r="N29" s="20">
        <v>1</v>
      </c>
      <c r="O29" s="12"/>
      <c r="P29" s="18"/>
      <c r="Q29" s="18">
        <v>1</v>
      </c>
      <c r="R29" s="18">
        <v>1</v>
      </c>
      <c r="S29" s="18"/>
      <c r="T29" s="12"/>
      <c r="U29" s="18">
        <v>1</v>
      </c>
      <c r="V29" s="12"/>
      <c r="W29" s="18"/>
      <c r="X29" s="18">
        <v>1</v>
      </c>
      <c r="Y29" s="20">
        <v>1</v>
      </c>
      <c r="Z29" s="20"/>
      <c r="AA29" s="2"/>
      <c r="AB29" s="20">
        <v>1</v>
      </c>
      <c r="AC29" s="3"/>
      <c r="AD29" s="20"/>
      <c r="AE29" s="20">
        <v>1</v>
      </c>
      <c r="AF29" s="20"/>
      <c r="AG29" s="20">
        <v>1</v>
      </c>
      <c r="AH29" s="21">
        <f t="shared" si="0"/>
        <v>11</v>
      </c>
      <c r="AI29" s="22" t="e">
        <f ca="1">IF(A29="O", (VALUE(_xludf.IFS(AH29=0,"0",AH29=1,"150",AH29=2,"300",AH29=3,"450",AH29=4,"600",AH29=5,"750",AH29&gt;=6,"800"))),(VALUE(_xludf.IFS(AH29=0,"0",AH29=1,"150",AH29=2,"300",AH29=3,"450",AH29=4,"600",AH29=5,"750",AH29=6,"900",AH29&gt;=7,"1,000"))))</f>
        <v>#NAME?</v>
      </c>
      <c r="AJ29" s="23" t="str">
        <f t="shared" si="1"/>
        <v>瑤瑤</v>
      </c>
      <c r="AK29" s="24"/>
    </row>
    <row r="30" spans="1:37" ht="18" customHeight="1">
      <c r="A30" s="18" t="s">
        <v>174</v>
      </c>
      <c r="B30" s="19" t="s">
        <v>147</v>
      </c>
      <c r="C30" s="20"/>
      <c r="D30" s="20"/>
      <c r="E30" s="20"/>
      <c r="F30" s="2"/>
      <c r="G30" s="20"/>
      <c r="H30" s="2"/>
      <c r="I30" s="20">
        <v>1</v>
      </c>
      <c r="J30" s="20"/>
      <c r="K30" s="20">
        <v>1</v>
      </c>
      <c r="L30" s="20"/>
      <c r="M30" s="2"/>
      <c r="N30" s="20">
        <v>1</v>
      </c>
      <c r="O30" s="12"/>
      <c r="P30" s="18">
        <v>1</v>
      </c>
      <c r="Q30" s="18">
        <v>1</v>
      </c>
      <c r="R30" s="18">
        <v>1</v>
      </c>
      <c r="S30" s="18">
        <v>1</v>
      </c>
      <c r="T30" s="12"/>
      <c r="U30" s="18"/>
      <c r="V30" s="12"/>
      <c r="W30" s="18">
        <v>1</v>
      </c>
      <c r="X30" s="18"/>
      <c r="Y30" s="20"/>
      <c r="Z30" s="20">
        <v>1</v>
      </c>
      <c r="AA30" s="2"/>
      <c r="AB30" s="20">
        <v>1</v>
      </c>
      <c r="AC30" s="3"/>
      <c r="AD30" s="20">
        <v>1</v>
      </c>
      <c r="AE30" s="20"/>
      <c r="AF30" s="20">
        <v>1</v>
      </c>
      <c r="AG30" s="20">
        <v>1</v>
      </c>
      <c r="AH30" s="21">
        <f t="shared" si="0"/>
        <v>13</v>
      </c>
      <c r="AI30" s="22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23" t="str">
        <f t="shared" si="1"/>
        <v>湘苡</v>
      </c>
      <c r="AK30" s="25"/>
    </row>
    <row r="31" spans="1:37" ht="18" customHeight="1">
      <c r="A31" s="18" t="s">
        <v>174</v>
      </c>
      <c r="B31" s="19" t="s">
        <v>93</v>
      </c>
      <c r="C31" s="20"/>
      <c r="D31" s="20"/>
      <c r="E31" s="20">
        <v>1</v>
      </c>
      <c r="F31" s="2"/>
      <c r="G31" s="20"/>
      <c r="H31" s="2"/>
      <c r="I31" s="20"/>
      <c r="J31" s="20"/>
      <c r="K31" s="20"/>
      <c r="L31" s="20"/>
      <c r="M31" s="2"/>
      <c r="N31" s="20">
        <v>1</v>
      </c>
      <c r="O31" s="12"/>
      <c r="P31" s="18">
        <v>1</v>
      </c>
      <c r="Q31" s="18"/>
      <c r="R31" s="18"/>
      <c r="S31" s="18">
        <v>1</v>
      </c>
      <c r="T31" s="12"/>
      <c r="U31" s="18">
        <v>1</v>
      </c>
      <c r="V31" s="12"/>
      <c r="W31" s="18"/>
      <c r="X31" s="18"/>
      <c r="Y31" s="20"/>
      <c r="Z31" s="20">
        <v>1</v>
      </c>
      <c r="AA31" s="2"/>
      <c r="AB31" s="20"/>
      <c r="AC31" s="3"/>
      <c r="AD31" s="20"/>
      <c r="AE31" s="20"/>
      <c r="AF31" s="20"/>
      <c r="AG31" s="20">
        <v>1</v>
      </c>
      <c r="AH31" s="21">
        <f t="shared" si="0"/>
        <v>7</v>
      </c>
      <c r="AI31" s="22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23" t="str">
        <f t="shared" si="1"/>
        <v>冠婷</v>
      </c>
      <c r="AK31" s="24"/>
    </row>
    <row r="32" spans="1:37" ht="18" customHeight="1">
      <c r="A32" s="18" t="s">
        <v>174</v>
      </c>
      <c r="B32" s="19" t="s">
        <v>149</v>
      </c>
      <c r="C32" s="20"/>
      <c r="D32" s="20"/>
      <c r="E32" s="20"/>
      <c r="F32" s="2"/>
      <c r="G32" s="20"/>
      <c r="H32" s="2"/>
      <c r="I32" s="20">
        <v>1</v>
      </c>
      <c r="J32" s="20"/>
      <c r="K32" s="20"/>
      <c r="L32" s="20"/>
      <c r="M32" s="2"/>
      <c r="N32" s="20">
        <v>1</v>
      </c>
      <c r="O32" s="12"/>
      <c r="P32" s="18">
        <v>1</v>
      </c>
      <c r="Q32" s="18"/>
      <c r="R32" s="18">
        <v>1</v>
      </c>
      <c r="S32" s="18"/>
      <c r="T32" s="12"/>
      <c r="U32" s="18"/>
      <c r="V32" s="12"/>
      <c r="W32" s="18"/>
      <c r="X32" s="18"/>
      <c r="Y32" s="20"/>
      <c r="Z32" s="20"/>
      <c r="AA32" s="2"/>
      <c r="AB32" s="20"/>
      <c r="AC32" s="3"/>
      <c r="AD32" s="20">
        <v>1</v>
      </c>
      <c r="AE32" s="20"/>
      <c r="AF32" s="20"/>
      <c r="AG32" s="20"/>
      <c r="AH32" s="21">
        <f t="shared" si="0"/>
        <v>5</v>
      </c>
      <c r="AI32" s="22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23" t="str">
        <f t="shared" si="1"/>
        <v>晏寧</v>
      </c>
      <c r="AK32" s="24"/>
    </row>
    <row r="33" spans="1:37" ht="18" customHeight="1">
      <c r="A33" s="18" t="s">
        <v>174</v>
      </c>
      <c r="B33" s="19" t="s">
        <v>146</v>
      </c>
      <c r="C33" s="20"/>
      <c r="D33" s="20"/>
      <c r="E33" s="20"/>
      <c r="F33" s="2"/>
      <c r="G33" s="20"/>
      <c r="H33" s="2"/>
      <c r="I33" s="20"/>
      <c r="J33" s="20"/>
      <c r="K33" s="20"/>
      <c r="L33" s="20"/>
      <c r="M33" s="2"/>
      <c r="N33" s="20">
        <v>1</v>
      </c>
      <c r="O33" s="12"/>
      <c r="P33" s="18"/>
      <c r="Q33" s="18"/>
      <c r="R33" s="18"/>
      <c r="S33" s="18">
        <v>1</v>
      </c>
      <c r="T33" s="12"/>
      <c r="U33" s="18"/>
      <c r="V33" s="12"/>
      <c r="W33" s="18"/>
      <c r="X33" s="18"/>
      <c r="Y33" s="20"/>
      <c r="Z33" s="20">
        <v>1</v>
      </c>
      <c r="AA33" s="2"/>
      <c r="AB33" s="20"/>
      <c r="AC33" s="3"/>
      <c r="AD33" s="20"/>
      <c r="AE33" s="20"/>
      <c r="AF33" s="20"/>
      <c r="AG33" s="20">
        <v>1</v>
      </c>
      <c r="AH33" s="21">
        <f t="shared" si="0"/>
        <v>4</v>
      </c>
      <c r="AI33" s="22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23" t="str">
        <f t="shared" si="1"/>
        <v>飛飛</v>
      </c>
      <c r="AK33" s="24"/>
    </row>
    <row r="34" spans="1:37" ht="18" customHeight="1">
      <c r="A34" s="26" t="s">
        <v>174</v>
      </c>
      <c r="B34" s="27" t="s">
        <v>116</v>
      </c>
      <c r="C34" s="28"/>
      <c r="D34" s="28">
        <v>1</v>
      </c>
      <c r="E34" s="28"/>
      <c r="F34" s="2"/>
      <c r="G34" s="28">
        <v>1</v>
      </c>
      <c r="H34" s="2"/>
      <c r="I34" s="28"/>
      <c r="J34" s="28">
        <v>1</v>
      </c>
      <c r="K34" s="28">
        <v>1</v>
      </c>
      <c r="L34" s="28"/>
      <c r="M34" s="2"/>
      <c r="N34" s="28">
        <v>1</v>
      </c>
      <c r="O34" s="12"/>
      <c r="P34" s="26"/>
      <c r="Q34" s="26"/>
      <c r="R34" s="26"/>
      <c r="S34" s="26"/>
      <c r="T34" s="12"/>
      <c r="U34" s="26">
        <v>1</v>
      </c>
      <c r="V34" s="12"/>
      <c r="W34" s="26"/>
      <c r="X34" s="26">
        <v>1</v>
      </c>
      <c r="Y34" s="28">
        <v>1</v>
      </c>
      <c r="Z34" s="28"/>
      <c r="AA34" s="2"/>
      <c r="AB34" s="28">
        <v>1</v>
      </c>
      <c r="AC34" s="3"/>
      <c r="AD34" s="28"/>
      <c r="AE34" s="28"/>
      <c r="AF34" s="28">
        <v>1</v>
      </c>
      <c r="AG34" s="28">
        <v>1</v>
      </c>
      <c r="AH34" s="29">
        <f t="shared" si="0"/>
        <v>11</v>
      </c>
      <c r="AI34" s="30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31" t="str">
        <f t="shared" si="1"/>
        <v>大汪</v>
      </c>
      <c r="AK34" s="32"/>
    </row>
    <row r="35" spans="1:37" ht="18" customHeight="1">
      <c r="A35" s="26" t="s">
        <v>174</v>
      </c>
      <c r="B35" s="27" t="s">
        <v>118</v>
      </c>
      <c r="C35" s="28"/>
      <c r="D35" s="28"/>
      <c r="E35" s="28"/>
      <c r="F35" s="2"/>
      <c r="G35" s="28">
        <v>1</v>
      </c>
      <c r="H35" s="2"/>
      <c r="I35" s="28">
        <v>1</v>
      </c>
      <c r="J35" s="28">
        <v>1</v>
      </c>
      <c r="K35" s="28">
        <v>1</v>
      </c>
      <c r="L35" s="28"/>
      <c r="M35" s="2"/>
      <c r="N35" s="28">
        <v>1</v>
      </c>
      <c r="O35" s="12"/>
      <c r="P35" s="26"/>
      <c r="Q35" s="26"/>
      <c r="R35" s="26"/>
      <c r="S35" s="26"/>
      <c r="T35" s="12"/>
      <c r="U35" s="26"/>
      <c r="V35" s="12"/>
      <c r="W35" s="26"/>
      <c r="X35" s="26"/>
      <c r="Y35" s="28"/>
      <c r="Z35" s="28"/>
      <c r="AA35" s="2"/>
      <c r="AB35" s="28">
        <v>1</v>
      </c>
      <c r="AC35" s="3"/>
      <c r="AD35" s="28">
        <v>1</v>
      </c>
      <c r="AE35" s="28">
        <v>1</v>
      </c>
      <c r="AF35" s="28">
        <v>1</v>
      </c>
      <c r="AG35" s="28"/>
      <c r="AH35" s="29">
        <f t="shared" si="0"/>
        <v>9</v>
      </c>
      <c r="AI35" s="30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31" t="str">
        <f t="shared" si="1"/>
        <v>雅筑</v>
      </c>
      <c r="AK35" s="32"/>
    </row>
    <row r="36" spans="1:37" ht="18" customHeight="1">
      <c r="A36" s="26" t="s">
        <v>174</v>
      </c>
      <c r="B36" s="27" t="s">
        <v>141</v>
      </c>
      <c r="C36" s="28"/>
      <c r="D36" s="28"/>
      <c r="E36" s="28"/>
      <c r="F36" s="2"/>
      <c r="G36" s="28">
        <v>1</v>
      </c>
      <c r="H36" s="2"/>
      <c r="I36" s="28"/>
      <c r="J36" s="28">
        <v>1</v>
      </c>
      <c r="K36" s="28">
        <v>1</v>
      </c>
      <c r="L36" s="28"/>
      <c r="M36" s="2"/>
      <c r="N36" s="28">
        <v>1</v>
      </c>
      <c r="O36" s="12"/>
      <c r="P36" s="26"/>
      <c r="Q36" s="26">
        <v>1</v>
      </c>
      <c r="R36" s="26"/>
      <c r="S36" s="26"/>
      <c r="T36" s="12"/>
      <c r="U36" s="26">
        <v>1</v>
      </c>
      <c r="V36" s="12"/>
      <c r="W36" s="26"/>
      <c r="X36" s="26"/>
      <c r="Y36" s="28"/>
      <c r="Z36" s="28"/>
      <c r="AA36" s="2"/>
      <c r="AB36" s="28">
        <v>1</v>
      </c>
      <c r="AC36" s="3"/>
      <c r="AD36" s="28"/>
      <c r="AE36" s="28"/>
      <c r="AF36" s="28">
        <v>1</v>
      </c>
      <c r="AG36" s="28">
        <v>1</v>
      </c>
      <c r="AH36" s="29">
        <f t="shared" ref="AH36:AH67" si="2">COUNTA(C36:AG36)</f>
        <v>9</v>
      </c>
      <c r="AI36" s="30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31" t="str">
        <f t="shared" ref="AJ36:AJ67" si="3">B36</f>
        <v>Cindy</v>
      </c>
      <c r="AK36" s="32"/>
    </row>
    <row r="37" spans="1:37" ht="18" customHeight="1">
      <c r="A37" s="26" t="s">
        <v>174</v>
      </c>
      <c r="B37" s="27" t="s">
        <v>103</v>
      </c>
      <c r="C37" s="28"/>
      <c r="D37" s="28"/>
      <c r="E37" s="28"/>
      <c r="F37" s="2"/>
      <c r="G37" s="28">
        <v>1</v>
      </c>
      <c r="H37" s="2"/>
      <c r="I37" s="28"/>
      <c r="J37" s="28">
        <v>1</v>
      </c>
      <c r="K37" s="28">
        <v>1</v>
      </c>
      <c r="L37" s="28"/>
      <c r="M37" s="2"/>
      <c r="N37" s="28">
        <v>1</v>
      </c>
      <c r="O37" s="12"/>
      <c r="P37" s="26"/>
      <c r="Q37" s="26">
        <v>1</v>
      </c>
      <c r="R37" s="26">
        <v>1</v>
      </c>
      <c r="S37" s="26"/>
      <c r="T37" s="12"/>
      <c r="U37" s="26">
        <v>1</v>
      </c>
      <c r="V37" s="12"/>
      <c r="W37" s="26"/>
      <c r="X37" s="26"/>
      <c r="Y37" s="28"/>
      <c r="Z37" s="28"/>
      <c r="AA37" s="2"/>
      <c r="AB37" s="28">
        <v>1</v>
      </c>
      <c r="AC37" s="3"/>
      <c r="AD37" s="28"/>
      <c r="AE37" s="28">
        <v>1</v>
      </c>
      <c r="AF37" s="28">
        <v>1</v>
      </c>
      <c r="AG37" s="28">
        <v>1</v>
      </c>
      <c r="AH37" s="29">
        <f t="shared" si="2"/>
        <v>11</v>
      </c>
      <c r="AI37" s="30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31" t="str">
        <f t="shared" si="3"/>
        <v>圈圈</v>
      </c>
      <c r="AK37" s="33"/>
    </row>
    <row r="38" spans="1:37" ht="18" customHeight="1">
      <c r="A38" s="26" t="s">
        <v>174</v>
      </c>
      <c r="B38" s="27" t="s">
        <v>120</v>
      </c>
      <c r="C38" s="28"/>
      <c r="D38" s="28"/>
      <c r="E38" s="28"/>
      <c r="F38" s="2"/>
      <c r="G38" s="28">
        <v>1</v>
      </c>
      <c r="H38" s="2"/>
      <c r="I38" s="28">
        <v>1</v>
      </c>
      <c r="J38" s="28">
        <v>1</v>
      </c>
      <c r="K38" s="28"/>
      <c r="L38" s="28"/>
      <c r="M38" s="2"/>
      <c r="N38" s="28">
        <v>1</v>
      </c>
      <c r="O38" s="12"/>
      <c r="P38" s="26"/>
      <c r="Q38" s="26"/>
      <c r="R38" s="26"/>
      <c r="S38" s="26"/>
      <c r="T38" s="12"/>
      <c r="U38" s="26"/>
      <c r="V38" s="12"/>
      <c r="W38" s="26"/>
      <c r="X38" s="26"/>
      <c r="Y38" s="28"/>
      <c r="Z38" s="28"/>
      <c r="AA38" s="2"/>
      <c r="AB38" s="28"/>
      <c r="AC38" s="3"/>
      <c r="AD38" s="28">
        <v>1</v>
      </c>
      <c r="AE38" s="28">
        <v>1</v>
      </c>
      <c r="AF38" s="28">
        <v>1</v>
      </c>
      <c r="AG38" s="28"/>
      <c r="AH38" s="29">
        <f t="shared" si="2"/>
        <v>7</v>
      </c>
      <c r="AI38" s="30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31" t="str">
        <f t="shared" si="3"/>
        <v>品君</v>
      </c>
      <c r="AK38" s="33"/>
    </row>
    <row r="39" spans="1:37" ht="18" customHeight="1">
      <c r="A39" s="26" t="s">
        <v>174</v>
      </c>
      <c r="B39" s="27" t="s">
        <v>142</v>
      </c>
      <c r="C39" s="28"/>
      <c r="D39" s="28"/>
      <c r="E39" s="28"/>
      <c r="F39" s="2"/>
      <c r="G39" s="28"/>
      <c r="H39" s="2"/>
      <c r="I39" s="28"/>
      <c r="J39" s="28"/>
      <c r="K39" s="28">
        <v>1</v>
      </c>
      <c r="L39" s="28"/>
      <c r="M39" s="2"/>
      <c r="N39" s="28"/>
      <c r="O39" s="12"/>
      <c r="P39" s="26"/>
      <c r="Q39" s="26"/>
      <c r="R39" s="26">
        <v>1</v>
      </c>
      <c r="S39" s="26"/>
      <c r="T39" s="12"/>
      <c r="U39" s="26"/>
      <c r="V39" s="12"/>
      <c r="W39" s="26"/>
      <c r="X39" s="26"/>
      <c r="Y39" s="28"/>
      <c r="Z39" s="28"/>
      <c r="AA39" s="2"/>
      <c r="AB39" s="28"/>
      <c r="AC39" s="3"/>
      <c r="AD39" s="28"/>
      <c r="AE39" s="28"/>
      <c r="AF39" s="28">
        <v>1</v>
      </c>
      <c r="AG39" s="28">
        <v>1</v>
      </c>
      <c r="AH39" s="29">
        <f t="shared" si="2"/>
        <v>4</v>
      </c>
      <c r="AI39" s="30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31" t="str">
        <f t="shared" si="3"/>
        <v>如靜</v>
      </c>
      <c r="AK39" s="33"/>
    </row>
    <row r="40" spans="1:37" ht="18" customHeight="1">
      <c r="A40" s="26" t="s">
        <v>174</v>
      </c>
      <c r="B40" s="27" t="s">
        <v>143</v>
      </c>
      <c r="C40" s="28"/>
      <c r="D40" s="28"/>
      <c r="E40" s="28"/>
      <c r="F40" s="2"/>
      <c r="G40" s="28"/>
      <c r="H40" s="2"/>
      <c r="I40" s="28"/>
      <c r="J40" s="28"/>
      <c r="K40" s="28"/>
      <c r="L40" s="28"/>
      <c r="M40" s="2"/>
      <c r="N40" s="28"/>
      <c r="O40" s="12"/>
      <c r="P40" s="26"/>
      <c r="Q40" s="26"/>
      <c r="R40" s="26"/>
      <c r="S40" s="26"/>
      <c r="T40" s="12"/>
      <c r="U40" s="26"/>
      <c r="V40" s="12"/>
      <c r="W40" s="26"/>
      <c r="X40" s="26"/>
      <c r="Y40" s="28"/>
      <c r="Z40" s="28"/>
      <c r="AA40" s="2"/>
      <c r="AB40" s="28"/>
      <c r="AC40" s="3"/>
      <c r="AD40" s="28"/>
      <c r="AE40" s="28"/>
      <c r="AF40" s="28"/>
      <c r="AG40" s="28"/>
      <c r="AH40" s="29">
        <f t="shared" si="2"/>
        <v>0</v>
      </c>
      <c r="AI40" s="30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31" t="str">
        <f t="shared" si="3"/>
        <v>毓玫</v>
      </c>
      <c r="AK40" s="33"/>
    </row>
    <row r="41" spans="1:37" ht="18" customHeight="1">
      <c r="A41" s="26" t="s">
        <v>174</v>
      </c>
      <c r="B41" s="27" t="s">
        <v>144</v>
      </c>
      <c r="C41" s="28"/>
      <c r="D41" s="28"/>
      <c r="E41" s="28"/>
      <c r="F41" s="2"/>
      <c r="G41" s="28">
        <v>1</v>
      </c>
      <c r="H41" s="2"/>
      <c r="I41" s="28"/>
      <c r="J41" s="28"/>
      <c r="K41" s="28"/>
      <c r="L41" s="28"/>
      <c r="M41" s="2"/>
      <c r="N41" s="28">
        <v>1</v>
      </c>
      <c r="O41" s="12"/>
      <c r="P41" s="26"/>
      <c r="Q41" s="26"/>
      <c r="R41" s="26"/>
      <c r="S41" s="26"/>
      <c r="T41" s="12"/>
      <c r="U41" s="26">
        <v>1</v>
      </c>
      <c r="V41" s="12"/>
      <c r="W41" s="26"/>
      <c r="X41" s="26"/>
      <c r="Y41" s="28"/>
      <c r="Z41" s="28"/>
      <c r="AA41" s="2"/>
      <c r="AB41" s="28"/>
      <c r="AC41" s="3"/>
      <c r="AD41" s="28"/>
      <c r="AE41" s="28"/>
      <c r="AF41" s="28"/>
      <c r="AG41" s="28"/>
      <c r="AH41" s="29">
        <f t="shared" si="2"/>
        <v>3</v>
      </c>
      <c r="AI41" s="30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31" t="str">
        <f t="shared" si="3"/>
        <v>美枝</v>
      </c>
      <c r="AK41" s="32"/>
    </row>
    <row r="42" spans="1:37" ht="18" customHeight="1">
      <c r="A42" s="26" t="s">
        <v>174</v>
      </c>
      <c r="B42" s="27" t="s">
        <v>145</v>
      </c>
      <c r="C42" s="28"/>
      <c r="D42" s="28"/>
      <c r="E42" s="28"/>
      <c r="F42" s="2"/>
      <c r="G42" s="28">
        <v>1</v>
      </c>
      <c r="H42" s="2"/>
      <c r="I42" s="28"/>
      <c r="J42" s="28">
        <v>1</v>
      </c>
      <c r="K42" s="28"/>
      <c r="L42" s="28"/>
      <c r="M42" s="2"/>
      <c r="N42" s="28">
        <v>1</v>
      </c>
      <c r="O42" s="12"/>
      <c r="P42" s="26"/>
      <c r="Q42" s="26">
        <v>1</v>
      </c>
      <c r="R42" s="26"/>
      <c r="S42" s="26"/>
      <c r="T42" s="12"/>
      <c r="U42" s="26">
        <v>1</v>
      </c>
      <c r="V42" s="12"/>
      <c r="W42" s="26"/>
      <c r="X42" s="26"/>
      <c r="Y42" s="28"/>
      <c r="Z42" s="28"/>
      <c r="AA42" s="2"/>
      <c r="AB42" s="28">
        <v>1</v>
      </c>
      <c r="AC42" s="3"/>
      <c r="AD42" s="28"/>
      <c r="AE42" s="28">
        <v>1</v>
      </c>
      <c r="AF42" s="28"/>
      <c r="AG42" s="28"/>
      <c r="AH42" s="29">
        <f t="shared" si="2"/>
        <v>7</v>
      </c>
      <c r="AI42" s="30" t="e">
        <f ca="1">IF(A42="O", (VALUE(_xludf.IFS(AH42=0,"0",AH42=1,"150",AH42=2,"300",AH42=3,"450",AH42=4,"600",AH42=5,"750",AH42&gt;=6,"800"))),(VALUE(_xludf.IFS(AH42=0,"0",AH42=1,"150",AH42=2,"300",AH42=3,"450",AH42=4,"600",AH42=5,"750",AH42=6,"900",AH42&gt;=7,"1,000"))))</f>
        <v>#NAME?</v>
      </c>
      <c r="AJ42" s="31" t="str">
        <f t="shared" si="3"/>
        <v>魯魯咪</v>
      </c>
      <c r="AK42" s="34"/>
    </row>
    <row r="43" spans="1:37" ht="18" customHeight="1">
      <c r="A43" s="9" t="s">
        <v>58</v>
      </c>
      <c r="B43" s="10" t="s">
        <v>23</v>
      </c>
      <c r="C43" s="11"/>
      <c r="D43" s="11">
        <v>1</v>
      </c>
      <c r="E43" s="11"/>
      <c r="F43" s="2"/>
      <c r="G43" s="11">
        <v>1</v>
      </c>
      <c r="H43" s="2"/>
      <c r="I43" s="11">
        <v>1</v>
      </c>
      <c r="J43" s="11">
        <v>1</v>
      </c>
      <c r="K43" s="11">
        <v>1</v>
      </c>
      <c r="L43" s="11"/>
      <c r="M43" s="2"/>
      <c r="N43" s="11">
        <v>1</v>
      </c>
      <c r="O43" s="12"/>
      <c r="P43" s="9">
        <v>1</v>
      </c>
      <c r="Q43" s="9">
        <v>1</v>
      </c>
      <c r="R43" s="9">
        <v>1</v>
      </c>
      <c r="S43" s="9">
        <v>1</v>
      </c>
      <c r="T43" s="12"/>
      <c r="U43" s="9"/>
      <c r="V43" s="12"/>
      <c r="W43" s="9"/>
      <c r="X43" s="9"/>
      <c r="Y43" s="11"/>
      <c r="Z43" s="11">
        <v>1</v>
      </c>
      <c r="AA43" s="2"/>
      <c r="AB43" s="11">
        <v>1</v>
      </c>
      <c r="AC43" s="3"/>
      <c r="AD43" s="11">
        <v>1</v>
      </c>
      <c r="AE43" s="11">
        <v>1</v>
      </c>
      <c r="AF43" s="11">
        <v>1</v>
      </c>
      <c r="AG43" s="11">
        <v>1</v>
      </c>
      <c r="AH43" s="13">
        <f t="shared" si="2"/>
        <v>16</v>
      </c>
      <c r="AI43" s="14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15" t="str">
        <f t="shared" si="3"/>
        <v>ㄈㄈ</v>
      </c>
      <c r="AK43" s="17"/>
    </row>
    <row r="44" spans="1:37" ht="18" customHeight="1">
      <c r="A44" s="9" t="s">
        <v>58</v>
      </c>
      <c r="B44" s="10" t="s">
        <v>24</v>
      </c>
      <c r="C44" s="11"/>
      <c r="D44" s="11">
        <v>1</v>
      </c>
      <c r="E44" s="11"/>
      <c r="F44" s="2"/>
      <c r="G44" s="11">
        <v>1</v>
      </c>
      <c r="H44" s="2"/>
      <c r="I44" s="11">
        <v>1</v>
      </c>
      <c r="J44" s="11">
        <v>1</v>
      </c>
      <c r="K44" s="11"/>
      <c r="L44" s="11"/>
      <c r="M44" s="2"/>
      <c r="N44" s="11">
        <v>1</v>
      </c>
      <c r="O44" s="12"/>
      <c r="P44" s="9">
        <v>1</v>
      </c>
      <c r="Q44" s="9">
        <v>1</v>
      </c>
      <c r="R44" s="9">
        <v>1</v>
      </c>
      <c r="S44" s="9">
        <v>1</v>
      </c>
      <c r="T44" s="12"/>
      <c r="U44" s="9">
        <v>1</v>
      </c>
      <c r="V44" s="12"/>
      <c r="W44" s="9"/>
      <c r="X44" s="9">
        <v>1</v>
      </c>
      <c r="Y44" s="11"/>
      <c r="Z44" s="11">
        <v>1</v>
      </c>
      <c r="AA44" s="2"/>
      <c r="AB44" s="11">
        <v>1</v>
      </c>
      <c r="AC44" s="3"/>
      <c r="AD44" s="11">
        <v>1</v>
      </c>
      <c r="AE44" s="11">
        <v>1</v>
      </c>
      <c r="AF44" s="11"/>
      <c r="AG44" s="11">
        <v>1</v>
      </c>
      <c r="AH44" s="13">
        <f t="shared" si="2"/>
        <v>16</v>
      </c>
      <c r="AI44" s="14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15" t="str">
        <f t="shared" si="3"/>
        <v>大熊</v>
      </c>
      <c r="AK44" s="17"/>
    </row>
    <row r="45" spans="1:37" ht="18" customHeight="1">
      <c r="A45" s="9" t="s">
        <v>58</v>
      </c>
      <c r="B45" s="10" t="s">
        <v>67</v>
      </c>
      <c r="C45" s="11"/>
      <c r="D45" s="11"/>
      <c r="E45" s="11"/>
      <c r="F45" s="2"/>
      <c r="G45" s="11"/>
      <c r="H45" s="2"/>
      <c r="I45" s="11"/>
      <c r="J45" s="11"/>
      <c r="K45" s="11"/>
      <c r="L45" s="11"/>
      <c r="M45" s="2"/>
      <c r="N45" s="11"/>
      <c r="O45" s="12"/>
      <c r="P45" s="9"/>
      <c r="Q45" s="9"/>
      <c r="R45" s="9"/>
      <c r="S45" s="9"/>
      <c r="T45" s="12"/>
      <c r="U45" s="9"/>
      <c r="V45" s="12"/>
      <c r="W45" s="9"/>
      <c r="X45" s="9"/>
      <c r="Y45" s="11"/>
      <c r="Z45" s="11"/>
      <c r="AA45" s="2"/>
      <c r="AB45" s="11"/>
      <c r="AC45" s="3"/>
      <c r="AD45" s="11"/>
      <c r="AE45" s="11"/>
      <c r="AF45" s="11"/>
      <c r="AG45" s="11"/>
      <c r="AH45" s="13">
        <f t="shared" si="2"/>
        <v>0</v>
      </c>
      <c r="AI45" s="14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15" t="str">
        <f t="shared" si="3"/>
        <v>歐吉</v>
      </c>
      <c r="AK45" s="17"/>
    </row>
    <row r="46" spans="1:37" ht="18" customHeight="1">
      <c r="A46" s="9" t="s">
        <v>58</v>
      </c>
      <c r="B46" s="10" t="s">
        <v>65</v>
      </c>
      <c r="C46" s="11"/>
      <c r="D46" s="11"/>
      <c r="E46" s="11"/>
      <c r="F46" s="2"/>
      <c r="G46" s="11"/>
      <c r="H46" s="2"/>
      <c r="I46" s="11"/>
      <c r="J46" s="11"/>
      <c r="K46" s="11"/>
      <c r="L46" s="11"/>
      <c r="M46" s="2"/>
      <c r="N46" s="11"/>
      <c r="O46" s="12"/>
      <c r="P46" s="9"/>
      <c r="Q46" s="9"/>
      <c r="R46" s="9"/>
      <c r="S46" s="9"/>
      <c r="T46" s="12"/>
      <c r="U46" s="9"/>
      <c r="V46" s="12"/>
      <c r="W46" s="9"/>
      <c r="X46" s="9"/>
      <c r="Y46" s="11"/>
      <c r="Z46" s="11"/>
      <c r="AA46" s="2"/>
      <c r="AB46" s="11"/>
      <c r="AC46" s="3"/>
      <c r="AD46" s="11"/>
      <c r="AE46" s="11"/>
      <c r="AF46" s="11"/>
      <c r="AG46" s="11"/>
      <c r="AH46" s="13">
        <f t="shared" si="2"/>
        <v>0</v>
      </c>
      <c r="AI46" s="14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15" t="str">
        <f t="shared" si="3"/>
        <v>文淵</v>
      </c>
      <c r="AK46" s="17"/>
    </row>
    <row r="47" spans="1:37" ht="18" customHeight="1">
      <c r="A47" s="9" t="s">
        <v>58</v>
      </c>
      <c r="B47" s="10" t="s">
        <v>69</v>
      </c>
      <c r="C47" s="11"/>
      <c r="D47" s="11"/>
      <c r="E47" s="11"/>
      <c r="F47" s="2"/>
      <c r="G47" s="11"/>
      <c r="H47" s="2"/>
      <c r="I47" s="11"/>
      <c r="J47" s="11"/>
      <c r="K47" s="11"/>
      <c r="L47" s="11"/>
      <c r="M47" s="2"/>
      <c r="N47" s="11"/>
      <c r="O47" s="12"/>
      <c r="P47" s="9"/>
      <c r="Q47" s="9"/>
      <c r="R47" s="9"/>
      <c r="S47" s="9"/>
      <c r="T47" s="12"/>
      <c r="U47" s="9"/>
      <c r="V47" s="12"/>
      <c r="W47" s="9"/>
      <c r="X47" s="9"/>
      <c r="Y47" s="11"/>
      <c r="Z47" s="11">
        <v>1</v>
      </c>
      <c r="AA47" s="2"/>
      <c r="AB47" s="11"/>
      <c r="AC47" s="3"/>
      <c r="AD47" s="11"/>
      <c r="AE47" s="11"/>
      <c r="AF47" s="11"/>
      <c r="AG47" s="11"/>
      <c r="AH47" s="13">
        <f t="shared" si="2"/>
        <v>1</v>
      </c>
      <c r="AI47" s="14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15" t="str">
        <f t="shared" si="3"/>
        <v>小馬</v>
      </c>
      <c r="AK47" s="17"/>
    </row>
    <row r="48" spans="1:37" ht="18" customHeight="1">
      <c r="A48" s="9" t="s">
        <v>58</v>
      </c>
      <c r="B48" s="10" t="s">
        <v>64</v>
      </c>
      <c r="C48" s="11"/>
      <c r="D48" s="11"/>
      <c r="E48" s="11"/>
      <c r="F48" s="2"/>
      <c r="G48" s="11">
        <v>1</v>
      </c>
      <c r="H48" s="2"/>
      <c r="I48" s="11">
        <v>1</v>
      </c>
      <c r="J48" s="11"/>
      <c r="K48" s="11">
        <v>1</v>
      </c>
      <c r="L48" s="11"/>
      <c r="M48" s="2"/>
      <c r="N48" s="11">
        <v>1</v>
      </c>
      <c r="O48" s="12"/>
      <c r="P48" s="9">
        <v>1</v>
      </c>
      <c r="Q48" s="9"/>
      <c r="R48" s="9">
        <v>1</v>
      </c>
      <c r="S48" s="9">
        <v>1</v>
      </c>
      <c r="T48" s="12"/>
      <c r="U48" s="9">
        <v>1</v>
      </c>
      <c r="V48" s="12"/>
      <c r="W48" s="9">
        <v>1</v>
      </c>
      <c r="X48" s="9"/>
      <c r="Y48" s="11"/>
      <c r="Z48" s="11">
        <v>1</v>
      </c>
      <c r="AA48" s="2"/>
      <c r="AB48" s="11">
        <v>1</v>
      </c>
      <c r="AC48" s="3"/>
      <c r="AD48" s="11">
        <v>1</v>
      </c>
      <c r="AE48" s="11"/>
      <c r="AF48" s="11">
        <v>1</v>
      </c>
      <c r="AG48" s="11">
        <v>1</v>
      </c>
      <c r="AH48" s="13">
        <f t="shared" si="2"/>
        <v>14</v>
      </c>
      <c r="AI48" s="14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15" t="str">
        <f t="shared" si="3"/>
        <v>園棠</v>
      </c>
      <c r="AK48" s="17"/>
    </row>
    <row r="49" spans="1:37" ht="18" customHeight="1">
      <c r="A49" s="9" t="s">
        <v>58</v>
      </c>
      <c r="B49" s="10" t="s">
        <v>31</v>
      </c>
      <c r="C49" s="11"/>
      <c r="D49" s="11"/>
      <c r="E49" s="11"/>
      <c r="F49" s="2"/>
      <c r="G49" s="11"/>
      <c r="H49" s="2"/>
      <c r="I49" s="11"/>
      <c r="J49" s="11"/>
      <c r="K49" s="11"/>
      <c r="L49" s="11"/>
      <c r="M49" s="2"/>
      <c r="N49" s="11"/>
      <c r="O49" s="12"/>
      <c r="P49" s="9"/>
      <c r="Q49" s="9"/>
      <c r="R49" s="9"/>
      <c r="S49" s="9"/>
      <c r="T49" s="12"/>
      <c r="U49" s="9">
        <v>1</v>
      </c>
      <c r="V49" s="12"/>
      <c r="W49" s="9"/>
      <c r="X49" s="9"/>
      <c r="Y49" s="11"/>
      <c r="Z49" s="11"/>
      <c r="AA49" s="2"/>
      <c r="AB49" s="11"/>
      <c r="AC49" s="3"/>
      <c r="AD49" s="11">
        <v>1</v>
      </c>
      <c r="AE49" s="11"/>
      <c r="AF49" s="11"/>
      <c r="AG49" s="11"/>
      <c r="AH49" s="13">
        <f t="shared" si="2"/>
        <v>2</v>
      </c>
      <c r="AI49" s="14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15" t="str">
        <f t="shared" si="3"/>
        <v>阿美</v>
      </c>
      <c r="AK49" s="17"/>
    </row>
    <row r="50" spans="1:37" ht="18" customHeight="1">
      <c r="A50" s="9" t="s">
        <v>58</v>
      </c>
      <c r="B50" s="10" t="s">
        <v>75</v>
      </c>
      <c r="C50" s="11"/>
      <c r="D50" s="11"/>
      <c r="E50" s="11"/>
      <c r="F50" s="2"/>
      <c r="G50" s="11"/>
      <c r="H50" s="2"/>
      <c r="I50" s="11"/>
      <c r="J50" s="11"/>
      <c r="K50" s="11"/>
      <c r="L50" s="11"/>
      <c r="M50" s="2"/>
      <c r="N50" s="11"/>
      <c r="O50" s="12"/>
      <c r="P50" s="9"/>
      <c r="Q50" s="9"/>
      <c r="R50" s="9"/>
      <c r="S50" s="9"/>
      <c r="T50" s="12"/>
      <c r="U50" s="9"/>
      <c r="V50" s="12"/>
      <c r="W50" s="9"/>
      <c r="X50" s="9"/>
      <c r="Y50" s="11"/>
      <c r="Z50" s="11"/>
      <c r="AA50" s="2"/>
      <c r="AB50" s="11"/>
      <c r="AC50" s="3"/>
      <c r="AD50" s="11"/>
      <c r="AE50" s="11"/>
      <c r="AF50" s="11"/>
      <c r="AG50" s="11"/>
      <c r="AH50" s="13">
        <f t="shared" si="2"/>
        <v>0</v>
      </c>
      <c r="AI50" s="14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15" t="str">
        <f t="shared" si="3"/>
        <v>叮噹</v>
      </c>
      <c r="AK50" s="17"/>
    </row>
    <row r="51" spans="1:37" ht="18" customHeight="1">
      <c r="A51" s="9" t="s">
        <v>58</v>
      </c>
      <c r="B51" s="10" t="s">
        <v>33</v>
      </c>
      <c r="C51" s="11"/>
      <c r="D51" s="11"/>
      <c r="E51" s="11"/>
      <c r="F51" s="2"/>
      <c r="G51" s="11"/>
      <c r="H51" s="2"/>
      <c r="I51" s="11"/>
      <c r="J51" s="11"/>
      <c r="K51" s="11"/>
      <c r="L51" s="11"/>
      <c r="M51" s="2"/>
      <c r="N51" s="11"/>
      <c r="O51" s="12"/>
      <c r="P51" s="9"/>
      <c r="Q51" s="9"/>
      <c r="R51" s="9"/>
      <c r="S51" s="9"/>
      <c r="T51" s="12"/>
      <c r="U51" s="9"/>
      <c r="V51" s="12"/>
      <c r="W51" s="9"/>
      <c r="X51" s="9"/>
      <c r="Y51" s="11"/>
      <c r="Z51" s="11"/>
      <c r="AA51" s="2"/>
      <c r="AB51" s="11"/>
      <c r="AC51" s="3"/>
      <c r="AD51" s="11"/>
      <c r="AE51" s="11"/>
      <c r="AF51" s="11"/>
      <c r="AG51" s="11"/>
      <c r="AH51" s="13">
        <f t="shared" si="2"/>
        <v>0</v>
      </c>
      <c r="AI51" s="14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15" t="str">
        <f t="shared" si="3"/>
        <v>一飛</v>
      </c>
      <c r="AK51" s="17"/>
    </row>
    <row r="52" spans="1:37" ht="18" customHeight="1">
      <c r="A52" s="9" t="s">
        <v>58</v>
      </c>
      <c r="B52" s="10" t="s">
        <v>29</v>
      </c>
      <c r="C52" s="11"/>
      <c r="D52" s="11"/>
      <c r="E52" s="11"/>
      <c r="F52" s="2"/>
      <c r="G52" s="11"/>
      <c r="H52" s="2"/>
      <c r="I52" s="11"/>
      <c r="J52" s="11"/>
      <c r="K52" s="11"/>
      <c r="L52" s="11"/>
      <c r="M52" s="2"/>
      <c r="N52" s="11">
        <v>1</v>
      </c>
      <c r="O52" s="12"/>
      <c r="P52" s="9"/>
      <c r="Q52" s="9"/>
      <c r="R52" s="9"/>
      <c r="S52" s="9"/>
      <c r="T52" s="12"/>
      <c r="U52" s="9"/>
      <c r="V52" s="12"/>
      <c r="W52" s="9"/>
      <c r="X52" s="9"/>
      <c r="Y52" s="11"/>
      <c r="Z52" s="11">
        <v>1</v>
      </c>
      <c r="AA52" s="2"/>
      <c r="AB52" s="11"/>
      <c r="AC52" s="3"/>
      <c r="AD52" s="11"/>
      <c r="AE52" s="11"/>
      <c r="AF52" s="11"/>
      <c r="AG52" s="11">
        <v>1</v>
      </c>
      <c r="AH52" s="13">
        <f t="shared" si="2"/>
        <v>3</v>
      </c>
      <c r="AI52" s="14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15" t="str">
        <f t="shared" si="3"/>
        <v>大頭</v>
      </c>
      <c r="AK52" s="17"/>
    </row>
    <row r="53" spans="1:37" ht="18" customHeight="1">
      <c r="A53" s="9" t="s">
        <v>58</v>
      </c>
      <c r="B53" s="10" t="s">
        <v>28</v>
      </c>
      <c r="C53" s="11"/>
      <c r="D53" s="11"/>
      <c r="E53" s="11"/>
      <c r="F53" s="2"/>
      <c r="G53" s="11"/>
      <c r="H53" s="2"/>
      <c r="I53" s="11"/>
      <c r="J53" s="11"/>
      <c r="K53" s="11"/>
      <c r="L53" s="11"/>
      <c r="M53" s="2"/>
      <c r="N53" s="11"/>
      <c r="O53" s="12"/>
      <c r="P53" s="9"/>
      <c r="Q53" s="9"/>
      <c r="R53" s="9"/>
      <c r="S53" s="9"/>
      <c r="T53" s="12"/>
      <c r="U53" s="9"/>
      <c r="V53" s="12"/>
      <c r="W53" s="9"/>
      <c r="X53" s="9"/>
      <c r="Y53" s="11"/>
      <c r="Z53" s="11"/>
      <c r="AA53" s="2"/>
      <c r="AB53" s="11"/>
      <c r="AC53" s="3"/>
      <c r="AD53" s="11"/>
      <c r="AE53" s="11"/>
      <c r="AF53" s="11"/>
      <c r="AG53" s="11"/>
      <c r="AH53" s="13">
        <f t="shared" si="2"/>
        <v>0</v>
      </c>
      <c r="AI53" s="14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15" t="str">
        <f t="shared" si="3"/>
        <v>克勤</v>
      </c>
      <c r="AK53" s="17"/>
    </row>
    <row r="54" spans="1:37" ht="18" customHeight="1">
      <c r="A54" s="9" t="s">
        <v>58</v>
      </c>
      <c r="B54" s="10" t="s">
        <v>85</v>
      </c>
      <c r="C54" s="11"/>
      <c r="D54" s="11"/>
      <c r="E54" s="11"/>
      <c r="F54" s="2"/>
      <c r="G54" s="11"/>
      <c r="H54" s="2"/>
      <c r="I54" s="11"/>
      <c r="J54" s="11"/>
      <c r="K54" s="11"/>
      <c r="L54" s="11"/>
      <c r="M54" s="2"/>
      <c r="N54" s="11"/>
      <c r="O54" s="12"/>
      <c r="P54" s="9"/>
      <c r="Q54" s="9"/>
      <c r="R54" s="9"/>
      <c r="S54" s="9"/>
      <c r="T54" s="12"/>
      <c r="U54" s="9"/>
      <c r="V54" s="12"/>
      <c r="W54" s="9"/>
      <c r="X54" s="9"/>
      <c r="Y54" s="11"/>
      <c r="Z54" s="11"/>
      <c r="AA54" s="2"/>
      <c r="AB54" s="11"/>
      <c r="AC54" s="3"/>
      <c r="AD54" s="11"/>
      <c r="AE54" s="11"/>
      <c r="AF54" s="11"/>
      <c r="AG54" s="11"/>
      <c r="AH54" s="13">
        <f t="shared" si="2"/>
        <v>0</v>
      </c>
      <c r="AI54" s="14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15" t="str">
        <f t="shared" si="3"/>
        <v>阿璽</v>
      </c>
      <c r="AK54" s="17"/>
    </row>
    <row r="55" spans="1:37" ht="18" customHeight="1">
      <c r="A55" s="9" t="s">
        <v>58</v>
      </c>
      <c r="B55" s="10" t="s">
        <v>68</v>
      </c>
      <c r="C55" s="11"/>
      <c r="D55" s="11"/>
      <c r="E55" s="11"/>
      <c r="F55" s="2"/>
      <c r="G55" s="11"/>
      <c r="H55" s="2"/>
      <c r="I55" s="11"/>
      <c r="J55" s="11"/>
      <c r="K55" s="11"/>
      <c r="L55" s="11"/>
      <c r="M55" s="2"/>
      <c r="N55" s="11"/>
      <c r="O55" s="12"/>
      <c r="P55" s="9"/>
      <c r="Q55" s="9"/>
      <c r="R55" s="9"/>
      <c r="S55" s="9">
        <v>1</v>
      </c>
      <c r="T55" s="12"/>
      <c r="U55" s="9"/>
      <c r="V55" s="12"/>
      <c r="W55" s="9"/>
      <c r="X55" s="9"/>
      <c r="Y55" s="11"/>
      <c r="Z55" s="11">
        <v>1</v>
      </c>
      <c r="AA55" s="2"/>
      <c r="AB55" s="11"/>
      <c r="AC55" s="3"/>
      <c r="AD55" s="11"/>
      <c r="AE55" s="11"/>
      <c r="AF55" s="11"/>
      <c r="AG55" s="11">
        <v>1</v>
      </c>
      <c r="AH55" s="13">
        <f t="shared" si="2"/>
        <v>3</v>
      </c>
      <c r="AI55" s="14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15" t="str">
        <f t="shared" si="3"/>
        <v>兔子</v>
      </c>
      <c r="AK55" s="17"/>
    </row>
    <row r="56" spans="1:37" ht="18" customHeight="1">
      <c r="A56" s="9" t="s">
        <v>58</v>
      </c>
      <c r="B56" s="10" t="s">
        <v>178</v>
      </c>
      <c r="C56" s="11"/>
      <c r="D56" s="11"/>
      <c r="E56" s="11"/>
      <c r="F56" s="2"/>
      <c r="G56" s="11">
        <v>1</v>
      </c>
      <c r="H56" s="2"/>
      <c r="I56" s="11"/>
      <c r="J56" s="11"/>
      <c r="K56" s="11">
        <v>1</v>
      </c>
      <c r="L56" s="11"/>
      <c r="M56" s="2"/>
      <c r="N56" s="11">
        <v>1</v>
      </c>
      <c r="O56" s="12"/>
      <c r="P56" s="9"/>
      <c r="Q56" s="9"/>
      <c r="R56" s="9">
        <v>1</v>
      </c>
      <c r="S56" s="9">
        <v>1</v>
      </c>
      <c r="T56" s="12"/>
      <c r="U56" s="9">
        <v>1</v>
      </c>
      <c r="V56" s="12"/>
      <c r="W56" s="9">
        <v>1</v>
      </c>
      <c r="X56" s="9"/>
      <c r="Y56" s="11"/>
      <c r="Z56" s="11">
        <v>1</v>
      </c>
      <c r="AA56" s="2"/>
      <c r="AB56" s="11"/>
      <c r="AC56" s="3"/>
      <c r="AD56" s="11">
        <v>1</v>
      </c>
      <c r="AE56" s="11">
        <v>1</v>
      </c>
      <c r="AF56" s="11"/>
      <c r="AG56" s="11">
        <v>1</v>
      </c>
      <c r="AH56" s="13">
        <f t="shared" si="2"/>
        <v>11</v>
      </c>
      <c r="AI56" s="14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15" t="str">
        <f t="shared" si="3"/>
        <v>Fish</v>
      </c>
      <c r="AK56" s="17"/>
    </row>
    <row r="57" spans="1:37" ht="18" customHeight="1">
      <c r="A57" s="9" t="s">
        <v>58</v>
      </c>
      <c r="B57" s="10" t="s">
        <v>77</v>
      </c>
      <c r="C57" s="11"/>
      <c r="D57" s="11"/>
      <c r="E57" s="11"/>
      <c r="F57" s="2"/>
      <c r="G57" s="11"/>
      <c r="H57" s="2"/>
      <c r="I57" s="11"/>
      <c r="J57" s="11"/>
      <c r="K57" s="11"/>
      <c r="L57" s="11"/>
      <c r="M57" s="2"/>
      <c r="N57" s="11"/>
      <c r="O57" s="12"/>
      <c r="P57" s="9"/>
      <c r="Q57" s="9"/>
      <c r="R57" s="9"/>
      <c r="S57" s="9"/>
      <c r="T57" s="12"/>
      <c r="U57" s="9"/>
      <c r="V57" s="12"/>
      <c r="W57" s="9"/>
      <c r="X57" s="9"/>
      <c r="Y57" s="11"/>
      <c r="Z57" s="11"/>
      <c r="AA57" s="2"/>
      <c r="AB57" s="11"/>
      <c r="AC57" s="3"/>
      <c r="AD57" s="11"/>
      <c r="AE57" s="11"/>
      <c r="AF57" s="11"/>
      <c r="AG57" s="11"/>
      <c r="AH57" s="13">
        <f t="shared" si="2"/>
        <v>0</v>
      </c>
      <c r="AI57" s="14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15" t="str">
        <f t="shared" si="3"/>
        <v>小夫</v>
      </c>
      <c r="AK57" s="17"/>
    </row>
    <row r="58" spans="1:37" ht="18" customHeight="1">
      <c r="A58" s="9" t="s">
        <v>58</v>
      </c>
      <c r="B58" s="10" t="s">
        <v>78</v>
      </c>
      <c r="C58" s="11"/>
      <c r="D58" s="11"/>
      <c r="E58" s="11"/>
      <c r="F58" s="2"/>
      <c r="G58" s="11"/>
      <c r="H58" s="2"/>
      <c r="I58" s="11"/>
      <c r="J58" s="11"/>
      <c r="K58" s="11"/>
      <c r="L58" s="11"/>
      <c r="M58" s="2"/>
      <c r="N58" s="11"/>
      <c r="O58" s="12"/>
      <c r="P58" s="9"/>
      <c r="Q58" s="9"/>
      <c r="R58" s="9"/>
      <c r="S58" s="9"/>
      <c r="T58" s="12"/>
      <c r="U58" s="9"/>
      <c r="V58" s="12"/>
      <c r="W58" s="9"/>
      <c r="X58" s="9"/>
      <c r="Y58" s="11"/>
      <c r="Z58" s="11"/>
      <c r="AA58" s="2"/>
      <c r="AB58" s="11"/>
      <c r="AC58" s="3"/>
      <c r="AD58" s="11"/>
      <c r="AE58" s="11"/>
      <c r="AF58" s="11"/>
      <c r="AG58" s="11"/>
      <c r="AH58" s="13">
        <f t="shared" si="2"/>
        <v>0</v>
      </c>
      <c r="AI58" s="14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15" t="str">
        <f t="shared" si="3"/>
        <v>小邱</v>
      </c>
      <c r="AK58" s="17"/>
    </row>
    <row r="59" spans="1:37" ht="18" customHeight="1">
      <c r="A59" s="9" t="s">
        <v>58</v>
      </c>
      <c r="B59" s="10" t="s">
        <v>79</v>
      </c>
      <c r="C59" s="11"/>
      <c r="D59" s="11"/>
      <c r="E59" s="11"/>
      <c r="F59" s="2"/>
      <c r="G59" s="11"/>
      <c r="H59" s="2"/>
      <c r="I59" s="11"/>
      <c r="J59" s="11"/>
      <c r="K59" s="11"/>
      <c r="L59" s="11"/>
      <c r="M59" s="2"/>
      <c r="N59" s="11"/>
      <c r="O59" s="12"/>
      <c r="P59" s="9"/>
      <c r="Q59" s="9"/>
      <c r="R59" s="9"/>
      <c r="S59" s="9"/>
      <c r="T59" s="12"/>
      <c r="U59" s="9"/>
      <c r="V59" s="12"/>
      <c r="W59" s="9"/>
      <c r="X59" s="9"/>
      <c r="Y59" s="11"/>
      <c r="Z59" s="11"/>
      <c r="AA59" s="2"/>
      <c r="AB59" s="11"/>
      <c r="AC59" s="3"/>
      <c r="AD59" s="11"/>
      <c r="AE59" s="11"/>
      <c r="AF59" s="11"/>
      <c r="AG59" s="11"/>
      <c r="AH59" s="13">
        <f t="shared" si="2"/>
        <v>0</v>
      </c>
      <c r="AI59" s="14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15" t="str">
        <f t="shared" si="3"/>
        <v>淳淳</v>
      </c>
      <c r="AK59" s="17"/>
    </row>
    <row r="60" spans="1:37" ht="18" customHeight="1">
      <c r="A60" s="9" t="s">
        <v>58</v>
      </c>
      <c r="B60" s="10" t="s">
        <v>80</v>
      </c>
      <c r="C60" s="11"/>
      <c r="D60" s="11"/>
      <c r="E60" s="11"/>
      <c r="F60" s="2"/>
      <c r="G60" s="11"/>
      <c r="H60" s="2"/>
      <c r="I60" s="11"/>
      <c r="J60" s="11"/>
      <c r="K60" s="11"/>
      <c r="L60" s="11"/>
      <c r="M60" s="2"/>
      <c r="N60" s="11"/>
      <c r="O60" s="12"/>
      <c r="P60" s="9"/>
      <c r="Q60" s="9"/>
      <c r="R60" s="9"/>
      <c r="S60" s="9"/>
      <c r="T60" s="12"/>
      <c r="U60" s="9"/>
      <c r="V60" s="12"/>
      <c r="W60" s="9"/>
      <c r="X60" s="9"/>
      <c r="Y60" s="11"/>
      <c r="Z60" s="11"/>
      <c r="AA60" s="2"/>
      <c r="AB60" s="11"/>
      <c r="AC60" s="3"/>
      <c r="AD60" s="11"/>
      <c r="AE60" s="11"/>
      <c r="AF60" s="11"/>
      <c r="AG60" s="11"/>
      <c r="AH60" s="13">
        <f t="shared" si="2"/>
        <v>0</v>
      </c>
      <c r="AI60" s="14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15" t="str">
        <f t="shared" si="3"/>
        <v>禿鷹</v>
      </c>
      <c r="AK60" s="17"/>
    </row>
    <row r="61" spans="1:37" ht="18" customHeight="1">
      <c r="A61" s="9" t="s">
        <v>58</v>
      </c>
      <c r="B61" s="10" t="s">
        <v>30</v>
      </c>
      <c r="C61" s="11"/>
      <c r="D61" s="11">
        <v>1</v>
      </c>
      <c r="E61" s="11"/>
      <c r="F61" s="2"/>
      <c r="G61" s="11"/>
      <c r="H61" s="2"/>
      <c r="I61" s="11">
        <v>1</v>
      </c>
      <c r="J61" s="11">
        <v>1</v>
      </c>
      <c r="K61" s="11"/>
      <c r="L61" s="11"/>
      <c r="M61" s="2"/>
      <c r="N61" s="11"/>
      <c r="O61" s="12"/>
      <c r="P61" s="9"/>
      <c r="Q61" s="9">
        <v>1</v>
      </c>
      <c r="R61" s="9"/>
      <c r="S61" s="9"/>
      <c r="T61" s="12"/>
      <c r="U61" s="9"/>
      <c r="V61" s="12"/>
      <c r="W61" s="9">
        <v>1</v>
      </c>
      <c r="X61" s="9"/>
      <c r="Y61" s="11"/>
      <c r="Z61" s="11"/>
      <c r="AA61" s="2"/>
      <c r="AB61" s="11"/>
      <c r="AC61" s="3"/>
      <c r="AD61" s="11">
        <v>1</v>
      </c>
      <c r="AE61" s="11"/>
      <c r="AF61" s="11"/>
      <c r="AG61" s="11"/>
      <c r="AH61" s="13">
        <f t="shared" si="2"/>
        <v>6</v>
      </c>
      <c r="AI61" s="14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15" t="str">
        <f t="shared" si="3"/>
        <v>鯰魚</v>
      </c>
      <c r="AK61" s="17"/>
    </row>
    <row r="62" spans="1:37" ht="18" customHeight="1">
      <c r="A62" s="9" t="s">
        <v>58</v>
      </c>
      <c r="B62" s="10" t="s">
        <v>81</v>
      </c>
      <c r="C62" s="11"/>
      <c r="D62" s="11"/>
      <c r="E62" s="11"/>
      <c r="F62" s="2"/>
      <c r="G62" s="11"/>
      <c r="H62" s="2"/>
      <c r="I62" s="11"/>
      <c r="J62" s="11"/>
      <c r="K62" s="11"/>
      <c r="L62" s="11"/>
      <c r="M62" s="2"/>
      <c r="N62" s="11"/>
      <c r="O62" s="12"/>
      <c r="P62" s="9"/>
      <c r="Q62" s="9"/>
      <c r="R62" s="9"/>
      <c r="S62" s="9"/>
      <c r="T62" s="12"/>
      <c r="U62" s="9"/>
      <c r="V62" s="12"/>
      <c r="W62" s="9"/>
      <c r="X62" s="9"/>
      <c r="Y62" s="11"/>
      <c r="Z62" s="11"/>
      <c r="AA62" s="2"/>
      <c r="AB62" s="11"/>
      <c r="AC62" s="3"/>
      <c r="AD62" s="11"/>
      <c r="AE62" s="11"/>
      <c r="AF62" s="11"/>
      <c r="AG62" s="11"/>
      <c r="AH62" s="13">
        <f t="shared" si="2"/>
        <v>0</v>
      </c>
      <c r="AI62" s="14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15" t="str">
        <f t="shared" si="3"/>
        <v>王宏</v>
      </c>
      <c r="AK62" s="17"/>
    </row>
    <row r="63" spans="1:37" ht="18" customHeight="1">
      <c r="A63" s="9" t="s">
        <v>58</v>
      </c>
      <c r="B63" s="10" t="s">
        <v>76</v>
      </c>
      <c r="C63" s="11"/>
      <c r="D63" s="11"/>
      <c r="E63" s="11"/>
      <c r="F63" s="2"/>
      <c r="G63" s="11"/>
      <c r="H63" s="2"/>
      <c r="I63" s="11"/>
      <c r="J63" s="11"/>
      <c r="K63" s="11"/>
      <c r="L63" s="11"/>
      <c r="M63" s="2"/>
      <c r="N63" s="11"/>
      <c r="O63" s="12"/>
      <c r="P63" s="9"/>
      <c r="Q63" s="9"/>
      <c r="R63" s="9"/>
      <c r="S63" s="9"/>
      <c r="T63" s="12"/>
      <c r="U63" s="9"/>
      <c r="V63" s="12"/>
      <c r="W63" s="9"/>
      <c r="X63" s="9"/>
      <c r="Y63" s="11"/>
      <c r="Z63" s="11"/>
      <c r="AA63" s="2"/>
      <c r="AB63" s="11"/>
      <c r="AC63" s="3"/>
      <c r="AD63" s="11"/>
      <c r="AE63" s="11"/>
      <c r="AF63" s="11"/>
      <c r="AG63" s="11"/>
      <c r="AH63" s="13">
        <f t="shared" si="2"/>
        <v>0</v>
      </c>
      <c r="AI63" s="14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15" t="str">
        <f t="shared" si="3"/>
        <v>肥肥</v>
      </c>
      <c r="AK63" s="17"/>
    </row>
    <row r="64" spans="1:37" ht="18" customHeight="1">
      <c r="A64" s="9" t="s">
        <v>58</v>
      </c>
      <c r="B64" s="10" t="s">
        <v>74</v>
      </c>
      <c r="C64" s="11"/>
      <c r="D64" s="11"/>
      <c r="E64" s="11"/>
      <c r="F64" s="2"/>
      <c r="G64" s="11"/>
      <c r="H64" s="2"/>
      <c r="I64" s="11"/>
      <c r="J64" s="11"/>
      <c r="K64" s="11"/>
      <c r="L64" s="11"/>
      <c r="M64" s="2"/>
      <c r="N64" s="11"/>
      <c r="O64" s="12"/>
      <c r="P64" s="9"/>
      <c r="Q64" s="9"/>
      <c r="R64" s="9"/>
      <c r="S64" s="9">
        <v>1</v>
      </c>
      <c r="T64" s="12"/>
      <c r="U64" s="9"/>
      <c r="V64" s="12"/>
      <c r="W64" s="9"/>
      <c r="X64" s="9"/>
      <c r="Y64" s="11"/>
      <c r="Z64" s="11">
        <v>1</v>
      </c>
      <c r="AA64" s="2"/>
      <c r="AB64" s="11"/>
      <c r="AC64" s="3"/>
      <c r="AD64" s="11">
        <v>1</v>
      </c>
      <c r="AE64" s="11"/>
      <c r="AF64" s="11"/>
      <c r="AG64" s="11">
        <v>1</v>
      </c>
      <c r="AH64" s="13">
        <f t="shared" si="2"/>
        <v>4</v>
      </c>
      <c r="AI64" s="14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15" t="str">
        <f t="shared" si="3"/>
        <v>蘆葦</v>
      </c>
      <c r="AK64" s="17"/>
    </row>
    <row r="65" spans="1:37" ht="18" customHeight="1">
      <c r="A65" s="9" t="s">
        <v>58</v>
      </c>
      <c r="B65" s="10" t="s">
        <v>82</v>
      </c>
      <c r="C65" s="11"/>
      <c r="D65" s="11"/>
      <c r="E65" s="11"/>
      <c r="F65" s="2"/>
      <c r="G65" s="11"/>
      <c r="H65" s="2"/>
      <c r="I65" s="11"/>
      <c r="J65" s="11"/>
      <c r="K65" s="11"/>
      <c r="L65" s="11"/>
      <c r="M65" s="2"/>
      <c r="N65" s="11"/>
      <c r="O65" s="12"/>
      <c r="P65" s="9"/>
      <c r="Q65" s="9"/>
      <c r="R65" s="9"/>
      <c r="S65" s="9"/>
      <c r="T65" s="12"/>
      <c r="U65" s="9"/>
      <c r="V65" s="12"/>
      <c r="W65" s="9"/>
      <c r="X65" s="9"/>
      <c r="Y65" s="11"/>
      <c r="Z65" s="11"/>
      <c r="AA65" s="2"/>
      <c r="AB65" s="11"/>
      <c r="AC65" s="3"/>
      <c r="AD65" s="11"/>
      <c r="AE65" s="11"/>
      <c r="AF65" s="11"/>
      <c r="AG65" s="11"/>
      <c r="AH65" s="13">
        <f t="shared" si="2"/>
        <v>0</v>
      </c>
      <c r="AI65" s="14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15" t="str">
        <f t="shared" si="3"/>
        <v>犀牛</v>
      </c>
      <c r="AK65" s="17"/>
    </row>
    <row r="66" spans="1:37" ht="18" customHeight="1">
      <c r="A66" s="9" t="s">
        <v>58</v>
      </c>
      <c r="B66" s="10" t="s">
        <v>83</v>
      </c>
      <c r="C66" s="11"/>
      <c r="D66" s="11"/>
      <c r="E66" s="11"/>
      <c r="F66" s="2"/>
      <c r="G66" s="11"/>
      <c r="H66" s="2"/>
      <c r="I66" s="11"/>
      <c r="J66" s="11"/>
      <c r="K66" s="11"/>
      <c r="L66" s="11"/>
      <c r="M66" s="2"/>
      <c r="N66" s="11"/>
      <c r="O66" s="12"/>
      <c r="P66" s="9"/>
      <c r="Q66" s="9"/>
      <c r="R66" s="9"/>
      <c r="S66" s="9"/>
      <c r="T66" s="12"/>
      <c r="U66" s="9"/>
      <c r="V66" s="12"/>
      <c r="W66" s="9"/>
      <c r="X66" s="9"/>
      <c r="Y66" s="11"/>
      <c r="Z66" s="11"/>
      <c r="AA66" s="2"/>
      <c r="AB66" s="11"/>
      <c r="AC66" s="3"/>
      <c r="AD66" s="11"/>
      <c r="AE66" s="11"/>
      <c r="AF66" s="11"/>
      <c r="AG66" s="11"/>
      <c r="AH66" s="13">
        <f t="shared" si="2"/>
        <v>0</v>
      </c>
      <c r="AI66" s="14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15" t="str">
        <f t="shared" si="3"/>
        <v>來福</v>
      </c>
      <c r="AK66" s="17"/>
    </row>
    <row r="67" spans="1:37" ht="18" customHeight="1">
      <c r="A67" s="9" t="s">
        <v>58</v>
      </c>
      <c r="B67" s="10" t="s">
        <v>27</v>
      </c>
      <c r="C67" s="11"/>
      <c r="D67" s="11"/>
      <c r="E67" s="11"/>
      <c r="F67" s="2"/>
      <c r="G67" s="11">
        <v>1</v>
      </c>
      <c r="H67" s="2"/>
      <c r="I67" s="11"/>
      <c r="J67" s="11"/>
      <c r="K67" s="11"/>
      <c r="L67" s="11"/>
      <c r="M67" s="2"/>
      <c r="N67" s="11"/>
      <c r="O67" s="12"/>
      <c r="P67" s="9"/>
      <c r="Q67" s="9"/>
      <c r="R67" s="9"/>
      <c r="S67" s="9"/>
      <c r="T67" s="12"/>
      <c r="U67" s="9"/>
      <c r="V67" s="12"/>
      <c r="W67" s="9"/>
      <c r="X67" s="9"/>
      <c r="Y67" s="11"/>
      <c r="Z67" s="11"/>
      <c r="AA67" s="2"/>
      <c r="AB67" s="11"/>
      <c r="AC67" s="3"/>
      <c r="AD67" s="11"/>
      <c r="AE67" s="11"/>
      <c r="AF67" s="11"/>
      <c r="AG67" s="11"/>
      <c r="AH67" s="13">
        <f t="shared" si="2"/>
        <v>1</v>
      </c>
      <c r="AI67" s="14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15" t="str">
        <f t="shared" si="3"/>
        <v>芋圓</v>
      </c>
      <c r="AK67" s="17"/>
    </row>
    <row r="68" spans="1:37" ht="18" customHeight="1">
      <c r="A68" s="9" t="s">
        <v>58</v>
      </c>
      <c r="B68" s="10" t="s">
        <v>84</v>
      </c>
      <c r="C68" s="11"/>
      <c r="D68" s="11"/>
      <c r="E68" s="11"/>
      <c r="F68" s="2"/>
      <c r="G68" s="11"/>
      <c r="H68" s="2"/>
      <c r="I68" s="11"/>
      <c r="J68" s="11"/>
      <c r="K68" s="11"/>
      <c r="L68" s="11"/>
      <c r="M68" s="2"/>
      <c r="N68" s="11"/>
      <c r="O68" s="12"/>
      <c r="P68" s="9"/>
      <c r="Q68" s="9"/>
      <c r="R68" s="9"/>
      <c r="S68" s="9"/>
      <c r="T68" s="12"/>
      <c r="U68" s="9"/>
      <c r="V68" s="12"/>
      <c r="W68" s="9"/>
      <c r="X68" s="9"/>
      <c r="Y68" s="11"/>
      <c r="Z68" s="11"/>
      <c r="AA68" s="2"/>
      <c r="AB68" s="11"/>
      <c r="AC68" s="3"/>
      <c r="AD68" s="11"/>
      <c r="AE68" s="11"/>
      <c r="AF68" s="11"/>
      <c r="AG68" s="11"/>
      <c r="AH68" s="13">
        <f t="shared" ref="AH68:AH99" si="4">COUNTA(C68:AG68)</f>
        <v>0</v>
      </c>
      <c r="AI68" s="14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15" t="str">
        <f t="shared" ref="AJ68:AJ99" si="5">B68</f>
        <v>誌誌</v>
      </c>
      <c r="AK68" s="17"/>
    </row>
    <row r="69" spans="1:37" ht="18" customHeight="1">
      <c r="A69" s="9" t="s">
        <v>58</v>
      </c>
      <c r="B69" s="10" t="s">
        <v>86</v>
      </c>
      <c r="C69" s="11"/>
      <c r="D69" s="11"/>
      <c r="E69" s="11"/>
      <c r="F69" s="2"/>
      <c r="G69" s="11"/>
      <c r="H69" s="2"/>
      <c r="I69" s="11"/>
      <c r="J69" s="11"/>
      <c r="K69" s="11"/>
      <c r="L69" s="11"/>
      <c r="M69" s="2"/>
      <c r="N69" s="11"/>
      <c r="O69" s="12"/>
      <c r="P69" s="9"/>
      <c r="Q69" s="9"/>
      <c r="R69" s="9"/>
      <c r="S69" s="9"/>
      <c r="T69" s="12"/>
      <c r="U69" s="9"/>
      <c r="V69" s="12"/>
      <c r="W69" s="9"/>
      <c r="X69" s="9"/>
      <c r="Y69" s="11"/>
      <c r="Z69" s="11"/>
      <c r="AA69" s="2"/>
      <c r="AB69" s="11"/>
      <c r="AC69" s="3"/>
      <c r="AD69" s="11"/>
      <c r="AE69" s="11"/>
      <c r="AF69" s="11"/>
      <c r="AG69" s="11"/>
      <c r="AH69" s="13">
        <f t="shared" si="4"/>
        <v>0</v>
      </c>
      <c r="AI69" s="14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15" t="str">
        <f t="shared" si="5"/>
        <v>正誼</v>
      </c>
      <c r="AK69" s="17"/>
    </row>
    <row r="70" spans="1:37" ht="18" customHeight="1">
      <c r="A70" s="9" t="s">
        <v>58</v>
      </c>
      <c r="B70" s="10" t="s">
        <v>32</v>
      </c>
      <c r="C70" s="11"/>
      <c r="D70" s="11"/>
      <c r="E70" s="11"/>
      <c r="F70" s="2"/>
      <c r="G70" s="11"/>
      <c r="H70" s="2"/>
      <c r="I70" s="11"/>
      <c r="J70" s="11"/>
      <c r="K70" s="11"/>
      <c r="L70" s="11"/>
      <c r="M70" s="2"/>
      <c r="N70" s="11"/>
      <c r="O70" s="12"/>
      <c r="P70" s="9"/>
      <c r="Q70" s="9"/>
      <c r="R70" s="9"/>
      <c r="S70" s="9"/>
      <c r="T70" s="12"/>
      <c r="U70" s="9"/>
      <c r="V70" s="12"/>
      <c r="W70" s="9"/>
      <c r="X70" s="9"/>
      <c r="Y70" s="11"/>
      <c r="Z70" s="11"/>
      <c r="AA70" s="2"/>
      <c r="AB70" s="11"/>
      <c r="AC70" s="3"/>
      <c r="AD70" s="11"/>
      <c r="AE70" s="11"/>
      <c r="AF70" s="11"/>
      <c r="AG70" s="11"/>
      <c r="AH70" s="13">
        <f t="shared" si="4"/>
        <v>0</v>
      </c>
      <c r="AI70" s="14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15" t="str">
        <f t="shared" si="5"/>
        <v>小翔</v>
      </c>
      <c r="AK70" s="17"/>
    </row>
    <row r="71" spans="1:37" ht="18" customHeight="1">
      <c r="A71" s="9" t="s">
        <v>58</v>
      </c>
      <c r="B71" s="10" t="s">
        <v>66</v>
      </c>
      <c r="C71" s="11"/>
      <c r="D71" s="11"/>
      <c r="E71" s="11"/>
      <c r="F71" s="2"/>
      <c r="G71" s="11"/>
      <c r="H71" s="2"/>
      <c r="I71" s="11"/>
      <c r="J71" s="11"/>
      <c r="K71" s="11"/>
      <c r="L71" s="11"/>
      <c r="M71" s="2"/>
      <c r="N71" s="11"/>
      <c r="O71" s="12"/>
      <c r="P71" s="9"/>
      <c r="Q71" s="9"/>
      <c r="R71" s="9"/>
      <c r="S71" s="9"/>
      <c r="T71" s="12"/>
      <c r="U71" s="9"/>
      <c r="V71" s="12"/>
      <c r="W71" s="9"/>
      <c r="X71" s="9"/>
      <c r="Y71" s="11"/>
      <c r="Z71" s="11"/>
      <c r="AA71" s="2"/>
      <c r="AB71" s="11"/>
      <c r="AC71" s="3"/>
      <c r="AD71" s="11"/>
      <c r="AE71" s="11">
        <v>1</v>
      </c>
      <c r="AF71" s="11"/>
      <c r="AG71" s="11"/>
      <c r="AH71" s="13">
        <f t="shared" si="4"/>
        <v>1</v>
      </c>
      <c r="AI71" s="14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15" t="str">
        <f t="shared" si="5"/>
        <v>昆佑</v>
      </c>
      <c r="AK71" s="17"/>
    </row>
    <row r="72" spans="1:37" ht="18" customHeight="1">
      <c r="A72" s="9" t="s">
        <v>58</v>
      </c>
      <c r="B72" s="10" t="s">
        <v>179</v>
      </c>
      <c r="C72" s="11"/>
      <c r="D72" s="11"/>
      <c r="E72" s="11"/>
      <c r="F72" s="2"/>
      <c r="G72" s="11"/>
      <c r="H72" s="2"/>
      <c r="I72" s="11"/>
      <c r="J72" s="11"/>
      <c r="K72" s="11"/>
      <c r="L72" s="11"/>
      <c r="M72" s="2"/>
      <c r="N72" s="11"/>
      <c r="O72" s="12"/>
      <c r="P72" s="9"/>
      <c r="Q72" s="9"/>
      <c r="R72" s="9"/>
      <c r="S72" s="9"/>
      <c r="T72" s="12"/>
      <c r="U72" s="9"/>
      <c r="V72" s="12"/>
      <c r="W72" s="9"/>
      <c r="X72" s="9"/>
      <c r="Y72" s="11"/>
      <c r="Z72" s="11"/>
      <c r="AA72" s="2"/>
      <c r="AB72" s="11"/>
      <c r="AC72" s="3"/>
      <c r="AD72" s="11"/>
      <c r="AE72" s="11"/>
      <c r="AF72" s="11"/>
      <c r="AG72" s="11"/>
      <c r="AH72" s="13">
        <f t="shared" si="4"/>
        <v>0</v>
      </c>
      <c r="AI72" s="14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15" t="str">
        <f t="shared" si="5"/>
        <v>玹玹</v>
      </c>
      <c r="AK72" s="17"/>
    </row>
    <row r="73" spans="1:37" ht="18" customHeight="1">
      <c r="A73" s="9" t="s">
        <v>58</v>
      </c>
      <c r="B73" s="10" t="s">
        <v>70</v>
      </c>
      <c r="C73" s="11"/>
      <c r="D73" s="11"/>
      <c r="E73" s="11"/>
      <c r="F73" s="2"/>
      <c r="G73" s="11"/>
      <c r="H73" s="2"/>
      <c r="I73" s="11"/>
      <c r="J73" s="11"/>
      <c r="K73" s="11"/>
      <c r="L73" s="11"/>
      <c r="M73" s="2"/>
      <c r="N73" s="11"/>
      <c r="O73" s="12"/>
      <c r="P73" s="9"/>
      <c r="Q73" s="9"/>
      <c r="R73" s="9"/>
      <c r="S73" s="9">
        <v>1</v>
      </c>
      <c r="T73" s="12"/>
      <c r="U73" s="9"/>
      <c r="V73" s="12"/>
      <c r="W73" s="9"/>
      <c r="X73" s="9"/>
      <c r="Y73" s="11"/>
      <c r="Z73" s="11">
        <v>1</v>
      </c>
      <c r="AA73" s="2"/>
      <c r="AB73" s="11"/>
      <c r="AC73" s="3"/>
      <c r="AD73" s="11"/>
      <c r="AE73" s="11"/>
      <c r="AF73" s="11"/>
      <c r="AG73" s="11">
        <v>1</v>
      </c>
      <c r="AH73" s="13">
        <f t="shared" si="4"/>
        <v>3</v>
      </c>
      <c r="AI73" s="14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15" t="str">
        <f t="shared" si="5"/>
        <v>Allen</v>
      </c>
      <c r="AK73" s="17"/>
    </row>
    <row r="74" spans="1:37" ht="18" customHeight="1">
      <c r="A74" s="9" t="s">
        <v>58</v>
      </c>
      <c r="B74" s="10" t="s">
        <v>25</v>
      </c>
      <c r="C74" s="11"/>
      <c r="D74" s="11">
        <v>1</v>
      </c>
      <c r="E74" s="11"/>
      <c r="F74" s="2"/>
      <c r="G74" s="11"/>
      <c r="H74" s="2"/>
      <c r="I74" s="11">
        <v>1</v>
      </c>
      <c r="J74" s="11"/>
      <c r="K74" s="11">
        <v>1</v>
      </c>
      <c r="L74" s="11"/>
      <c r="M74" s="2"/>
      <c r="N74" s="11">
        <v>1</v>
      </c>
      <c r="O74" s="12"/>
      <c r="P74" s="9"/>
      <c r="Q74" s="9"/>
      <c r="R74" s="9"/>
      <c r="S74" s="9"/>
      <c r="T74" s="12"/>
      <c r="U74" s="9"/>
      <c r="V74" s="12"/>
      <c r="W74" s="9"/>
      <c r="X74" s="9"/>
      <c r="Y74" s="11"/>
      <c r="Z74" s="11">
        <v>1</v>
      </c>
      <c r="AA74" s="2"/>
      <c r="AB74" s="11">
        <v>1</v>
      </c>
      <c r="AC74" s="3"/>
      <c r="AD74" s="11">
        <v>1</v>
      </c>
      <c r="AE74" s="11"/>
      <c r="AF74" s="11"/>
      <c r="AG74" s="11"/>
      <c r="AH74" s="13">
        <f t="shared" si="4"/>
        <v>7</v>
      </c>
      <c r="AI74" s="14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15" t="str">
        <f t="shared" si="5"/>
        <v>潘潘</v>
      </c>
      <c r="AK74" s="17"/>
    </row>
    <row r="75" spans="1:37" ht="18" customHeight="1">
      <c r="A75" s="9" t="s">
        <v>58</v>
      </c>
      <c r="B75" s="10" t="s">
        <v>59</v>
      </c>
      <c r="C75" s="11"/>
      <c r="D75" s="11">
        <v>1</v>
      </c>
      <c r="E75" s="11"/>
      <c r="F75" s="2"/>
      <c r="G75" s="11"/>
      <c r="H75" s="2"/>
      <c r="I75" s="11">
        <v>1</v>
      </c>
      <c r="J75" s="11"/>
      <c r="K75" s="11">
        <v>1</v>
      </c>
      <c r="L75" s="11"/>
      <c r="M75" s="2"/>
      <c r="N75" s="11">
        <v>1</v>
      </c>
      <c r="O75" s="12"/>
      <c r="P75" s="9"/>
      <c r="Q75" s="9"/>
      <c r="R75" s="9"/>
      <c r="S75" s="9"/>
      <c r="T75" s="12"/>
      <c r="U75" s="9"/>
      <c r="V75" s="12"/>
      <c r="W75" s="9">
        <v>1</v>
      </c>
      <c r="X75" s="9"/>
      <c r="Y75" s="11"/>
      <c r="Z75" s="11"/>
      <c r="AA75" s="2"/>
      <c r="AB75" s="11"/>
      <c r="AC75" s="3"/>
      <c r="AD75" s="11"/>
      <c r="AE75" s="11"/>
      <c r="AF75" s="11"/>
      <c r="AG75" s="11"/>
      <c r="AH75" s="13">
        <f t="shared" si="4"/>
        <v>5</v>
      </c>
      <c r="AI75" s="14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15" t="str">
        <f t="shared" si="5"/>
        <v>阿幹</v>
      </c>
      <c r="AK75" s="17"/>
    </row>
    <row r="76" spans="1:37" ht="18" customHeight="1">
      <c r="A76" s="9" t="s">
        <v>58</v>
      </c>
      <c r="B76" s="10" t="s">
        <v>63</v>
      </c>
      <c r="C76" s="11"/>
      <c r="D76" s="11">
        <v>1</v>
      </c>
      <c r="E76" s="11"/>
      <c r="F76" s="2"/>
      <c r="G76" s="11"/>
      <c r="H76" s="2"/>
      <c r="I76" s="11">
        <v>1</v>
      </c>
      <c r="J76" s="11"/>
      <c r="K76" s="11">
        <v>1</v>
      </c>
      <c r="L76" s="11"/>
      <c r="M76" s="2"/>
      <c r="N76" s="11"/>
      <c r="O76" s="12"/>
      <c r="P76" s="9"/>
      <c r="Q76" s="9"/>
      <c r="R76" s="9"/>
      <c r="S76" s="9"/>
      <c r="T76" s="12"/>
      <c r="U76" s="9"/>
      <c r="V76" s="12"/>
      <c r="W76" s="9"/>
      <c r="X76" s="9"/>
      <c r="Y76" s="11"/>
      <c r="Z76" s="11"/>
      <c r="AA76" s="2"/>
      <c r="AB76" s="11"/>
      <c r="AC76" s="3"/>
      <c r="AD76" s="11"/>
      <c r="AE76" s="11"/>
      <c r="AF76" s="11"/>
      <c r="AG76" s="11"/>
      <c r="AH76" s="13">
        <f t="shared" si="4"/>
        <v>3</v>
      </c>
      <c r="AI76" s="14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15" t="str">
        <f t="shared" si="5"/>
        <v>芒果</v>
      </c>
      <c r="AK76" s="17"/>
    </row>
    <row r="77" spans="1:37" ht="18" customHeight="1">
      <c r="A77" s="9" t="s">
        <v>58</v>
      </c>
      <c r="B77" s="10" t="s">
        <v>22</v>
      </c>
      <c r="C77" s="11"/>
      <c r="D77" s="11">
        <v>1</v>
      </c>
      <c r="E77" s="11">
        <v>1</v>
      </c>
      <c r="F77" s="2"/>
      <c r="G77" s="11">
        <v>1</v>
      </c>
      <c r="H77" s="2"/>
      <c r="I77" s="11">
        <v>1</v>
      </c>
      <c r="J77" s="11">
        <v>1</v>
      </c>
      <c r="K77" s="11">
        <v>1</v>
      </c>
      <c r="L77" s="11"/>
      <c r="M77" s="2"/>
      <c r="N77" s="11">
        <v>1</v>
      </c>
      <c r="O77" s="12"/>
      <c r="P77" s="9">
        <v>1</v>
      </c>
      <c r="Q77" s="9">
        <v>1</v>
      </c>
      <c r="R77" s="9">
        <v>1</v>
      </c>
      <c r="S77" s="9">
        <v>1</v>
      </c>
      <c r="T77" s="12"/>
      <c r="U77" s="9">
        <v>1</v>
      </c>
      <c r="V77" s="12"/>
      <c r="W77" s="9">
        <v>1</v>
      </c>
      <c r="X77" s="9"/>
      <c r="Y77" s="11"/>
      <c r="Z77" s="11">
        <v>1</v>
      </c>
      <c r="AA77" s="2"/>
      <c r="AB77" s="11">
        <v>1</v>
      </c>
      <c r="AC77" s="3"/>
      <c r="AD77" s="11">
        <v>1</v>
      </c>
      <c r="AE77" s="11">
        <v>1</v>
      </c>
      <c r="AF77" s="11">
        <v>1</v>
      </c>
      <c r="AG77" s="11">
        <v>1</v>
      </c>
      <c r="AH77" s="13">
        <f t="shared" si="4"/>
        <v>19</v>
      </c>
      <c r="AI77" s="14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15" t="str">
        <f t="shared" si="5"/>
        <v>Mars</v>
      </c>
      <c r="AK77" s="17"/>
    </row>
    <row r="78" spans="1:37" ht="18" customHeight="1">
      <c r="A78" s="9" t="s">
        <v>58</v>
      </c>
      <c r="B78" s="10" t="s">
        <v>196</v>
      </c>
      <c r="C78" s="11"/>
      <c r="D78" s="11"/>
      <c r="E78" s="11"/>
      <c r="F78" s="2"/>
      <c r="G78" s="11"/>
      <c r="H78" s="2"/>
      <c r="I78" s="11"/>
      <c r="J78" s="11"/>
      <c r="K78" s="11"/>
      <c r="L78" s="11"/>
      <c r="M78" s="2"/>
      <c r="N78" s="11"/>
      <c r="O78" s="12"/>
      <c r="P78" s="9"/>
      <c r="Q78" s="9"/>
      <c r="R78" s="9"/>
      <c r="S78" s="9"/>
      <c r="T78" s="12"/>
      <c r="U78" s="9"/>
      <c r="V78" s="12"/>
      <c r="W78" s="9"/>
      <c r="X78" s="9"/>
      <c r="Y78" s="11"/>
      <c r="Z78" s="11"/>
      <c r="AA78" s="2"/>
      <c r="AB78" s="11"/>
      <c r="AC78" s="3"/>
      <c r="AD78" s="11">
        <v>1</v>
      </c>
      <c r="AE78" s="11"/>
      <c r="AF78" s="11"/>
      <c r="AG78" s="11"/>
      <c r="AH78" s="13">
        <f t="shared" si="4"/>
        <v>1</v>
      </c>
      <c r="AI78" s="14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15" t="str">
        <f t="shared" si="5"/>
        <v>Talus</v>
      </c>
      <c r="AK78" s="17"/>
    </row>
    <row r="79" spans="1:37" ht="18" customHeight="1">
      <c r="A79" s="18" t="s">
        <v>58</v>
      </c>
      <c r="B79" s="19" t="s">
        <v>152</v>
      </c>
      <c r="C79" s="20"/>
      <c r="D79" s="20"/>
      <c r="E79" s="20"/>
      <c r="F79" s="2"/>
      <c r="G79" s="20"/>
      <c r="H79" s="2"/>
      <c r="I79" s="20"/>
      <c r="J79" s="20"/>
      <c r="K79" s="20"/>
      <c r="L79" s="20"/>
      <c r="M79" s="2"/>
      <c r="N79" s="20"/>
      <c r="O79" s="12"/>
      <c r="P79" s="18">
        <v>1</v>
      </c>
      <c r="Q79" s="18"/>
      <c r="R79" s="18"/>
      <c r="S79" s="18"/>
      <c r="T79" s="12"/>
      <c r="U79" s="18"/>
      <c r="V79" s="12"/>
      <c r="W79" s="18"/>
      <c r="X79" s="18"/>
      <c r="Y79" s="20"/>
      <c r="Z79" s="20"/>
      <c r="AA79" s="2"/>
      <c r="AB79" s="20"/>
      <c r="AC79" s="3"/>
      <c r="AD79" s="20"/>
      <c r="AE79" s="20"/>
      <c r="AF79" s="20"/>
      <c r="AG79" s="20"/>
      <c r="AH79" s="21">
        <f t="shared" si="4"/>
        <v>1</v>
      </c>
      <c r="AI79" s="22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23" t="str">
        <f t="shared" si="5"/>
        <v>阿俗</v>
      </c>
      <c r="AK79" s="25"/>
    </row>
    <row r="80" spans="1:37" ht="18" customHeight="1">
      <c r="A80" s="18" t="s">
        <v>58</v>
      </c>
      <c r="B80" s="19" t="s">
        <v>151</v>
      </c>
      <c r="C80" s="20"/>
      <c r="D80" s="20"/>
      <c r="E80" s="20"/>
      <c r="F80" s="2"/>
      <c r="G80" s="20"/>
      <c r="H80" s="2"/>
      <c r="I80" s="20">
        <v>1</v>
      </c>
      <c r="J80" s="20"/>
      <c r="K80" s="20">
        <v>1</v>
      </c>
      <c r="L80" s="20"/>
      <c r="M80" s="2"/>
      <c r="N80" s="20"/>
      <c r="O80" s="12"/>
      <c r="P80" s="18"/>
      <c r="Q80" s="18"/>
      <c r="R80" s="18"/>
      <c r="S80" s="18">
        <v>1</v>
      </c>
      <c r="T80" s="12"/>
      <c r="U80" s="18"/>
      <c r="V80" s="12"/>
      <c r="W80" s="18"/>
      <c r="X80" s="18"/>
      <c r="Y80" s="20"/>
      <c r="Z80" s="20">
        <v>1</v>
      </c>
      <c r="AA80" s="2"/>
      <c r="AB80" s="20"/>
      <c r="AC80" s="3"/>
      <c r="AD80" s="20">
        <v>1</v>
      </c>
      <c r="AE80" s="20"/>
      <c r="AF80" s="20"/>
      <c r="AG80" s="20">
        <v>1</v>
      </c>
      <c r="AH80" s="21">
        <f t="shared" si="4"/>
        <v>6</v>
      </c>
      <c r="AI80" s="22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23" t="str">
        <f t="shared" si="5"/>
        <v>宇嬅</v>
      </c>
      <c r="AK80" s="25"/>
    </row>
    <row r="81" spans="1:37" ht="18" customHeight="1">
      <c r="A81" s="18" t="s">
        <v>58</v>
      </c>
      <c r="B81" s="19" t="s">
        <v>153</v>
      </c>
      <c r="C81" s="20"/>
      <c r="D81" s="20"/>
      <c r="E81" s="20"/>
      <c r="F81" s="2"/>
      <c r="G81" s="20"/>
      <c r="H81" s="2"/>
      <c r="I81" s="20"/>
      <c r="J81" s="20"/>
      <c r="K81" s="20"/>
      <c r="L81" s="20"/>
      <c r="M81" s="2"/>
      <c r="N81" s="20">
        <v>1</v>
      </c>
      <c r="O81" s="12"/>
      <c r="P81" s="18"/>
      <c r="Q81" s="18">
        <v>1</v>
      </c>
      <c r="R81" s="18"/>
      <c r="S81" s="18">
        <v>1</v>
      </c>
      <c r="T81" s="12"/>
      <c r="U81" s="18">
        <v>1</v>
      </c>
      <c r="V81" s="12"/>
      <c r="W81" s="18">
        <v>1</v>
      </c>
      <c r="X81" s="18"/>
      <c r="Y81" s="20"/>
      <c r="Z81" s="20">
        <v>1</v>
      </c>
      <c r="AA81" s="2"/>
      <c r="AB81" s="20"/>
      <c r="AC81" s="3"/>
      <c r="AD81" s="20"/>
      <c r="AE81" s="20"/>
      <c r="AF81" s="20"/>
      <c r="AG81" s="20">
        <v>1</v>
      </c>
      <c r="AH81" s="21">
        <f t="shared" si="4"/>
        <v>7</v>
      </c>
      <c r="AI81" s="22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23" t="str">
        <f t="shared" si="5"/>
        <v>傻妹</v>
      </c>
      <c r="AK81" s="25"/>
    </row>
    <row r="82" spans="1:37" ht="18" customHeight="1">
      <c r="A82" s="18" t="s">
        <v>58</v>
      </c>
      <c r="B82" s="19" t="s">
        <v>96</v>
      </c>
      <c r="C82" s="20"/>
      <c r="D82" s="20"/>
      <c r="E82" s="20"/>
      <c r="F82" s="2"/>
      <c r="G82" s="20"/>
      <c r="H82" s="2"/>
      <c r="I82" s="20">
        <v>1</v>
      </c>
      <c r="J82" s="20"/>
      <c r="K82" s="20"/>
      <c r="L82" s="20"/>
      <c r="M82" s="2"/>
      <c r="N82" s="20"/>
      <c r="O82" s="12"/>
      <c r="P82" s="18"/>
      <c r="Q82" s="18"/>
      <c r="R82" s="18"/>
      <c r="S82" s="18"/>
      <c r="T82" s="12"/>
      <c r="U82" s="18"/>
      <c r="V82" s="12"/>
      <c r="W82" s="18"/>
      <c r="X82" s="18"/>
      <c r="Y82" s="20"/>
      <c r="Z82" s="20"/>
      <c r="AA82" s="2"/>
      <c r="AB82" s="20"/>
      <c r="AC82" s="3"/>
      <c r="AD82" s="20"/>
      <c r="AE82" s="20"/>
      <c r="AF82" s="20"/>
      <c r="AG82" s="20"/>
      <c r="AH82" s="21">
        <f t="shared" si="4"/>
        <v>1</v>
      </c>
      <c r="AI82" s="22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23" t="str">
        <f t="shared" si="5"/>
        <v>靜婷</v>
      </c>
      <c r="AK82" s="25"/>
    </row>
    <row r="83" spans="1:37" ht="18" customHeight="1">
      <c r="A83" s="18" t="s">
        <v>58</v>
      </c>
      <c r="B83" s="19" t="s">
        <v>92</v>
      </c>
      <c r="C83" s="20"/>
      <c r="D83" s="20"/>
      <c r="E83" s="20"/>
      <c r="F83" s="2"/>
      <c r="G83" s="20"/>
      <c r="H83" s="2"/>
      <c r="I83" s="20">
        <v>1</v>
      </c>
      <c r="J83" s="20"/>
      <c r="K83" s="20"/>
      <c r="L83" s="20"/>
      <c r="M83" s="2"/>
      <c r="N83" s="20"/>
      <c r="O83" s="12"/>
      <c r="P83" s="18">
        <v>1</v>
      </c>
      <c r="Q83" s="18">
        <v>1</v>
      </c>
      <c r="R83" s="18"/>
      <c r="S83" s="18"/>
      <c r="T83" s="12"/>
      <c r="U83" s="18"/>
      <c r="V83" s="12"/>
      <c r="W83" s="18"/>
      <c r="X83" s="18"/>
      <c r="Y83" s="20"/>
      <c r="Z83" s="20"/>
      <c r="AA83" s="2"/>
      <c r="AB83" s="20"/>
      <c r="AC83" s="3"/>
      <c r="AD83" s="20">
        <v>1</v>
      </c>
      <c r="AE83" s="20"/>
      <c r="AF83" s="20"/>
      <c r="AG83" s="20"/>
      <c r="AH83" s="21">
        <f t="shared" si="4"/>
        <v>4</v>
      </c>
      <c r="AI83" s="22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23" t="str">
        <f t="shared" si="5"/>
        <v>婉晴</v>
      </c>
      <c r="AK83" s="25"/>
    </row>
    <row r="84" spans="1:37" ht="18" customHeight="1">
      <c r="A84" s="18" t="s">
        <v>58</v>
      </c>
      <c r="B84" s="19" t="s">
        <v>197</v>
      </c>
      <c r="C84" s="20"/>
      <c r="D84" s="20">
        <v>1</v>
      </c>
      <c r="E84" s="20">
        <v>1</v>
      </c>
      <c r="F84" s="2"/>
      <c r="G84" s="20">
        <v>1</v>
      </c>
      <c r="H84" s="2"/>
      <c r="I84" s="20">
        <v>1</v>
      </c>
      <c r="J84" s="20"/>
      <c r="K84" s="20"/>
      <c r="L84" s="20"/>
      <c r="M84" s="2"/>
      <c r="N84" s="20">
        <v>1</v>
      </c>
      <c r="O84" s="12"/>
      <c r="P84" s="18">
        <v>1</v>
      </c>
      <c r="Q84" s="18">
        <v>1</v>
      </c>
      <c r="R84" s="18">
        <v>1</v>
      </c>
      <c r="S84" s="18">
        <v>1</v>
      </c>
      <c r="T84" s="12"/>
      <c r="U84" s="18">
        <v>1</v>
      </c>
      <c r="V84" s="12"/>
      <c r="W84" s="18">
        <v>1</v>
      </c>
      <c r="X84" s="18"/>
      <c r="Y84" s="20"/>
      <c r="Z84" s="20">
        <v>1</v>
      </c>
      <c r="AA84" s="2"/>
      <c r="AB84" s="20">
        <v>1</v>
      </c>
      <c r="AC84" s="3"/>
      <c r="AD84" s="20">
        <v>1</v>
      </c>
      <c r="AE84" s="20">
        <v>1</v>
      </c>
      <c r="AF84" s="20">
        <v>1</v>
      </c>
      <c r="AG84" s="20">
        <v>1</v>
      </c>
      <c r="AH84" s="21">
        <f t="shared" si="4"/>
        <v>17</v>
      </c>
      <c r="AI84" s="22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23" t="str">
        <f t="shared" si="5"/>
        <v>Abby</v>
      </c>
      <c r="AK84" s="25"/>
    </row>
    <row r="85" spans="1:37" ht="18" customHeight="1">
      <c r="A85" s="18" t="s">
        <v>58</v>
      </c>
      <c r="B85" s="19" t="s">
        <v>95</v>
      </c>
      <c r="C85" s="20"/>
      <c r="D85" s="20">
        <v>1</v>
      </c>
      <c r="E85" s="20"/>
      <c r="F85" s="2"/>
      <c r="G85" s="20"/>
      <c r="H85" s="2"/>
      <c r="I85" s="20">
        <v>1</v>
      </c>
      <c r="J85" s="20">
        <v>1</v>
      </c>
      <c r="K85" s="20">
        <v>1</v>
      </c>
      <c r="L85" s="20"/>
      <c r="M85" s="2"/>
      <c r="N85" s="20">
        <v>1</v>
      </c>
      <c r="O85" s="12"/>
      <c r="P85" s="18">
        <v>1</v>
      </c>
      <c r="Q85" s="18">
        <v>1</v>
      </c>
      <c r="R85" s="18">
        <v>1</v>
      </c>
      <c r="S85" s="18">
        <v>1</v>
      </c>
      <c r="T85" s="12"/>
      <c r="U85" s="18">
        <v>1</v>
      </c>
      <c r="V85" s="12"/>
      <c r="W85" s="18">
        <v>1</v>
      </c>
      <c r="X85" s="18"/>
      <c r="Y85" s="20"/>
      <c r="Z85" s="20">
        <v>1</v>
      </c>
      <c r="AA85" s="2"/>
      <c r="AB85" s="20">
        <v>1</v>
      </c>
      <c r="AC85" s="3"/>
      <c r="AD85" s="20">
        <v>1</v>
      </c>
      <c r="AE85" s="20">
        <v>1</v>
      </c>
      <c r="AF85" s="20">
        <v>1</v>
      </c>
      <c r="AG85" s="20">
        <v>1</v>
      </c>
      <c r="AH85" s="21">
        <f t="shared" si="4"/>
        <v>17</v>
      </c>
      <c r="AI85" s="22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23" t="str">
        <f t="shared" si="5"/>
        <v>小吱</v>
      </c>
      <c r="AK85" s="25"/>
    </row>
    <row r="86" spans="1:37" ht="18" customHeight="1">
      <c r="A86" s="18" t="s">
        <v>58</v>
      </c>
      <c r="B86" s="19" t="s">
        <v>148</v>
      </c>
      <c r="C86" s="20"/>
      <c r="D86" s="20"/>
      <c r="E86" s="20">
        <v>1</v>
      </c>
      <c r="F86" s="2"/>
      <c r="G86" s="20">
        <v>1</v>
      </c>
      <c r="H86" s="2"/>
      <c r="I86" s="20">
        <v>1</v>
      </c>
      <c r="J86" s="20">
        <v>1</v>
      </c>
      <c r="K86" s="20">
        <v>1</v>
      </c>
      <c r="L86" s="20"/>
      <c r="M86" s="2"/>
      <c r="N86" s="20"/>
      <c r="O86" s="12"/>
      <c r="P86" s="18">
        <v>1</v>
      </c>
      <c r="Q86" s="18"/>
      <c r="R86" s="18"/>
      <c r="S86" s="18"/>
      <c r="T86" s="12"/>
      <c r="U86" s="18">
        <v>1</v>
      </c>
      <c r="V86" s="12"/>
      <c r="W86" s="18"/>
      <c r="X86" s="18"/>
      <c r="Y86" s="20"/>
      <c r="Z86" s="20">
        <v>1</v>
      </c>
      <c r="AA86" s="2"/>
      <c r="AB86" s="20">
        <v>1</v>
      </c>
      <c r="AC86" s="3"/>
      <c r="AD86" s="20"/>
      <c r="AE86" s="20"/>
      <c r="AF86" s="20"/>
      <c r="AG86" s="20"/>
      <c r="AH86" s="21">
        <f t="shared" si="4"/>
        <v>9</v>
      </c>
      <c r="AI86" s="22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23" t="str">
        <f t="shared" si="5"/>
        <v>雅雅</v>
      </c>
      <c r="AK86" s="25"/>
    </row>
    <row r="87" spans="1:37" ht="18" customHeight="1">
      <c r="A87" s="18" t="s">
        <v>58</v>
      </c>
      <c r="B87" s="19" t="s">
        <v>154</v>
      </c>
      <c r="C87" s="20"/>
      <c r="D87" s="20"/>
      <c r="E87" s="20"/>
      <c r="F87" s="2"/>
      <c r="G87" s="20"/>
      <c r="H87" s="2"/>
      <c r="I87" s="20"/>
      <c r="J87" s="20"/>
      <c r="K87" s="20"/>
      <c r="L87" s="20"/>
      <c r="M87" s="2"/>
      <c r="N87" s="20"/>
      <c r="O87" s="12"/>
      <c r="P87" s="18"/>
      <c r="Q87" s="18"/>
      <c r="R87" s="18"/>
      <c r="S87" s="18"/>
      <c r="T87" s="12"/>
      <c r="U87" s="18"/>
      <c r="V87" s="12"/>
      <c r="W87" s="18"/>
      <c r="X87" s="18"/>
      <c r="Y87" s="20"/>
      <c r="Z87" s="20"/>
      <c r="AA87" s="2"/>
      <c r="AB87" s="20"/>
      <c r="AC87" s="3"/>
      <c r="AD87" s="20"/>
      <c r="AE87" s="20"/>
      <c r="AF87" s="20"/>
      <c r="AG87" s="20"/>
      <c r="AH87" s="21">
        <f t="shared" si="4"/>
        <v>0</v>
      </c>
      <c r="AI87" s="22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23" t="str">
        <f t="shared" si="5"/>
        <v>筱攸</v>
      </c>
      <c r="AK87" s="25"/>
    </row>
    <row r="88" spans="1:37" ht="18" customHeight="1">
      <c r="A88" s="18" t="s">
        <v>58</v>
      </c>
      <c r="B88" s="19" t="s">
        <v>155</v>
      </c>
      <c r="C88" s="20"/>
      <c r="D88" s="20"/>
      <c r="E88" s="20"/>
      <c r="F88" s="2"/>
      <c r="G88" s="20"/>
      <c r="H88" s="2"/>
      <c r="I88" s="20"/>
      <c r="J88" s="20"/>
      <c r="K88" s="20"/>
      <c r="L88" s="20"/>
      <c r="M88" s="2"/>
      <c r="N88" s="20"/>
      <c r="O88" s="12"/>
      <c r="P88" s="18"/>
      <c r="Q88" s="18"/>
      <c r="R88" s="18"/>
      <c r="S88" s="18"/>
      <c r="T88" s="12"/>
      <c r="U88" s="18"/>
      <c r="V88" s="12"/>
      <c r="W88" s="18"/>
      <c r="X88" s="18"/>
      <c r="Y88" s="20"/>
      <c r="Z88" s="20"/>
      <c r="AA88" s="2"/>
      <c r="AB88" s="20"/>
      <c r="AC88" s="3"/>
      <c r="AD88" s="20"/>
      <c r="AE88" s="20"/>
      <c r="AF88" s="20"/>
      <c r="AG88" s="20"/>
      <c r="AH88" s="21">
        <f t="shared" si="4"/>
        <v>0</v>
      </c>
      <c r="AI88" s="22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23" t="str">
        <f t="shared" si="5"/>
        <v>康康</v>
      </c>
      <c r="AK88" s="25"/>
    </row>
    <row r="89" spans="1:37" ht="18" customHeight="1">
      <c r="A89" s="18" t="s">
        <v>58</v>
      </c>
      <c r="B89" s="19" t="s">
        <v>156</v>
      </c>
      <c r="C89" s="20"/>
      <c r="D89" s="20"/>
      <c r="E89" s="20"/>
      <c r="F89" s="2"/>
      <c r="G89" s="20"/>
      <c r="H89" s="2"/>
      <c r="I89" s="20"/>
      <c r="J89" s="20"/>
      <c r="K89" s="20"/>
      <c r="L89" s="20"/>
      <c r="M89" s="2"/>
      <c r="N89" s="20"/>
      <c r="O89" s="12"/>
      <c r="P89" s="18"/>
      <c r="Q89" s="18"/>
      <c r="R89" s="18"/>
      <c r="S89" s="18"/>
      <c r="T89" s="12"/>
      <c r="U89" s="18"/>
      <c r="V89" s="12"/>
      <c r="W89" s="18"/>
      <c r="X89" s="18"/>
      <c r="Y89" s="20"/>
      <c r="Z89" s="20"/>
      <c r="AA89" s="2"/>
      <c r="AB89" s="20"/>
      <c r="AC89" s="3"/>
      <c r="AD89" s="20"/>
      <c r="AE89" s="20"/>
      <c r="AF89" s="20"/>
      <c r="AG89" s="20"/>
      <c r="AH89" s="21">
        <f t="shared" si="4"/>
        <v>0</v>
      </c>
      <c r="AI89" s="22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23" t="str">
        <f t="shared" si="5"/>
        <v>阿金</v>
      </c>
      <c r="AK89" s="25"/>
    </row>
    <row r="90" spans="1:37" ht="18" customHeight="1">
      <c r="A90" s="18" t="s">
        <v>58</v>
      </c>
      <c r="B90" s="19" t="s">
        <v>157</v>
      </c>
      <c r="C90" s="20"/>
      <c r="D90" s="20"/>
      <c r="E90" s="20"/>
      <c r="F90" s="2"/>
      <c r="G90" s="20"/>
      <c r="H90" s="2"/>
      <c r="I90" s="20"/>
      <c r="J90" s="20"/>
      <c r="K90" s="20"/>
      <c r="L90" s="20"/>
      <c r="M90" s="2"/>
      <c r="N90" s="20"/>
      <c r="O90" s="12"/>
      <c r="P90" s="18"/>
      <c r="Q90" s="18"/>
      <c r="R90" s="18"/>
      <c r="S90" s="18"/>
      <c r="T90" s="12"/>
      <c r="U90" s="18"/>
      <c r="V90" s="12"/>
      <c r="W90" s="18"/>
      <c r="X90" s="18"/>
      <c r="Y90" s="20"/>
      <c r="Z90" s="20"/>
      <c r="AA90" s="2"/>
      <c r="AB90" s="20"/>
      <c r="AC90" s="3"/>
      <c r="AD90" s="20"/>
      <c r="AE90" s="20"/>
      <c r="AF90" s="20"/>
      <c r="AG90" s="20"/>
      <c r="AH90" s="21">
        <f t="shared" si="4"/>
        <v>0</v>
      </c>
      <c r="AI90" s="22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23" t="str">
        <f t="shared" si="5"/>
        <v>派大</v>
      </c>
      <c r="AK90" s="25"/>
    </row>
    <row r="91" spans="1:37" ht="18" customHeight="1">
      <c r="A91" s="18" t="s">
        <v>58</v>
      </c>
      <c r="B91" s="19" t="s">
        <v>101</v>
      </c>
      <c r="C91" s="20"/>
      <c r="D91" s="20"/>
      <c r="E91" s="20"/>
      <c r="F91" s="2"/>
      <c r="G91" s="20"/>
      <c r="H91" s="2"/>
      <c r="I91" s="20"/>
      <c r="J91" s="20"/>
      <c r="K91" s="20"/>
      <c r="L91" s="20"/>
      <c r="M91" s="2"/>
      <c r="N91" s="20"/>
      <c r="O91" s="12"/>
      <c r="P91" s="18"/>
      <c r="Q91" s="18"/>
      <c r="R91" s="18"/>
      <c r="S91" s="18"/>
      <c r="T91" s="12"/>
      <c r="U91" s="18"/>
      <c r="V91" s="12"/>
      <c r="W91" s="18"/>
      <c r="X91" s="18"/>
      <c r="Y91" s="20"/>
      <c r="Z91" s="20"/>
      <c r="AA91" s="2"/>
      <c r="AB91" s="20"/>
      <c r="AC91" s="3"/>
      <c r="AD91" s="20"/>
      <c r="AE91" s="20"/>
      <c r="AF91" s="20"/>
      <c r="AG91" s="20"/>
      <c r="AH91" s="21">
        <f t="shared" si="4"/>
        <v>0</v>
      </c>
      <c r="AI91" s="22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23" t="str">
        <f t="shared" si="5"/>
        <v>文媛</v>
      </c>
      <c r="AK91" s="25"/>
    </row>
    <row r="92" spans="1:37" ht="18" customHeight="1">
      <c r="A92" s="18" t="s">
        <v>58</v>
      </c>
      <c r="B92" s="19" t="s">
        <v>158</v>
      </c>
      <c r="C92" s="20"/>
      <c r="D92" s="20"/>
      <c r="E92" s="20"/>
      <c r="F92" s="2"/>
      <c r="G92" s="20"/>
      <c r="H92" s="2"/>
      <c r="I92" s="20"/>
      <c r="J92" s="20"/>
      <c r="K92" s="20"/>
      <c r="L92" s="20"/>
      <c r="M92" s="2"/>
      <c r="N92" s="20"/>
      <c r="O92" s="12"/>
      <c r="P92" s="18"/>
      <c r="Q92" s="18"/>
      <c r="R92" s="18"/>
      <c r="S92" s="18"/>
      <c r="T92" s="12"/>
      <c r="U92" s="18"/>
      <c r="V92" s="12"/>
      <c r="W92" s="18"/>
      <c r="X92" s="18"/>
      <c r="Y92" s="20"/>
      <c r="Z92" s="20"/>
      <c r="AA92" s="2"/>
      <c r="AB92" s="20"/>
      <c r="AC92" s="3"/>
      <c r="AD92" s="20"/>
      <c r="AE92" s="20"/>
      <c r="AF92" s="20"/>
      <c r="AG92" s="20"/>
      <c r="AH92" s="21">
        <f t="shared" si="4"/>
        <v>0</v>
      </c>
      <c r="AI92" s="22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23" t="str">
        <f t="shared" si="5"/>
        <v>吉娃</v>
      </c>
      <c r="AK92" s="25"/>
    </row>
    <row r="93" spans="1:37" ht="18" customHeight="1">
      <c r="A93" s="18" t="s">
        <v>58</v>
      </c>
      <c r="B93" s="19" t="s">
        <v>161</v>
      </c>
      <c r="C93" s="20"/>
      <c r="D93" s="20"/>
      <c r="E93" s="20"/>
      <c r="F93" s="2"/>
      <c r="G93" s="20"/>
      <c r="H93" s="2"/>
      <c r="I93" s="20"/>
      <c r="J93" s="20"/>
      <c r="K93" s="20"/>
      <c r="L93" s="20"/>
      <c r="M93" s="2"/>
      <c r="N93" s="20"/>
      <c r="O93" s="12"/>
      <c r="P93" s="18"/>
      <c r="Q93" s="18"/>
      <c r="R93" s="18"/>
      <c r="S93" s="18"/>
      <c r="T93" s="12"/>
      <c r="U93" s="18"/>
      <c r="V93" s="12"/>
      <c r="W93" s="18"/>
      <c r="X93" s="18"/>
      <c r="Y93" s="20"/>
      <c r="Z93" s="20"/>
      <c r="AA93" s="2"/>
      <c r="AB93" s="20"/>
      <c r="AC93" s="3"/>
      <c r="AD93" s="20"/>
      <c r="AE93" s="20"/>
      <c r="AF93" s="20"/>
      <c r="AG93" s="20"/>
      <c r="AH93" s="21">
        <f t="shared" si="4"/>
        <v>0</v>
      </c>
      <c r="AI93" s="22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23" t="str">
        <f t="shared" si="5"/>
        <v>佩鈺</v>
      </c>
      <c r="AK93" s="25"/>
    </row>
    <row r="94" spans="1:37" ht="18" customHeight="1">
      <c r="A94" s="18" t="s">
        <v>58</v>
      </c>
      <c r="B94" s="19" t="s">
        <v>159</v>
      </c>
      <c r="C94" s="20"/>
      <c r="D94" s="20"/>
      <c r="E94" s="20"/>
      <c r="F94" s="2"/>
      <c r="G94" s="20"/>
      <c r="H94" s="2"/>
      <c r="I94" s="20"/>
      <c r="J94" s="20"/>
      <c r="K94" s="20"/>
      <c r="L94" s="20"/>
      <c r="M94" s="2"/>
      <c r="N94" s="20"/>
      <c r="O94" s="12"/>
      <c r="P94" s="18"/>
      <c r="Q94" s="18"/>
      <c r="R94" s="18"/>
      <c r="S94" s="18"/>
      <c r="T94" s="12"/>
      <c r="U94" s="18"/>
      <c r="V94" s="12"/>
      <c r="W94" s="18"/>
      <c r="X94" s="18"/>
      <c r="Y94" s="20"/>
      <c r="Z94" s="20"/>
      <c r="AA94" s="2"/>
      <c r="AB94" s="20"/>
      <c r="AC94" s="3"/>
      <c r="AD94" s="20"/>
      <c r="AE94" s="20"/>
      <c r="AF94" s="20"/>
      <c r="AG94" s="20"/>
      <c r="AH94" s="21">
        <f t="shared" si="4"/>
        <v>0</v>
      </c>
      <c r="AI94" s="22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23" t="str">
        <f t="shared" si="5"/>
        <v>小寧</v>
      </c>
      <c r="AK94" s="25"/>
    </row>
    <row r="95" spans="1:37" ht="18" customHeight="1">
      <c r="A95" s="18" t="s">
        <v>58</v>
      </c>
      <c r="B95" s="19" t="s">
        <v>135</v>
      </c>
      <c r="C95" s="20"/>
      <c r="D95" s="20"/>
      <c r="E95" s="20"/>
      <c r="F95" s="2"/>
      <c r="G95" s="20"/>
      <c r="H95" s="2"/>
      <c r="I95" s="20"/>
      <c r="J95" s="20"/>
      <c r="K95" s="20"/>
      <c r="L95" s="20"/>
      <c r="M95" s="2"/>
      <c r="N95" s="20"/>
      <c r="O95" s="12"/>
      <c r="P95" s="18"/>
      <c r="Q95" s="18"/>
      <c r="R95" s="18"/>
      <c r="S95" s="18"/>
      <c r="T95" s="12"/>
      <c r="U95" s="18"/>
      <c r="V95" s="12"/>
      <c r="W95" s="18"/>
      <c r="X95" s="18"/>
      <c r="Y95" s="20"/>
      <c r="Z95" s="20"/>
      <c r="AA95" s="2"/>
      <c r="AB95" s="20"/>
      <c r="AC95" s="3"/>
      <c r="AD95" s="20"/>
      <c r="AE95" s="20"/>
      <c r="AF95" s="20"/>
      <c r="AG95" s="20"/>
      <c r="AH95" s="21">
        <f t="shared" si="4"/>
        <v>0</v>
      </c>
      <c r="AI95" s="22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23" t="str">
        <f t="shared" si="5"/>
        <v>屁屁</v>
      </c>
      <c r="AK95" s="25"/>
    </row>
    <row r="96" spans="1:37" ht="18" customHeight="1">
      <c r="A96" s="18" t="s">
        <v>58</v>
      </c>
      <c r="B96" s="19" t="s">
        <v>162</v>
      </c>
      <c r="C96" s="20"/>
      <c r="D96" s="20"/>
      <c r="E96" s="20"/>
      <c r="F96" s="2"/>
      <c r="G96" s="20"/>
      <c r="H96" s="2"/>
      <c r="I96" s="20"/>
      <c r="J96" s="20"/>
      <c r="K96" s="20"/>
      <c r="L96" s="20"/>
      <c r="M96" s="2"/>
      <c r="N96" s="20"/>
      <c r="O96" s="12"/>
      <c r="P96" s="18"/>
      <c r="Q96" s="18"/>
      <c r="R96" s="18"/>
      <c r="S96" s="18"/>
      <c r="T96" s="12"/>
      <c r="U96" s="18"/>
      <c r="V96" s="12"/>
      <c r="W96" s="18"/>
      <c r="X96" s="18"/>
      <c r="Y96" s="20"/>
      <c r="Z96" s="20"/>
      <c r="AA96" s="2"/>
      <c r="AB96" s="20"/>
      <c r="AC96" s="3"/>
      <c r="AD96" s="20"/>
      <c r="AE96" s="20"/>
      <c r="AF96" s="20"/>
      <c r="AG96" s="20"/>
      <c r="AH96" s="21">
        <f t="shared" si="4"/>
        <v>0</v>
      </c>
      <c r="AI96" s="22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23" t="str">
        <f t="shared" si="5"/>
        <v>阿布</v>
      </c>
      <c r="AK96" s="25"/>
    </row>
    <row r="97" spans="1:37" ht="18" customHeight="1">
      <c r="A97" s="26" t="s">
        <v>58</v>
      </c>
      <c r="B97" s="27" t="s">
        <v>160</v>
      </c>
      <c r="C97" s="28"/>
      <c r="D97" s="28"/>
      <c r="E97" s="28"/>
      <c r="F97" s="2"/>
      <c r="G97" s="28"/>
      <c r="H97" s="2"/>
      <c r="I97" s="28"/>
      <c r="J97" s="28"/>
      <c r="K97" s="28"/>
      <c r="L97" s="28"/>
      <c r="M97" s="2"/>
      <c r="N97" s="28"/>
      <c r="O97" s="12"/>
      <c r="P97" s="26"/>
      <c r="Q97" s="26"/>
      <c r="R97" s="26"/>
      <c r="S97" s="26"/>
      <c r="T97" s="12"/>
      <c r="U97" s="26"/>
      <c r="V97" s="12"/>
      <c r="W97" s="26"/>
      <c r="X97" s="26"/>
      <c r="Y97" s="28"/>
      <c r="Z97" s="28"/>
      <c r="AA97" s="2"/>
      <c r="AB97" s="28"/>
      <c r="AC97" s="3"/>
      <c r="AD97" s="28"/>
      <c r="AE97" s="28"/>
      <c r="AF97" s="28"/>
      <c r="AG97" s="28"/>
      <c r="AH97" s="29">
        <f t="shared" si="4"/>
        <v>0</v>
      </c>
      <c r="AI97" s="30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31" t="str">
        <f t="shared" si="5"/>
        <v>小妹</v>
      </c>
      <c r="AK97" s="32"/>
    </row>
    <row r="98" spans="1:37" ht="18" customHeight="1">
      <c r="A98" s="26" t="s">
        <v>58</v>
      </c>
      <c r="B98" s="27" t="s">
        <v>130</v>
      </c>
      <c r="C98" s="28"/>
      <c r="D98" s="28"/>
      <c r="E98" s="28"/>
      <c r="F98" s="2"/>
      <c r="G98" s="28"/>
      <c r="H98" s="2"/>
      <c r="I98" s="28"/>
      <c r="J98" s="28"/>
      <c r="K98" s="28"/>
      <c r="L98" s="28"/>
      <c r="M98" s="2"/>
      <c r="N98" s="28"/>
      <c r="O98" s="12"/>
      <c r="P98" s="26"/>
      <c r="Q98" s="26"/>
      <c r="R98" s="26"/>
      <c r="S98" s="26"/>
      <c r="T98" s="12"/>
      <c r="U98" s="26"/>
      <c r="V98" s="12"/>
      <c r="W98" s="26"/>
      <c r="X98" s="26"/>
      <c r="Y98" s="28"/>
      <c r="Z98" s="28"/>
      <c r="AA98" s="2"/>
      <c r="AB98" s="28"/>
      <c r="AC98" s="3"/>
      <c r="AD98" s="28"/>
      <c r="AE98" s="28"/>
      <c r="AF98" s="28"/>
      <c r="AG98" s="28"/>
      <c r="AH98" s="29">
        <f t="shared" si="4"/>
        <v>0</v>
      </c>
      <c r="AI98" s="30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31" t="str">
        <f t="shared" si="5"/>
        <v>猛女</v>
      </c>
      <c r="AK98" s="32"/>
    </row>
    <row r="99" spans="1:37" ht="18" customHeight="1">
      <c r="A99" s="26" t="s">
        <v>58</v>
      </c>
      <c r="B99" s="27" t="s">
        <v>131</v>
      </c>
      <c r="C99" s="28"/>
      <c r="D99" s="28"/>
      <c r="E99" s="28"/>
      <c r="F99" s="2"/>
      <c r="G99" s="28"/>
      <c r="H99" s="2"/>
      <c r="I99" s="28"/>
      <c r="J99" s="28"/>
      <c r="K99" s="28"/>
      <c r="L99" s="28"/>
      <c r="M99" s="2"/>
      <c r="N99" s="28"/>
      <c r="O99" s="12"/>
      <c r="P99" s="26"/>
      <c r="Q99" s="26"/>
      <c r="R99" s="26"/>
      <c r="S99" s="26"/>
      <c r="T99" s="12"/>
      <c r="U99" s="26"/>
      <c r="V99" s="12"/>
      <c r="W99" s="26"/>
      <c r="X99" s="26"/>
      <c r="Y99" s="28"/>
      <c r="Z99" s="28"/>
      <c r="AA99" s="2"/>
      <c r="AB99" s="28"/>
      <c r="AC99" s="3"/>
      <c r="AD99" s="28"/>
      <c r="AE99" s="28"/>
      <c r="AF99" s="28"/>
      <c r="AG99" s="28"/>
      <c r="AH99" s="29">
        <f t="shared" si="4"/>
        <v>0</v>
      </c>
      <c r="AI99" s="30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31" t="str">
        <f t="shared" si="5"/>
        <v>欣容</v>
      </c>
      <c r="AK99" s="32"/>
    </row>
    <row r="100" spans="1:37" ht="18" customHeight="1">
      <c r="A100" s="26" t="s">
        <v>58</v>
      </c>
      <c r="B100" s="27" t="s">
        <v>132</v>
      </c>
      <c r="C100" s="28"/>
      <c r="D100" s="28"/>
      <c r="E100" s="28"/>
      <c r="F100" s="2"/>
      <c r="G100" s="28"/>
      <c r="H100" s="2"/>
      <c r="I100" s="28"/>
      <c r="J100" s="28"/>
      <c r="K100" s="28"/>
      <c r="L100" s="28"/>
      <c r="M100" s="2"/>
      <c r="N100" s="28"/>
      <c r="O100" s="12"/>
      <c r="P100" s="26"/>
      <c r="Q100" s="26"/>
      <c r="R100" s="26"/>
      <c r="S100" s="26"/>
      <c r="T100" s="12"/>
      <c r="U100" s="26"/>
      <c r="V100" s="12"/>
      <c r="W100" s="26"/>
      <c r="X100" s="26"/>
      <c r="Y100" s="28"/>
      <c r="Z100" s="28"/>
      <c r="AA100" s="2"/>
      <c r="AB100" s="28"/>
      <c r="AC100" s="3"/>
      <c r="AD100" s="28"/>
      <c r="AE100" s="28"/>
      <c r="AF100" s="28"/>
      <c r="AG100" s="28"/>
      <c r="AH100" s="29">
        <f t="shared" ref="AH100:AH131" si="6">COUNTA(C100:AG100)</f>
        <v>0</v>
      </c>
      <c r="AI100" s="30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31" t="str">
        <f t="shared" ref="AJ100:AJ120" si="7">B100</f>
        <v>萁萁</v>
      </c>
      <c r="AK100" s="32"/>
    </row>
    <row r="101" spans="1:37" ht="18" customHeight="1">
      <c r="A101" s="26" t="s">
        <v>58</v>
      </c>
      <c r="B101" s="27" t="s">
        <v>133</v>
      </c>
      <c r="C101" s="28"/>
      <c r="D101" s="28"/>
      <c r="E101" s="28"/>
      <c r="F101" s="2"/>
      <c r="G101" s="28"/>
      <c r="H101" s="2"/>
      <c r="I101" s="28"/>
      <c r="J101" s="28"/>
      <c r="K101" s="28"/>
      <c r="L101" s="28"/>
      <c r="M101" s="2"/>
      <c r="N101" s="28"/>
      <c r="O101" s="12"/>
      <c r="P101" s="26"/>
      <c r="Q101" s="26"/>
      <c r="R101" s="26"/>
      <c r="S101" s="26"/>
      <c r="T101" s="12"/>
      <c r="U101" s="26"/>
      <c r="V101" s="12"/>
      <c r="W101" s="26"/>
      <c r="X101" s="26"/>
      <c r="Y101" s="28"/>
      <c r="Z101" s="28"/>
      <c r="AA101" s="2"/>
      <c r="AB101" s="28"/>
      <c r="AC101" s="3"/>
      <c r="AD101" s="28"/>
      <c r="AE101" s="28"/>
      <c r="AF101" s="28"/>
      <c r="AG101" s="28"/>
      <c r="AH101" s="29">
        <f t="shared" si="6"/>
        <v>0</v>
      </c>
      <c r="AI101" s="30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31" t="str">
        <f t="shared" si="7"/>
        <v>萱</v>
      </c>
      <c r="AK101" s="32"/>
    </row>
    <row r="102" spans="1:37" ht="18" customHeight="1">
      <c r="A102" s="26" t="s">
        <v>58</v>
      </c>
      <c r="B102" s="27" t="s">
        <v>134</v>
      </c>
      <c r="C102" s="28"/>
      <c r="D102" s="28"/>
      <c r="E102" s="28"/>
      <c r="F102" s="2"/>
      <c r="G102" s="28"/>
      <c r="H102" s="2"/>
      <c r="I102" s="28"/>
      <c r="J102" s="28"/>
      <c r="K102" s="28"/>
      <c r="L102" s="28"/>
      <c r="M102" s="2"/>
      <c r="N102" s="28"/>
      <c r="O102" s="12"/>
      <c r="P102" s="26"/>
      <c r="Q102" s="26"/>
      <c r="R102" s="26"/>
      <c r="S102" s="26"/>
      <c r="T102" s="12"/>
      <c r="U102" s="26"/>
      <c r="V102" s="12"/>
      <c r="W102" s="26"/>
      <c r="X102" s="26"/>
      <c r="Y102" s="28"/>
      <c r="Z102" s="28"/>
      <c r="AA102" s="2"/>
      <c r="AB102" s="28"/>
      <c r="AC102" s="3"/>
      <c r="AD102" s="28"/>
      <c r="AE102" s="28"/>
      <c r="AF102" s="28"/>
      <c r="AG102" s="28"/>
      <c r="AH102" s="29">
        <f t="shared" si="6"/>
        <v>0</v>
      </c>
      <c r="AI102" s="30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31" t="str">
        <f t="shared" si="7"/>
        <v>Mei</v>
      </c>
      <c r="AK102" s="32"/>
    </row>
    <row r="103" spans="1:37" ht="18" customHeight="1">
      <c r="A103" s="26" t="s">
        <v>58</v>
      </c>
      <c r="B103" s="27" t="s">
        <v>180</v>
      </c>
      <c r="C103" s="28"/>
      <c r="D103" s="28"/>
      <c r="E103" s="28"/>
      <c r="F103" s="2"/>
      <c r="G103" s="28"/>
      <c r="H103" s="2"/>
      <c r="I103" s="28"/>
      <c r="J103" s="28"/>
      <c r="K103" s="28"/>
      <c r="L103" s="28"/>
      <c r="M103" s="2"/>
      <c r="N103" s="28"/>
      <c r="O103" s="12"/>
      <c r="P103" s="26"/>
      <c r="Q103" s="26"/>
      <c r="R103" s="26"/>
      <c r="S103" s="26"/>
      <c r="T103" s="12"/>
      <c r="U103" s="26"/>
      <c r="V103" s="12"/>
      <c r="W103" s="26"/>
      <c r="X103" s="26"/>
      <c r="Y103" s="28"/>
      <c r="Z103" s="28"/>
      <c r="AA103" s="2"/>
      <c r="AB103" s="28"/>
      <c r="AC103" s="3"/>
      <c r="AD103" s="28"/>
      <c r="AE103" s="28"/>
      <c r="AF103" s="28"/>
      <c r="AG103" s="28"/>
      <c r="AH103" s="29">
        <f t="shared" si="6"/>
        <v>0</v>
      </c>
      <c r="AI103" s="30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31" t="str">
        <f t="shared" si="7"/>
        <v>小茜</v>
      </c>
      <c r="AK103" s="32"/>
    </row>
    <row r="104" spans="1:37" ht="18" customHeight="1">
      <c r="A104" s="26" t="s">
        <v>58</v>
      </c>
      <c r="B104" s="27" t="s">
        <v>137</v>
      </c>
      <c r="C104" s="28"/>
      <c r="D104" s="28"/>
      <c r="E104" s="28"/>
      <c r="F104" s="2"/>
      <c r="G104" s="28"/>
      <c r="H104" s="2"/>
      <c r="I104" s="28"/>
      <c r="J104" s="28"/>
      <c r="K104" s="28"/>
      <c r="L104" s="28"/>
      <c r="M104" s="2"/>
      <c r="N104" s="28"/>
      <c r="O104" s="12"/>
      <c r="P104" s="26"/>
      <c r="Q104" s="26"/>
      <c r="R104" s="26"/>
      <c r="S104" s="26"/>
      <c r="T104" s="12"/>
      <c r="U104" s="26"/>
      <c r="V104" s="12"/>
      <c r="W104" s="26"/>
      <c r="X104" s="26"/>
      <c r="Y104" s="28"/>
      <c r="Z104" s="28"/>
      <c r="AA104" s="2"/>
      <c r="AB104" s="28"/>
      <c r="AC104" s="3"/>
      <c r="AD104" s="28"/>
      <c r="AE104" s="28"/>
      <c r="AF104" s="28"/>
      <c r="AG104" s="28"/>
      <c r="AH104" s="29">
        <f t="shared" si="6"/>
        <v>0</v>
      </c>
      <c r="AI104" s="30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31" t="str">
        <f t="shared" si="7"/>
        <v>姚</v>
      </c>
      <c r="AK104" s="32"/>
    </row>
    <row r="105" spans="1:37" ht="18" customHeight="1">
      <c r="A105" s="26" t="s">
        <v>58</v>
      </c>
      <c r="B105" s="27" t="s">
        <v>181</v>
      </c>
      <c r="C105" s="28"/>
      <c r="D105" s="28"/>
      <c r="E105" s="28"/>
      <c r="F105" s="2"/>
      <c r="G105" s="28"/>
      <c r="H105" s="2"/>
      <c r="I105" s="28"/>
      <c r="J105" s="28"/>
      <c r="K105" s="28"/>
      <c r="L105" s="28"/>
      <c r="M105" s="2"/>
      <c r="N105" s="28"/>
      <c r="O105" s="12"/>
      <c r="P105" s="26"/>
      <c r="Q105" s="26"/>
      <c r="R105" s="26"/>
      <c r="S105" s="26"/>
      <c r="T105" s="12"/>
      <c r="U105" s="26"/>
      <c r="V105" s="12"/>
      <c r="W105" s="26"/>
      <c r="X105" s="26"/>
      <c r="Y105" s="28"/>
      <c r="Z105" s="28"/>
      <c r="AA105" s="2"/>
      <c r="AB105" s="28"/>
      <c r="AC105" s="3"/>
      <c r="AD105" s="28"/>
      <c r="AE105" s="28"/>
      <c r="AF105" s="28"/>
      <c r="AG105" s="28"/>
      <c r="AH105" s="29">
        <f t="shared" si="6"/>
        <v>0</v>
      </c>
      <c r="AI105" s="30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31" t="str">
        <f t="shared" si="7"/>
        <v>毛毛</v>
      </c>
      <c r="AK105" s="32"/>
    </row>
    <row r="106" spans="1:37" ht="18" customHeight="1">
      <c r="A106" s="26" t="s">
        <v>58</v>
      </c>
      <c r="B106" s="27" t="s">
        <v>124</v>
      </c>
      <c r="C106" s="28"/>
      <c r="D106" s="28">
        <v>1</v>
      </c>
      <c r="E106" s="28"/>
      <c r="F106" s="2"/>
      <c r="G106" s="28">
        <v>1</v>
      </c>
      <c r="H106" s="2"/>
      <c r="I106" s="28"/>
      <c r="J106" s="28">
        <v>1</v>
      </c>
      <c r="K106" s="28">
        <v>1</v>
      </c>
      <c r="L106" s="28"/>
      <c r="M106" s="2"/>
      <c r="N106" s="28">
        <v>1</v>
      </c>
      <c r="O106" s="12"/>
      <c r="P106" s="26"/>
      <c r="Q106" s="26">
        <v>1</v>
      </c>
      <c r="R106" s="26">
        <v>1</v>
      </c>
      <c r="S106" s="26"/>
      <c r="T106" s="12"/>
      <c r="U106" s="26">
        <v>1</v>
      </c>
      <c r="V106" s="12"/>
      <c r="W106" s="26"/>
      <c r="X106" s="26">
        <v>1</v>
      </c>
      <c r="Y106" s="28">
        <v>1</v>
      </c>
      <c r="Z106" s="28"/>
      <c r="AA106" s="2"/>
      <c r="AB106" s="28">
        <v>1</v>
      </c>
      <c r="AC106" s="3"/>
      <c r="AD106" s="28"/>
      <c r="AE106" s="28"/>
      <c r="AF106" s="28"/>
      <c r="AG106" s="28">
        <v>1</v>
      </c>
      <c r="AH106" s="29">
        <f t="shared" si="6"/>
        <v>12</v>
      </c>
      <c r="AI106" s="30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31" t="str">
        <f t="shared" si="7"/>
        <v>玉蕙</v>
      </c>
      <c r="AK106" s="32"/>
    </row>
    <row r="107" spans="1:37" ht="18" customHeight="1">
      <c r="A107" s="26" t="s">
        <v>58</v>
      </c>
      <c r="B107" s="27" t="s">
        <v>127</v>
      </c>
      <c r="C107" s="28"/>
      <c r="D107" s="28">
        <v>1</v>
      </c>
      <c r="E107" s="28"/>
      <c r="F107" s="2"/>
      <c r="G107" s="28">
        <v>1</v>
      </c>
      <c r="H107" s="2"/>
      <c r="I107" s="28"/>
      <c r="J107" s="28"/>
      <c r="K107" s="28">
        <v>1</v>
      </c>
      <c r="L107" s="28"/>
      <c r="M107" s="2"/>
      <c r="N107" s="28">
        <v>1</v>
      </c>
      <c r="O107" s="12"/>
      <c r="P107" s="26"/>
      <c r="Q107" s="26"/>
      <c r="R107" s="26">
        <v>1</v>
      </c>
      <c r="S107" s="26">
        <v>1</v>
      </c>
      <c r="T107" s="12"/>
      <c r="U107" s="26">
        <v>1</v>
      </c>
      <c r="V107" s="12"/>
      <c r="W107" s="26">
        <v>1</v>
      </c>
      <c r="X107" s="26"/>
      <c r="Y107" s="28">
        <v>1</v>
      </c>
      <c r="Z107" s="28">
        <v>1</v>
      </c>
      <c r="AA107" s="2"/>
      <c r="AB107" s="28"/>
      <c r="AC107" s="3"/>
      <c r="AD107" s="28">
        <v>1</v>
      </c>
      <c r="AE107" s="28">
        <v>1</v>
      </c>
      <c r="AF107" s="28"/>
      <c r="AG107" s="28">
        <v>1</v>
      </c>
      <c r="AH107" s="29">
        <f t="shared" si="6"/>
        <v>13</v>
      </c>
      <c r="AI107" s="30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31" t="str">
        <f t="shared" si="7"/>
        <v>小雞</v>
      </c>
      <c r="AK107" s="32"/>
    </row>
    <row r="108" spans="1:37" ht="18" customHeight="1">
      <c r="A108" s="26" t="s">
        <v>58</v>
      </c>
      <c r="B108" s="27" t="s">
        <v>104</v>
      </c>
      <c r="C108" s="28"/>
      <c r="D108" s="28"/>
      <c r="E108" s="28"/>
      <c r="F108" s="2"/>
      <c r="G108" s="28"/>
      <c r="H108" s="2"/>
      <c r="I108" s="28"/>
      <c r="J108" s="28"/>
      <c r="K108" s="28"/>
      <c r="L108" s="28"/>
      <c r="M108" s="2"/>
      <c r="N108" s="28">
        <v>1</v>
      </c>
      <c r="O108" s="12"/>
      <c r="P108" s="26"/>
      <c r="Q108" s="26">
        <v>1</v>
      </c>
      <c r="R108" s="26"/>
      <c r="S108" s="26">
        <v>1</v>
      </c>
      <c r="T108" s="12"/>
      <c r="U108" s="26"/>
      <c r="V108" s="12"/>
      <c r="W108" s="26"/>
      <c r="X108" s="26"/>
      <c r="Y108" s="28"/>
      <c r="Z108" s="28"/>
      <c r="AA108" s="2"/>
      <c r="AB108" s="28"/>
      <c r="AC108" s="3"/>
      <c r="AD108" s="28"/>
      <c r="AE108" s="28">
        <v>1</v>
      </c>
      <c r="AF108" s="28">
        <v>1</v>
      </c>
      <c r="AG108" s="28">
        <v>1</v>
      </c>
      <c r="AH108" s="29">
        <f t="shared" si="6"/>
        <v>6</v>
      </c>
      <c r="AI108" s="30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31" t="str">
        <f t="shared" si="7"/>
        <v>卡丘</v>
      </c>
      <c r="AK108" s="32"/>
    </row>
    <row r="109" spans="1:37" ht="18" customHeight="1">
      <c r="A109" s="26" t="s">
        <v>58</v>
      </c>
      <c r="B109" s="27" t="s">
        <v>126</v>
      </c>
      <c r="C109" s="28"/>
      <c r="D109" s="28"/>
      <c r="E109" s="28"/>
      <c r="F109" s="2"/>
      <c r="G109" s="28">
        <v>1</v>
      </c>
      <c r="H109" s="2"/>
      <c r="I109" s="28"/>
      <c r="J109" s="28">
        <v>1</v>
      </c>
      <c r="K109" s="28"/>
      <c r="L109" s="28"/>
      <c r="M109" s="2"/>
      <c r="N109" s="28">
        <v>1</v>
      </c>
      <c r="O109" s="12"/>
      <c r="P109" s="26"/>
      <c r="Q109" s="26">
        <v>1</v>
      </c>
      <c r="R109" s="26">
        <v>1</v>
      </c>
      <c r="S109" s="26"/>
      <c r="T109" s="12"/>
      <c r="U109" s="26">
        <v>1</v>
      </c>
      <c r="V109" s="12"/>
      <c r="W109" s="26"/>
      <c r="X109" s="26"/>
      <c r="Y109" s="28"/>
      <c r="Z109" s="28"/>
      <c r="AA109" s="2"/>
      <c r="AB109" s="28"/>
      <c r="AC109" s="3"/>
      <c r="AD109" s="28">
        <v>1</v>
      </c>
      <c r="AE109" s="28">
        <v>1</v>
      </c>
      <c r="AF109" s="28">
        <v>1</v>
      </c>
      <c r="AG109" s="28"/>
      <c r="AH109" s="29">
        <f t="shared" si="6"/>
        <v>9</v>
      </c>
      <c r="AI109" s="30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31" t="str">
        <f t="shared" si="7"/>
        <v>妹妹</v>
      </c>
      <c r="AK109" s="32"/>
    </row>
    <row r="110" spans="1:37" ht="18" customHeight="1">
      <c r="A110" s="26" t="s">
        <v>58</v>
      </c>
      <c r="B110" s="27" t="s">
        <v>125</v>
      </c>
      <c r="C110" s="28"/>
      <c r="D110" s="28">
        <v>1</v>
      </c>
      <c r="E110" s="28"/>
      <c r="F110" s="2"/>
      <c r="G110" s="28"/>
      <c r="H110" s="2"/>
      <c r="I110" s="28"/>
      <c r="J110" s="28">
        <v>1</v>
      </c>
      <c r="K110" s="28"/>
      <c r="L110" s="28"/>
      <c r="M110" s="2"/>
      <c r="N110" s="28"/>
      <c r="O110" s="12"/>
      <c r="P110" s="26"/>
      <c r="Q110" s="26"/>
      <c r="R110" s="26"/>
      <c r="S110" s="26"/>
      <c r="T110" s="12"/>
      <c r="U110" s="26">
        <v>1</v>
      </c>
      <c r="V110" s="12"/>
      <c r="W110" s="26"/>
      <c r="X110" s="26"/>
      <c r="Y110" s="28"/>
      <c r="Z110" s="28"/>
      <c r="AA110" s="2"/>
      <c r="AB110" s="28">
        <v>1</v>
      </c>
      <c r="AC110" s="3"/>
      <c r="AD110" s="28"/>
      <c r="AE110" s="28"/>
      <c r="AF110" s="28">
        <v>1</v>
      </c>
      <c r="AG110" s="28">
        <v>1</v>
      </c>
      <c r="AH110" s="29">
        <f t="shared" si="6"/>
        <v>6</v>
      </c>
      <c r="AI110" s="30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31" t="str">
        <f t="shared" si="7"/>
        <v>沛緁</v>
      </c>
      <c r="AK110" s="41"/>
    </row>
    <row r="111" spans="1:37" ht="18" customHeight="1">
      <c r="A111" s="26" t="s">
        <v>58</v>
      </c>
      <c r="B111" s="27" t="s">
        <v>129</v>
      </c>
      <c r="C111" s="28"/>
      <c r="D111" s="28"/>
      <c r="E111" s="28"/>
      <c r="F111" s="2"/>
      <c r="G111" s="28"/>
      <c r="H111" s="2"/>
      <c r="I111" s="28"/>
      <c r="J111" s="28"/>
      <c r="K111" s="28">
        <v>1</v>
      </c>
      <c r="L111" s="28"/>
      <c r="M111" s="2"/>
      <c r="N111" s="28"/>
      <c r="O111" s="12"/>
      <c r="P111" s="26"/>
      <c r="Q111" s="26">
        <v>1</v>
      </c>
      <c r="R111" s="26">
        <v>1</v>
      </c>
      <c r="S111" s="26"/>
      <c r="T111" s="12"/>
      <c r="U111" s="26"/>
      <c r="V111" s="12"/>
      <c r="W111" s="26"/>
      <c r="X111" s="26"/>
      <c r="Y111" s="28">
        <v>1</v>
      </c>
      <c r="Z111" s="28"/>
      <c r="AA111" s="2"/>
      <c r="AB111" s="28"/>
      <c r="AC111" s="3"/>
      <c r="AD111" s="28"/>
      <c r="AE111" s="28"/>
      <c r="AF111" s="28"/>
      <c r="AG111" s="28"/>
      <c r="AH111" s="29">
        <f t="shared" si="6"/>
        <v>4</v>
      </c>
      <c r="AI111" s="30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31" t="str">
        <f t="shared" si="7"/>
        <v>矮矮</v>
      </c>
      <c r="AK111" s="41"/>
    </row>
    <row r="112" spans="1:37" ht="18" customHeight="1">
      <c r="A112" s="26" t="s">
        <v>58</v>
      </c>
      <c r="B112" s="27" t="s">
        <v>128</v>
      </c>
      <c r="C112" s="28"/>
      <c r="D112" s="28"/>
      <c r="E112" s="28"/>
      <c r="F112" s="2"/>
      <c r="G112" s="28"/>
      <c r="H112" s="2"/>
      <c r="I112" s="28"/>
      <c r="J112" s="28"/>
      <c r="K112" s="28"/>
      <c r="L112" s="28"/>
      <c r="M112" s="2"/>
      <c r="N112" s="28"/>
      <c r="O112" s="12"/>
      <c r="P112" s="26"/>
      <c r="Q112" s="26">
        <v>1</v>
      </c>
      <c r="R112" s="26"/>
      <c r="S112" s="26"/>
      <c r="T112" s="12"/>
      <c r="U112" s="26"/>
      <c r="V112" s="12"/>
      <c r="W112" s="26"/>
      <c r="X112" s="26"/>
      <c r="Y112" s="28"/>
      <c r="Z112" s="28"/>
      <c r="AA112" s="2"/>
      <c r="AB112" s="28"/>
      <c r="AC112" s="3"/>
      <c r="AD112" s="28"/>
      <c r="AE112" s="28"/>
      <c r="AF112" s="28"/>
      <c r="AG112" s="28"/>
      <c r="AH112" s="29">
        <f t="shared" si="6"/>
        <v>1</v>
      </c>
      <c r="AI112" s="30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31" t="str">
        <f t="shared" si="7"/>
        <v>雨昕</v>
      </c>
      <c r="AK112" s="41"/>
    </row>
    <row r="113" spans="1:37" ht="18" customHeight="1">
      <c r="A113" s="35" t="s">
        <v>58</v>
      </c>
      <c r="B113" s="36" t="s">
        <v>121</v>
      </c>
      <c r="C113" s="37"/>
      <c r="D113" s="37"/>
      <c r="E113" s="37"/>
      <c r="F113" s="2"/>
      <c r="G113" s="37">
        <v>1</v>
      </c>
      <c r="H113" s="2"/>
      <c r="I113" s="37"/>
      <c r="J113" s="37">
        <v>1</v>
      </c>
      <c r="K113" s="37">
        <v>1</v>
      </c>
      <c r="L113" s="37"/>
      <c r="M113" s="2"/>
      <c r="N113" s="37">
        <v>1</v>
      </c>
      <c r="O113" s="12"/>
      <c r="P113" s="35">
        <v>1</v>
      </c>
      <c r="Q113" s="35">
        <v>1</v>
      </c>
      <c r="R113" s="35">
        <v>1</v>
      </c>
      <c r="S113" s="35"/>
      <c r="T113" s="12"/>
      <c r="U113" s="35">
        <v>1</v>
      </c>
      <c r="V113" s="12"/>
      <c r="W113" s="35"/>
      <c r="X113" s="35">
        <v>1</v>
      </c>
      <c r="Y113" s="37"/>
      <c r="Z113" s="37">
        <v>1</v>
      </c>
      <c r="AA113" s="2"/>
      <c r="AB113" s="37">
        <v>1</v>
      </c>
      <c r="AC113" s="3"/>
      <c r="AD113" s="37"/>
      <c r="AE113" s="37"/>
      <c r="AF113" s="37">
        <v>1</v>
      </c>
      <c r="AG113" s="37">
        <v>1</v>
      </c>
      <c r="AH113" s="38">
        <f t="shared" si="6"/>
        <v>13</v>
      </c>
      <c r="AI113" s="39">
        <v>1000</v>
      </c>
      <c r="AJ113" s="40" t="str">
        <f t="shared" si="7"/>
        <v>冰沙</v>
      </c>
      <c r="AK113" s="42">
        <v>1000</v>
      </c>
    </row>
    <row r="114" spans="1:37" ht="18" customHeight="1">
      <c r="A114" s="35" t="s">
        <v>58</v>
      </c>
      <c r="B114" s="36" t="s">
        <v>113</v>
      </c>
      <c r="C114" s="37"/>
      <c r="D114" s="37"/>
      <c r="E114" s="37"/>
      <c r="F114" s="2"/>
      <c r="G114" s="37"/>
      <c r="H114" s="2"/>
      <c r="I114" s="37"/>
      <c r="J114" s="37"/>
      <c r="K114" s="37"/>
      <c r="L114" s="37"/>
      <c r="M114" s="2"/>
      <c r="N114" s="37">
        <v>1</v>
      </c>
      <c r="O114" s="12"/>
      <c r="P114" s="35"/>
      <c r="Q114" s="35">
        <v>1</v>
      </c>
      <c r="R114" s="35"/>
      <c r="S114" s="35"/>
      <c r="T114" s="12"/>
      <c r="U114" s="35">
        <v>1</v>
      </c>
      <c r="V114" s="12"/>
      <c r="W114" s="35"/>
      <c r="X114" s="35">
        <v>1</v>
      </c>
      <c r="Y114" s="37"/>
      <c r="Z114" s="37"/>
      <c r="AA114" s="2"/>
      <c r="AB114" s="37">
        <v>1</v>
      </c>
      <c r="AC114" s="3"/>
      <c r="AD114" s="37"/>
      <c r="AE114" s="37">
        <v>1</v>
      </c>
      <c r="AF114" s="37"/>
      <c r="AG114" s="37"/>
      <c r="AH114" s="38">
        <f t="shared" si="6"/>
        <v>6</v>
      </c>
      <c r="AI114" s="39">
        <v>1000</v>
      </c>
      <c r="AJ114" s="40" t="str">
        <f t="shared" si="7"/>
        <v>容容</v>
      </c>
      <c r="AK114" s="42">
        <v>900</v>
      </c>
    </row>
    <row r="115" spans="1:37" ht="18" customHeight="1">
      <c r="A115" s="35" t="s">
        <v>58</v>
      </c>
      <c r="B115" s="36" t="s">
        <v>106</v>
      </c>
      <c r="C115" s="37"/>
      <c r="D115" s="37"/>
      <c r="E115" s="37"/>
      <c r="F115" s="2"/>
      <c r="G115" s="37"/>
      <c r="H115" s="2"/>
      <c r="I115" s="37"/>
      <c r="J115" s="37"/>
      <c r="K115" s="37"/>
      <c r="L115" s="37"/>
      <c r="M115" s="2"/>
      <c r="N115" s="37"/>
      <c r="O115" s="12"/>
      <c r="P115" s="35"/>
      <c r="Q115" s="35"/>
      <c r="R115" s="35"/>
      <c r="S115" s="35"/>
      <c r="T115" s="12"/>
      <c r="U115" s="35">
        <v>1</v>
      </c>
      <c r="V115" s="12"/>
      <c r="W115" s="35"/>
      <c r="X115" s="35">
        <v>1</v>
      </c>
      <c r="Y115" s="37">
        <v>1</v>
      </c>
      <c r="Z115" s="37"/>
      <c r="AA115" s="2"/>
      <c r="AB115" s="37">
        <v>1</v>
      </c>
      <c r="AC115" s="3"/>
      <c r="AD115" s="37"/>
      <c r="AE115" s="37">
        <v>1</v>
      </c>
      <c r="AF115" s="37">
        <v>1</v>
      </c>
      <c r="AG115" s="37"/>
      <c r="AH115" s="38">
        <f t="shared" si="6"/>
        <v>6</v>
      </c>
      <c r="AI115" s="39">
        <v>1000</v>
      </c>
      <c r="AJ115" s="40" t="str">
        <f t="shared" si="7"/>
        <v>Nina</v>
      </c>
      <c r="AK115" s="42">
        <v>900</v>
      </c>
    </row>
    <row r="116" spans="1:37" ht="18" customHeight="1">
      <c r="A116" s="35" t="s">
        <v>58</v>
      </c>
      <c r="B116" s="36" t="s">
        <v>139</v>
      </c>
      <c r="C116" s="37"/>
      <c r="D116" s="37"/>
      <c r="E116" s="37"/>
      <c r="F116" s="2"/>
      <c r="G116" s="37">
        <v>1</v>
      </c>
      <c r="H116" s="2"/>
      <c r="I116" s="37"/>
      <c r="J116" s="37"/>
      <c r="K116" s="37">
        <v>1</v>
      </c>
      <c r="L116" s="37"/>
      <c r="M116" s="2"/>
      <c r="N116" s="37">
        <v>1</v>
      </c>
      <c r="O116" s="12"/>
      <c r="P116" s="35"/>
      <c r="Q116" s="35"/>
      <c r="R116" s="35"/>
      <c r="S116" s="35"/>
      <c r="T116" s="12"/>
      <c r="U116" s="35"/>
      <c r="V116" s="12"/>
      <c r="W116" s="35"/>
      <c r="X116" s="35"/>
      <c r="Y116" s="37">
        <v>1</v>
      </c>
      <c r="Z116" s="37"/>
      <c r="AA116" s="2"/>
      <c r="AB116" s="37"/>
      <c r="AC116" s="3"/>
      <c r="AD116" s="37"/>
      <c r="AE116" s="37"/>
      <c r="AF116" s="37">
        <v>1</v>
      </c>
      <c r="AG116" s="37"/>
      <c r="AH116" s="38">
        <f t="shared" si="6"/>
        <v>5</v>
      </c>
      <c r="AI116" s="39">
        <v>1000</v>
      </c>
      <c r="AJ116" s="40" t="str">
        <f t="shared" si="7"/>
        <v>Tina</v>
      </c>
      <c r="AK116" s="42">
        <v>750</v>
      </c>
    </row>
    <row r="117" spans="1:37" ht="18" customHeight="1">
      <c r="A117" s="35" t="s">
        <v>58</v>
      </c>
      <c r="B117" s="36" t="s">
        <v>117</v>
      </c>
      <c r="C117" s="37"/>
      <c r="D117" s="37"/>
      <c r="E117" s="37"/>
      <c r="F117" s="2"/>
      <c r="G117" s="37"/>
      <c r="H117" s="2"/>
      <c r="I117" s="37"/>
      <c r="J117" s="37"/>
      <c r="K117" s="37">
        <v>1</v>
      </c>
      <c r="L117" s="37"/>
      <c r="M117" s="2"/>
      <c r="N117" s="37">
        <v>1</v>
      </c>
      <c r="O117" s="12"/>
      <c r="P117" s="35"/>
      <c r="Q117" s="35">
        <v>1</v>
      </c>
      <c r="R117" s="35">
        <v>1</v>
      </c>
      <c r="S117" s="35"/>
      <c r="T117" s="12"/>
      <c r="U117" s="35"/>
      <c r="V117" s="12"/>
      <c r="W117" s="35"/>
      <c r="X117" s="35"/>
      <c r="Y117" s="37"/>
      <c r="Z117" s="37"/>
      <c r="AA117" s="2"/>
      <c r="AB117" s="37"/>
      <c r="AC117" s="3"/>
      <c r="AD117" s="37"/>
      <c r="AE117" s="37"/>
      <c r="AF117" s="37">
        <v>1</v>
      </c>
      <c r="AG117" s="37"/>
      <c r="AH117" s="38">
        <f t="shared" si="6"/>
        <v>5</v>
      </c>
      <c r="AI117" s="39">
        <v>1000</v>
      </c>
      <c r="AJ117" s="40" t="str">
        <f t="shared" si="7"/>
        <v>依凡</v>
      </c>
      <c r="AK117" s="42">
        <v>750</v>
      </c>
    </row>
    <row r="118" spans="1:37" ht="18" customHeight="1">
      <c r="A118" s="35" t="s">
        <v>58</v>
      </c>
      <c r="B118" s="36" t="s">
        <v>140</v>
      </c>
      <c r="C118" s="37"/>
      <c r="D118" s="37"/>
      <c r="E118" s="37"/>
      <c r="F118" s="2"/>
      <c r="G118" s="37"/>
      <c r="H118" s="2"/>
      <c r="I118" s="37"/>
      <c r="J118" s="37"/>
      <c r="K118" s="37"/>
      <c r="L118" s="37"/>
      <c r="M118" s="2"/>
      <c r="N118" s="37"/>
      <c r="O118" s="12"/>
      <c r="P118" s="35"/>
      <c r="Q118" s="35">
        <v>1</v>
      </c>
      <c r="R118" s="35">
        <v>1</v>
      </c>
      <c r="S118" s="35"/>
      <c r="T118" s="12"/>
      <c r="U118" s="35">
        <v>1</v>
      </c>
      <c r="V118" s="12"/>
      <c r="W118" s="35"/>
      <c r="X118" s="35">
        <v>1</v>
      </c>
      <c r="Y118" s="37">
        <v>1</v>
      </c>
      <c r="Z118" s="37"/>
      <c r="AA118" s="2"/>
      <c r="AB118" s="37">
        <v>1</v>
      </c>
      <c r="AC118" s="3"/>
      <c r="AD118" s="37"/>
      <c r="AE118" s="37">
        <v>1</v>
      </c>
      <c r="AF118" s="37">
        <v>1</v>
      </c>
      <c r="AG118" s="37"/>
      <c r="AH118" s="38">
        <f t="shared" si="6"/>
        <v>8</v>
      </c>
      <c r="AI118" s="39">
        <v>1000</v>
      </c>
      <c r="AJ118" s="40" t="str">
        <f t="shared" si="7"/>
        <v>芷琦</v>
      </c>
      <c r="AK118" s="42">
        <v>1000</v>
      </c>
    </row>
    <row r="119" spans="1:37" ht="18" customHeight="1">
      <c r="A119" s="35" t="s">
        <v>58</v>
      </c>
      <c r="B119" s="36" t="s">
        <v>122</v>
      </c>
      <c r="C119" s="37"/>
      <c r="D119" s="37"/>
      <c r="E119" s="37"/>
      <c r="F119" s="2"/>
      <c r="G119" s="37"/>
      <c r="H119" s="2"/>
      <c r="I119" s="37"/>
      <c r="J119" s="37"/>
      <c r="K119" s="37">
        <v>1</v>
      </c>
      <c r="L119" s="37"/>
      <c r="M119" s="2"/>
      <c r="N119" s="37">
        <v>1</v>
      </c>
      <c r="O119" s="12"/>
      <c r="P119" s="35"/>
      <c r="Q119" s="35">
        <v>1</v>
      </c>
      <c r="R119" s="35">
        <v>1</v>
      </c>
      <c r="S119" s="35"/>
      <c r="T119" s="12"/>
      <c r="U119" s="35"/>
      <c r="V119" s="12"/>
      <c r="W119" s="35"/>
      <c r="X119" s="35">
        <v>1</v>
      </c>
      <c r="Y119" s="37"/>
      <c r="Z119" s="37"/>
      <c r="AA119" s="2"/>
      <c r="AB119" s="37">
        <v>1</v>
      </c>
      <c r="AC119" s="3"/>
      <c r="AD119" s="37"/>
      <c r="AE119" s="37"/>
      <c r="AF119" s="37"/>
      <c r="AG119" s="37"/>
      <c r="AH119" s="38">
        <f t="shared" si="6"/>
        <v>6</v>
      </c>
      <c r="AI119" s="39">
        <v>1000</v>
      </c>
      <c r="AJ119" s="40" t="str">
        <f t="shared" si="7"/>
        <v>幸恩</v>
      </c>
      <c r="AK119" s="42">
        <v>900</v>
      </c>
    </row>
    <row r="120" spans="1:37" ht="18" customHeight="1">
      <c r="A120" s="35" t="s">
        <v>58</v>
      </c>
      <c r="B120" s="36" t="s">
        <v>198</v>
      </c>
      <c r="C120" s="37"/>
      <c r="D120" s="37"/>
      <c r="E120" s="37"/>
      <c r="F120" s="2"/>
      <c r="G120" s="37"/>
      <c r="H120" s="2"/>
      <c r="I120" s="37"/>
      <c r="J120" s="37"/>
      <c r="K120" s="37"/>
      <c r="L120" s="37"/>
      <c r="M120" s="2"/>
      <c r="N120" s="37"/>
      <c r="O120" s="12"/>
      <c r="P120" s="35"/>
      <c r="Q120" s="35"/>
      <c r="R120" s="35"/>
      <c r="S120" s="35"/>
      <c r="T120" s="12"/>
      <c r="U120" s="35"/>
      <c r="V120" s="12"/>
      <c r="W120" s="35"/>
      <c r="X120" s="35"/>
      <c r="Y120" s="37"/>
      <c r="Z120" s="37"/>
      <c r="AA120" s="2"/>
      <c r="AB120" s="37"/>
      <c r="AC120" s="3"/>
      <c r="AD120" s="37"/>
      <c r="AE120" s="37"/>
      <c r="AF120" s="37"/>
      <c r="AG120" s="37"/>
      <c r="AH120" s="38">
        <f t="shared" si="6"/>
        <v>0</v>
      </c>
      <c r="AI120" s="39">
        <v>1000</v>
      </c>
      <c r="AJ120" s="40" t="str">
        <f t="shared" si="7"/>
        <v>郁翔</v>
      </c>
      <c r="AK120" s="42">
        <v>0</v>
      </c>
    </row>
  </sheetData>
  <mergeCells count="5">
    <mergeCell ref="AI1:AI3"/>
    <mergeCell ref="AJ1:AJ3"/>
    <mergeCell ref="AH1:AH3"/>
    <mergeCell ref="A1:B1"/>
    <mergeCell ref="AK1:AK2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x="16383" man="1"/>
    <brk id="42" max="16383" man="1"/>
    <brk id="7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A9999"/>
    <outlinePr summaryBelow="0" summaryRight="0"/>
  </sheetPr>
  <dimension ref="A1:AK12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3" max="34" width="4.453125" customWidth="1"/>
    <col min="35" max="35" width="6" customWidth="1"/>
    <col min="36" max="36" width="6.1796875" customWidth="1"/>
    <col min="37" max="37" width="16.26953125" customWidth="1"/>
  </cols>
  <sheetData>
    <row r="1" spans="1:37" ht="18" customHeight="1">
      <c r="A1" s="279" t="s">
        <v>0</v>
      </c>
      <c r="B1" s="280"/>
      <c r="C1" s="2"/>
      <c r="D1" s="1" t="s">
        <v>183</v>
      </c>
      <c r="E1" s="2"/>
      <c r="F1" s="1" t="s">
        <v>185</v>
      </c>
      <c r="G1" s="1" t="s">
        <v>186</v>
      </c>
      <c r="H1" s="1" t="s">
        <v>186</v>
      </c>
      <c r="I1" s="1" t="s">
        <v>182</v>
      </c>
      <c r="J1" s="2"/>
      <c r="K1" s="1" t="s">
        <v>183</v>
      </c>
      <c r="L1" s="2"/>
      <c r="M1" s="1" t="s">
        <v>185</v>
      </c>
      <c r="N1" s="1" t="s">
        <v>184</v>
      </c>
      <c r="O1" s="1" t="s">
        <v>186</v>
      </c>
      <c r="P1" s="1" t="s">
        <v>182</v>
      </c>
      <c r="Q1" s="2"/>
      <c r="R1" s="1" t="s">
        <v>183</v>
      </c>
      <c r="S1" s="2"/>
      <c r="T1" s="1" t="s">
        <v>185</v>
      </c>
      <c r="U1" s="1" t="s">
        <v>184</v>
      </c>
      <c r="V1" s="1" t="s">
        <v>186</v>
      </c>
      <c r="W1" s="1" t="s">
        <v>182</v>
      </c>
      <c r="X1" s="2"/>
      <c r="Y1" s="1" t="s">
        <v>182</v>
      </c>
      <c r="Z1" s="2"/>
      <c r="AA1" s="1" t="s">
        <v>186</v>
      </c>
      <c r="AB1" s="1" t="s">
        <v>186</v>
      </c>
      <c r="AC1" s="1" t="s">
        <v>186</v>
      </c>
      <c r="AD1" s="1" t="s">
        <v>182</v>
      </c>
      <c r="AE1" s="2"/>
      <c r="AF1" s="1" t="s">
        <v>183</v>
      </c>
      <c r="AG1" s="2"/>
      <c r="AH1" s="281" t="s">
        <v>6</v>
      </c>
      <c r="AI1" s="276" t="s">
        <v>7</v>
      </c>
      <c r="AJ1" s="271" t="s">
        <v>172</v>
      </c>
      <c r="AK1" s="274" t="s">
        <v>199</v>
      </c>
    </row>
    <row r="2" spans="1:37" ht="18" customHeight="1">
      <c r="A2" s="4" t="s">
        <v>2</v>
      </c>
      <c r="B2" s="5" t="s">
        <v>3</v>
      </c>
      <c r="C2" s="6">
        <v>45139</v>
      </c>
      <c r="D2" s="7">
        <v>45140</v>
      </c>
      <c r="E2" s="6">
        <v>45141</v>
      </c>
      <c r="F2" s="7">
        <v>45142</v>
      </c>
      <c r="G2" s="7">
        <v>45143</v>
      </c>
      <c r="H2" s="7">
        <v>45144</v>
      </c>
      <c r="I2" s="7">
        <v>45145</v>
      </c>
      <c r="J2" s="6">
        <v>45146</v>
      </c>
      <c r="K2" s="7">
        <v>45147</v>
      </c>
      <c r="L2" s="6">
        <v>45148</v>
      </c>
      <c r="M2" s="7">
        <v>45149</v>
      </c>
      <c r="N2" s="7">
        <v>45150</v>
      </c>
      <c r="O2" s="7">
        <v>45151</v>
      </c>
      <c r="P2" s="7">
        <v>45152</v>
      </c>
      <c r="Q2" s="6">
        <v>45153</v>
      </c>
      <c r="R2" s="7">
        <v>45154</v>
      </c>
      <c r="S2" s="6">
        <v>45155</v>
      </c>
      <c r="T2" s="7">
        <v>45156</v>
      </c>
      <c r="U2" s="7">
        <v>45157</v>
      </c>
      <c r="V2" s="7">
        <v>45158</v>
      </c>
      <c r="W2" s="7">
        <v>45159</v>
      </c>
      <c r="X2" s="6">
        <v>45160</v>
      </c>
      <c r="Y2" s="7">
        <v>45161</v>
      </c>
      <c r="Z2" s="6">
        <v>45162</v>
      </c>
      <c r="AA2" s="7">
        <v>45163</v>
      </c>
      <c r="AB2" s="7">
        <v>45164</v>
      </c>
      <c r="AC2" s="7">
        <v>45165</v>
      </c>
      <c r="AD2" s="7">
        <v>45166</v>
      </c>
      <c r="AE2" s="6">
        <v>45167</v>
      </c>
      <c r="AF2" s="7">
        <v>45168</v>
      </c>
      <c r="AG2" s="6">
        <v>45169</v>
      </c>
      <c r="AH2" s="282"/>
      <c r="AI2" s="277"/>
      <c r="AJ2" s="272"/>
      <c r="AK2" s="275"/>
    </row>
    <row r="3" spans="1:37" ht="18" customHeight="1">
      <c r="A3" s="4" t="s">
        <v>4</v>
      </c>
      <c r="B3" s="5" t="s">
        <v>5</v>
      </c>
      <c r="C3" s="2">
        <v>2</v>
      </c>
      <c r="D3" s="1">
        <v>3</v>
      </c>
      <c r="E3" s="2">
        <v>4</v>
      </c>
      <c r="F3" s="1">
        <v>5</v>
      </c>
      <c r="G3" s="1">
        <v>6</v>
      </c>
      <c r="H3" s="1">
        <v>7</v>
      </c>
      <c r="I3" s="1">
        <v>1</v>
      </c>
      <c r="J3" s="2">
        <v>2</v>
      </c>
      <c r="K3" s="1">
        <v>3</v>
      </c>
      <c r="L3" s="2">
        <v>4</v>
      </c>
      <c r="M3" s="1">
        <v>5</v>
      </c>
      <c r="N3" s="1">
        <v>6</v>
      </c>
      <c r="O3" s="1">
        <v>7</v>
      </c>
      <c r="P3" s="1">
        <v>1</v>
      </c>
      <c r="Q3" s="2">
        <v>2</v>
      </c>
      <c r="R3" s="1">
        <v>3</v>
      </c>
      <c r="S3" s="2">
        <v>4</v>
      </c>
      <c r="T3" s="1">
        <v>5</v>
      </c>
      <c r="U3" s="1">
        <v>6</v>
      </c>
      <c r="V3" s="1">
        <v>7</v>
      </c>
      <c r="W3" s="1">
        <v>1</v>
      </c>
      <c r="X3" s="2">
        <v>2</v>
      </c>
      <c r="Y3" s="1">
        <v>3</v>
      </c>
      <c r="Z3" s="2">
        <v>4</v>
      </c>
      <c r="AA3" s="1">
        <v>5</v>
      </c>
      <c r="AB3" s="1">
        <v>6</v>
      </c>
      <c r="AC3" s="1">
        <v>7</v>
      </c>
      <c r="AD3" s="1">
        <v>1</v>
      </c>
      <c r="AE3" s="2">
        <v>2</v>
      </c>
      <c r="AF3" s="1">
        <v>3</v>
      </c>
      <c r="AG3" s="2">
        <v>4</v>
      </c>
      <c r="AH3" s="283"/>
      <c r="AI3" s="278"/>
      <c r="AJ3" s="273"/>
      <c r="AK3" s="8" t="e">
        <f ca="1">SUM(AI4:AI130)</f>
        <v>#NAME?</v>
      </c>
    </row>
    <row r="4" spans="1:37" ht="18" customHeight="1">
      <c r="A4" s="9" t="s">
        <v>174</v>
      </c>
      <c r="B4" s="10" t="s">
        <v>10</v>
      </c>
      <c r="C4" s="2"/>
      <c r="D4" s="11"/>
      <c r="E4" s="2"/>
      <c r="F4" s="11"/>
      <c r="G4" s="11"/>
      <c r="H4" s="11"/>
      <c r="I4" s="11">
        <v>1</v>
      </c>
      <c r="J4" s="2"/>
      <c r="K4" s="11"/>
      <c r="L4" s="2"/>
      <c r="M4" s="11"/>
      <c r="N4" s="11"/>
      <c r="O4" s="11"/>
      <c r="P4" s="11">
        <v>1</v>
      </c>
      <c r="Q4" s="2"/>
      <c r="R4" s="11"/>
      <c r="S4" s="12"/>
      <c r="T4" s="9"/>
      <c r="U4" s="9"/>
      <c r="V4" s="9"/>
      <c r="W4" s="9">
        <v>1</v>
      </c>
      <c r="X4" s="12"/>
      <c r="Y4" s="9"/>
      <c r="Z4" s="12"/>
      <c r="AA4" s="9">
        <v>1</v>
      </c>
      <c r="AB4" s="9"/>
      <c r="AC4" s="11"/>
      <c r="AD4" s="11">
        <v>1</v>
      </c>
      <c r="AE4" s="2"/>
      <c r="AF4" s="11">
        <v>1</v>
      </c>
      <c r="AG4" s="3"/>
      <c r="AH4" s="13">
        <f t="shared" ref="AH4:AH35" si="0">COUNTA(C4:AF4)</f>
        <v>6</v>
      </c>
      <c r="AI4" s="14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15" t="str">
        <f t="shared" ref="AJ4:AJ35" si="1">B4</f>
        <v>阿發</v>
      </c>
      <c r="AK4" s="16"/>
    </row>
    <row r="5" spans="1:37" ht="18" customHeight="1">
      <c r="A5" s="9" t="s">
        <v>174</v>
      </c>
      <c r="B5" s="10" t="s">
        <v>13</v>
      </c>
      <c r="C5" s="2"/>
      <c r="D5" s="11">
        <v>1</v>
      </c>
      <c r="E5" s="2"/>
      <c r="F5" s="11"/>
      <c r="G5" s="11"/>
      <c r="H5" s="11">
        <v>1</v>
      </c>
      <c r="I5" s="11">
        <v>1</v>
      </c>
      <c r="J5" s="2"/>
      <c r="K5" s="11">
        <v>1</v>
      </c>
      <c r="L5" s="2"/>
      <c r="M5" s="11">
        <v>1</v>
      </c>
      <c r="N5" s="11"/>
      <c r="O5" s="11">
        <v>1</v>
      </c>
      <c r="P5" s="11">
        <v>1</v>
      </c>
      <c r="Q5" s="2"/>
      <c r="R5" s="11">
        <v>1</v>
      </c>
      <c r="S5" s="12"/>
      <c r="T5" s="9">
        <v>1</v>
      </c>
      <c r="U5" s="9"/>
      <c r="V5" s="9">
        <v>1</v>
      </c>
      <c r="W5" s="9">
        <v>1</v>
      </c>
      <c r="X5" s="12"/>
      <c r="Y5" s="9"/>
      <c r="Z5" s="12"/>
      <c r="AA5" s="9"/>
      <c r="AB5" s="9"/>
      <c r="AC5" s="11"/>
      <c r="AD5" s="11">
        <v>1</v>
      </c>
      <c r="AE5" s="2"/>
      <c r="AF5" s="11">
        <v>1</v>
      </c>
      <c r="AG5" s="3"/>
      <c r="AH5" s="13">
        <f t="shared" si="0"/>
        <v>13</v>
      </c>
      <c r="AI5" s="14" t="e">
        <f ca="1">IF(A5="O", (VALUE(_xludf.IFS(AH5=0,"0",AH5=1,"150",AH5=2,"300",AH5=3,"450",AH5=4,"600",AH5=5,"750",AH5&gt;=6,"800"))),(VALUE(_xludf.IFS(AH5=0,"0",AH5=1,"150",AH5=2,"300",AH5=3,"450",AH5=4,"600",AH5=5,"750",AH5=6,"900",AH5&gt;=7,"1,000"))))</f>
        <v>#NAME?</v>
      </c>
      <c r="AJ5" s="15" t="str">
        <f t="shared" si="1"/>
        <v>李洋</v>
      </c>
      <c r="AK5" s="16"/>
    </row>
    <row r="6" spans="1:37" ht="18" customHeight="1">
      <c r="A6" s="9" t="s">
        <v>174</v>
      </c>
      <c r="B6" s="10" t="s">
        <v>11</v>
      </c>
      <c r="C6" s="2"/>
      <c r="D6" s="11">
        <v>1</v>
      </c>
      <c r="E6" s="2"/>
      <c r="F6" s="11">
        <v>1</v>
      </c>
      <c r="G6" s="11"/>
      <c r="H6" s="11">
        <v>1</v>
      </c>
      <c r="I6" s="11">
        <v>1</v>
      </c>
      <c r="J6" s="2"/>
      <c r="K6" s="11">
        <v>1</v>
      </c>
      <c r="L6" s="2"/>
      <c r="M6" s="11">
        <v>1</v>
      </c>
      <c r="N6" s="11">
        <v>1</v>
      </c>
      <c r="O6" s="11">
        <v>1</v>
      </c>
      <c r="P6" s="11">
        <v>1</v>
      </c>
      <c r="Q6" s="2"/>
      <c r="R6" s="11">
        <v>1</v>
      </c>
      <c r="S6" s="12"/>
      <c r="T6" s="9">
        <v>1</v>
      </c>
      <c r="U6" s="9">
        <v>1</v>
      </c>
      <c r="V6" s="9">
        <v>1</v>
      </c>
      <c r="W6" s="9">
        <v>1</v>
      </c>
      <c r="X6" s="12"/>
      <c r="Y6" s="9">
        <v>1</v>
      </c>
      <c r="Z6" s="12"/>
      <c r="AA6" s="9"/>
      <c r="AB6" s="9"/>
      <c r="AC6" s="11"/>
      <c r="AD6" s="11">
        <v>1</v>
      </c>
      <c r="AE6" s="2"/>
      <c r="AF6" s="11">
        <v>1</v>
      </c>
      <c r="AG6" s="3"/>
      <c r="AH6" s="13">
        <f t="shared" si="0"/>
        <v>17</v>
      </c>
      <c r="AI6" s="14" t="e">
        <f ca="1">IF(A6="O", (VALUE(_xludf.IFS(AH6=0,"0",AH6=1,"150",AH6=2,"300",AH6=3,"450",AH6=4,"600",AH6=5,"750",AH6&gt;=6,"800"))),(VALUE(_xludf.IFS(AH6=0,"0",AH6=1,"150",AH6=2,"300",AH6=3,"450",AH6=4,"600",AH6=5,"750",AH6=6,"900",AH6&gt;=7,"1,000"))))</f>
        <v>#NAME?</v>
      </c>
      <c r="AJ6" s="15" t="str">
        <f t="shared" si="1"/>
        <v>捷升</v>
      </c>
      <c r="AK6" s="17"/>
    </row>
    <row r="7" spans="1:37" ht="18" customHeight="1">
      <c r="A7" s="9" t="s">
        <v>174</v>
      </c>
      <c r="B7" s="10" t="s">
        <v>19</v>
      </c>
      <c r="C7" s="2"/>
      <c r="D7" s="11">
        <v>1</v>
      </c>
      <c r="E7" s="2"/>
      <c r="F7" s="11">
        <v>1</v>
      </c>
      <c r="G7" s="11"/>
      <c r="H7" s="11">
        <v>1</v>
      </c>
      <c r="I7" s="11">
        <v>1</v>
      </c>
      <c r="J7" s="2"/>
      <c r="K7" s="11">
        <v>1</v>
      </c>
      <c r="L7" s="2"/>
      <c r="M7" s="11">
        <v>1</v>
      </c>
      <c r="N7" s="11"/>
      <c r="O7" s="11">
        <v>1</v>
      </c>
      <c r="P7" s="11">
        <v>1</v>
      </c>
      <c r="Q7" s="2"/>
      <c r="R7" s="11">
        <v>1</v>
      </c>
      <c r="S7" s="12"/>
      <c r="T7" s="9">
        <v>1</v>
      </c>
      <c r="U7" s="9"/>
      <c r="V7" s="9">
        <v>1</v>
      </c>
      <c r="W7" s="9">
        <v>1</v>
      </c>
      <c r="X7" s="12"/>
      <c r="Y7" s="9">
        <v>1</v>
      </c>
      <c r="Z7" s="12"/>
      <c r="AA7" s="9">
        <v>1</v>
      </c>
      <c r="AB7" s="9"/>
      <c r="AC7" s="11"/>
      <c r="AD7" s="11">
        <v>1</v>
      </c>
      <c r="AE7" s="2"/>
      <c r="AF7" s="11">
        <v>1</v>
      </c>
      <c r="AG7" s="3"/>
      <c r="AH7" s="13">
        <f t="shared" si="0"/>
        <v>16</v>
      </c>
      <c r="AI7" s="14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15" t="str">
        <f t="shared" si="1"/>
        <v>青蛙</v>
      </c>
      <c r="AK7" s="16"/>
    </row>
    <row r="8" spans="1:37" ht="18" customHeight="1">
      <c r="A8" s="9" t="s">
        <v>174</v>
      </c>
      <c r="B8" s="10" t="s">
        <v>14</v>
      </c>
      <c r="C8" s="2"/>
      <c r="D8" s="11">
        <v>1</v>
      </c>
      <c r="E8" s="2"/>
      <c r="F8" s="11">
        <v>1</v>
      </c>
      <c r="G8" s="11"/>
      <c r="H8" s="11">
        <v>1</v>
      </c>
      <c r="I8" s="11">
        <v>1</v>
      </c>
      <c r="J8" s="2"/>
      <c r="K8" s="11">
        <v>1</v>
      </c>
      <c r="L8" s="2"/>
      <c r="M8" s="11">
        <v>1</v>
      </c>
      <c r="N8" s="11"/>
      <c r="O8" s="11">
        <v>1</v>
      </c>
      <c r="P8" s="11">
        <v>1</v>
      </c>
      <c r="Q8" s="2"/>
      <c r="R8" s="11">
        <v>1</v>
      </c>
      <c r="S8" s="12"/>
      <c r="T8" s="9">
        <v>1</v>
      </c>
      <c r="U8" s="9"/>
      <c r="V8" s="9">
        <v>1</v>
      </c>
      <c r="W8" s="9">
        <v>1</v>
      </c>
      <c r="X8" s="12"/>
      <c r="Y8" s="9">
        <v>1</v>
      </c>
      <c r="Z8" s="12"/>
      <c r="AA8" s="9">
        <v>1</v>
      </c>
      <c r="AB8" s="9"/>
      <c r="AC8" s="11">
        <v>1</v>
      </c>
      <c r="AD8" s="11">
        <v>1</v>
      </c>
      <c r="AE8" s="2"/>
      <c r="AF8" s="11">
        <v>1</v>
      </c>
      <c r="AG8" s="3"/>
      <c r="AH8" s="13">
        <f t="shared" si="0"/>
        <v>17</v>
      </c>
      <c r="AI8" s="14" t="e">
        <f ca="1">IF(A8="O", (VALUE(_xludf.IFS(AH8=0,"0",AH8=1,"150",AH8=2,"300",AH8=3,"450",AH8=4,"600",AH8=5,"750",AH8&gt;=6,"800"))),(VALUE(_xludf.IFS(AH8=0,"0",AH8=1,"150",AH8=2,"300",AH8=3,"450",AH8=4,"600",AH8=5,"750",AH8=6,"900",AH8&gt;=7,"1,000"))))</f>
        <v>#NAME?</v>
      </c>
      <c r="AJ8" s="15" t="str">
        <f t="shared" si="1"/>
        <v>曉明</v>
      </c>
      <c r="AK8" s="16"/>
    </row>
    <row r="9" spans="1:37" ht="18" customHeight="1">
      <c r="A9" s="9" t="s">
        <v>174</v>
      </c>
      <c r="B9" s="10" t="s">
        <v>18</v>
      </c>
      <c r="C9" s="2"/>
      <c r="D9" s="11">
        <v>1</v>
      </c>
      <c r="E9" s="2"/>
      <c r="F9" s="11">
        <v>1</v>
      </c>
      <c r="G9" s="11">
        <v>1</v>
      </c>
      <c r="H9" s="11">
        <v>1</v>
      </c>
      <c r="I9" s="11">
        <v>1</v>
      </c>
      <c r="J9" s="2"/>
      <c r="K9" s="11">
        <v>1</v>
      </c>
      <c r="L9" s="2"/>
      <c r="M9" s="11">
        <v>1</v>
      </c>
      <c r="N9" s="11">
        <v>1</v>
      </c>
      <c r="O9" s="11">
        <v>1</v>
      </c>
      <c r="P9" s="11">
        <v>1</v>
      </c>
      <c r="Q9" s="2"/>
      <c r="R9" s="11">
        <v>1</v>
      </c>
      <c r="S9" s="12"/>
      <c r="T9" s="9">
        <v>1</v>
      </c>
      <c r="U9" s="9"/>
      <c r="V9" s="9">
        <v>1</v>
      </c>
      <c r="W9" s="9">
        <v>1</v>
      </c>
      <c r="X9" s="12"/>
      <c r="Y9" s="9">
        <v>1</v>
      </c>
      <c r="Z9" s="12"/>
      <c r="AA9" s="9">
        <v>1</v>
      </c>
      <c r="AB9" s="9">
        <v>1</v>
      </c>
      <c r="AC9" s="11"/>
      <c r="AD9" s="11">
        <v>1</v>
      </c>
      <c r="AE9" s="2"/>
      <c r="AF9" s="11">
        <v>1</v>
      </c>
      <c r="AG9" s="3"/>
      <c r="AH9" s="13">
        <f t="shared" si="0"/>
        <v>19</v>
      </c>
      <c r="AI9" s="14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15" t="str">
        <f t="shared" si="1"/>
        <v>皓元</v>
      </c>
      <c r="AK9" s="16"/>
    </row>
    <row r="10" spans="1:37" ht="18" customHeight="1">
      <c r="A10" s="9" t="s">
        <v>174</v>
      </c>
      <c r="B10" s="10" t="s">
        <v>21</v>
      </c>
      <c r="C10" s="2"/>
      <c r="D10" s="11"/>
      <c r="E10" s="2"/>
      <c r="F10" s="11"/>
      <c r="G10" s="11"/>
      <c r="H10" s="11"/>
      <c r="I10" s="11">
        <v>1</v>
      </c>
      <c r="J10" s="2"/>
      <c r="K10" s="11"/>
      <c r="L10" s="2"/>
      <c r="M10" s="11">
        <v>1</v>
      </c>
      <c r="N10" s="11"/>
      <c r="O10" s="11">
        <v>1</v>
      </c>
      <c r="P10" s="11">
        <v>1</v>
      </c>
      <c r="Q10" s="2"/>
      <c r="R10" s="11"/>
      <c r="S10" s="12"/>
      <c r="T10" s="9"/>
      <c r="U10" s="9"/>
      <c r="V10" s="9">
        <v>1</v>
      </c>
      <c r="W10" s="9">
        <v>1</v>
      </c>
      <c r="X10" s="12"/>
      <c r="Y10" s="9"/>
      <c r="Z10" s="12"/>
      <c r="AA10" s="9"/>
      <c r="AB10" s="9"/>
      <c r="AC10" s="11"/>
      <c r="AD10" s="11">
        <v>1</v>
      </c>
      <c r="AE10" s="2"/>
      <c r="AF10" s="11"/>
      <c r="AG10" s="3"/>
      <c r="AH10" s="13">
        <f t="shared" si="0"/>
        <v>7</v>
      </c>
      <c r="AI10" s="14" t="e">
        <f ca="1">IF(A10="O", (VALUE(_xludf.IFS(AH10=0,"0",AH10=1,"150",AH10=2,"300",AH10=3,"450",AH10=4,"600",AH10=5,"750",AH10&gt;=6,"800"))),(VALUE(_xludf.IFS(AH10=0,"0",AH10=1,"150",AH10=2,"300",AH10=3,"450",AH10=4,"600",AH10=5,"750",AH10=6,"900",AH10&gt;=7,"1,000"))))</f>
        <v>#NAME?</v>
      </c>
      <c r="AJ10" s="15" t="str">
        <f t="shared" si="1"/>
        <v>晧全</v>
      </c>
      <c r="AK10" s="17"/>
    </row>
    <row r="11" spans="1:37" ht="18" customHeight="1">
      <c r="A11" s="9" t="s">
        <v>174</v>
      </c>
      <c r="B11" s="10" t="s">
        <v>72</v>
      </c>
      <c r="C11" s="2"/>
      <c r="D11" s="11">
        <v>1</v>
      </c>
      <c r="E11" s="2"/>
      <c r="F11" s="11"/>
      <c r="G11" s="11"/>
      <c r="H11" s="11">
        <v>1</v>
      </c>
      <c r="I11" s="11">
        <v>1</v>
      </c>
      <c r="J11" s="2"/>
      <c r="K11" s="11">
        <v>1</v>
      </c>
      <c r="L11" s="2"/>
      <c r="M11" s="11">
        <v>1</v>
      </c>
      <c r="N11" s="11"/>
      <c r="O11" s="11">
        <v>1</v>
      </c>
      <c r="P11" s="11">
        <v>1</v>
      </c>
      <c r="Q11" s="2"/>
      <c r="R11" s="11">
        <v>1</v>
      </c>
      <c r="S11" s="12"/>
      <c r="T11" s="9">
        <v>1</v>
      </c>
      <c r="U11" s="9"/>
      <c r="V11" s="9">
        <v>1</v>
      </c>
      <c r="W11" s="9">
        <v>1</v>
      </c>
      <c r="X11" s="12"/>
      <c r="Y11" s="9">
        <v>1</v>
      </c>
      <c r="Z11" s="12"/>
      <c r="AA11" s="9">
        <v>1</v>
      </c>
      <c r="AB11" s="9"/>
      <c r="AC11" s="11">
        <v>1</v>
      </c>
      <c r="AD11" s="11">
        <v>1</v>
      </c>
      <c r="AE11" s="2"/>
      <c r="AF11" s="11"/>
      <c r="AG11" s="3"/>
      <c r="AH11" s="13">
        <f t="shared" si="0"/>
        <v>15</v>
      </c>
      <c r="AI11" s="14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15" t="str">
        <f t="shared" si="1"/>
        <v>八卦</v>
      </c>
      <c r="AK11" s="16"/>
    </row>
    <row r="12" spans="1:37" ht="18" customHeight="1">
      <c r="A12" s="9" t="s">
        <v>174</v>
      </c>
      <c r="B12" s="10" t="s">
        <v>175</v>
      </c>
      <c r="C12" s="2"/>
      <c r="D12" s="11"/>
      <c r="E12" s="2"/>
      <c r="F12" s="11"/>
      <c r="G12" s="11"/>
      <c r="H12" s="11"/>
      <c r="I12" s="11">
        <v>1</v>
      </c>
      <c r="J12" s="2"/>
      <c r="K12" s="11">
        <v>1</v>
      </c>
      <c r="L12" s="2"/>
      <c r="M12" s="11"/>
      <c r="N12" s="11">
        <v>1</v>
      </c>
      <c r="O12" s="11">
        <v>1</v>
      </c>
      <c r="P12" s="11">
        <v>1</v>
      </c>
      <c r="Q12" s="2"/>
      <c r="R12" s="11"/>
      <c r="S12" s="12"/>
      <c r="T12" s="9"/>
      <c r="U12" s="9"/>
      <c r="V12" s="9"/>
      <c r="W12" s="9">
        <v>1</v>
      </c>
      <c r="X12" s="12"/>
      <c r="Y12" s="9"/>
      <c r="Z12" s="12"/>
      <c r="AA12" s="9">
        <v>1</v>
      </c>
      <c r="AB12" s="9"/>
      <c r="AC12" s="11"/>
      <c r="AD12" s="11">
        <v>1</v>
      </c>
      <c r="AE12" s="2"/>
      <c r="AF12" s="11"/>
      <c r="AG12" s="3"/>
      <c r="AH12" s="13">
        <f t="shared" si="0"/>
        <v>8</v>
      </c>
      <c r="AI12" s="14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15" t="str">
        <f t="shared" si="1"/>
        <v>咪咪</v>
      </c>
      <c r="AK12" s="17"/>
    </row>
    <row r="13" spans="1:37" ht="18" customHeight="1">
      <c r="A13" s="9" t="s">
        <v>174</v>
      </c>
      <c r="B13" s="10" t="s">
        <v>17</v>
      </c>
      <c r="C13" s="2"/>
      <c r="D13" s="11"/>
      <c r="E13" s="2"/>
      <c r="F13" s="11"/>
      <c r="G13" s="11"/>
      <c r="H13" s="11"/>
      <c r="I13" s="11">
        <v>1</v>
      </c>
      <c r="J13" s="2"/>
      <c r="K13" s="11"/>
      <c r="L13" s="2"/>
      <c r="M13" s="11"/>
      <c r="N13" s="11"/>
      <c r="O13" s="11"/>
      <c r="P13" s="11">
        <v>1</v>
      </c>
      <c r="Q13" s="2"/>
      <c r="R13" s="11"/>
      <c r="S13" s="12"/>
      <c r="T13" s="9"/>
      <c r="U13" s="9"/>
      <c r="V13" s="9"/>
      <c r="W13" s="9">
        <v>1</v>
      </c>
      <c r="X13" s="12"/>
      <c r="Y13" s="9"/>
      <c r="Z13" s="12"/>
      <c r="AA13" s="9"/>
      <c r="AB13" s="9"/>
      <c r="AC13" s="11"/>
      <c r="AD13" s="11">
        <v>1</v>
      </c>
      <c r="AE13" s="2"/>
      <c r="AF13" s="11"/>
      <c r="AG13" s="3"/>
      <c r="AH13" s="13">
        <f t="shared" si="0"/>
        <v>4</v>
      </c>
      <c r="AI13" s="14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15" t="str">
        <f t="shared" si="1"/>
        <v>光曜</v>
      </c>
      <c r="AK13" s="16"/>
    </row>
    <row r="14" spans="1:37" ht="18" customHeight="1">
      <c r="A14" s="9" t="s">
        <v>174</v>
      </c>
      <c r="B14" s="10" t="s">
        <v>15</v>
      </c>
      <c r="C14" s="2"/>
      <c r="D14" s="11">
        <v>1</v>
      </c>
      <c r="E14" s="2"/>
      <c r="F14" s="11">
        <v>1</v>
      </c>
      <c r="G14" s="11"/>
      <c r="H14" s="11">
        <v>1</v>
      </c>
      <c r="I14" s="11">
        <v>1</v>
      </c>
      <c r="J14" s="2"/>
      <c r="K14" s="11">
        <v>1</v>
      </c>
      <c r="L14" s="2"/>
      <c r="M14" s="11">
        <v>1</v>
      </c>
      <c r="N14" s="11">
        <v>1</v>
      </c>
      <c r="O14" s="11">
        <v>1</v>
      </c>
      <c r="P14" s="11"/>
      <c r="Q14" s="2"/>
      <c r="R14" s="11"/>
      <c r="S14" s="12"/>
      <c r="T14" s="9">
        <v>1</v>
      </c>
      <c r="U14" s="9"/>
      <c r="V14" s="9"/>
      <c r="W14" s="9">
        <v>1</v>
      </c>
      <c r="X14" s="12"/>
      <c r="Y14" s="9">
        <v>1</v>
      </c>
      <c r="Z14" s="12"/>
      <c r="AA14" s="9"/>
      <c r="AB14" s="9"/>
      <c r="AC14" s="11"/>
      <c r="AD14" s="11">
        <v>1</v>
      </c>
      <c r="AE14" s="2"/>
      <c r="AF14" s="11">
        <v>1</v>
      </c>
      <c r="AG14" s="3"/>
      <c r="AH14" s="13">
        <f t="shared" si="0"/>
        <v>13</v>
      </c>
      <c r="AI14" s="14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15" t="str">
        <f t="shared" si="1"/>
        <v>大支</v>
      </c>
      <c r="AK14" s="17"/>
    </row>
    <row r="15" spans="1:37" ht="18" customHeight="1">
      <c r="A15" s="9" t="s">
        <v>174</v>
      </c>
      <c r="B15" s="10" t="s">
        <v>61</v>
      </c>
      <c r="C15" s="2"/>
      <c r="D15" s="11">
        <v>1</v>
      </c>
      <c r="E15" s="2"/>
      <c r="F15" s="11">
        <v>1</v>
      </c>
      <c r="G15" s="11"/>
      <c r="H15" s="11">
        <v>1</v>
      </c>
      <c r="I15" s="11"/>
      <c r="J15" s="2"/>
      <c r="K15" s="11">
        <v>1</v>
      </c>
      <c r="L15" s="2"/>
      <c r="M15" s="11"/>
      <c r="N15" s="11"/>
      <c r="O15" s="11">
        <v>1</v>
      </c>
      <c r="P15" s="11"/>
      <c r="Q15" s="2"/>
      <c r="R15" s="11">
        <v>1</v>
      </c>
      <c r="S15" s="12"/>
      <c r="T15" s="9">
        <v>1</v>
      </c>
      <c r="U15" s="9"/>
      <c r="V15" s="9"/>
      <c r="W15" s="9"/>
      <c r="X15" s="12"/>
      <c r="Y15" s="9"/>
      <c r="Z15" s="12"/>
      <c r="AA15" s="9">
        <v>1</v>
      </c>
      <c r="AB15" s="9"/>
      <c r="AC15" s="11"/>
      <c r="AD15" s="11"/>
      <c r="AE15" s="2"/>
      <c r="AF15" s="11"/>
      <c r="AG15" s="3"/>
      <c r="AH15" s="13">
        <f t="shared" si="0"/>
        <v>8</v>
      </c>
      <c r="AI15" s="14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15" t="str">
        <f t="shared" si="1"/>
        <v>韋融</v>
      </c>
      <c r="AK15" s="16"/>
    </row>
    <row r="16" spans="1:37" ht="18" customHeight="1">
      <c r="A16" s="9" t="s">
        <v>174</v>
      </c>
      <c r="B16" s="10" t="s">
        <v>20</v>
      </c>
      <c r="C16" s="2"/>
      <c r="D16" s="11">
        <v>1</v>
      </c>
      <c r="E16" s="2"/>
      <c r="F16" s="11">
        <v>1</v>
      </c>
      <c r="G16" s="11"/>
      <c r="H16" s="11"/>
      <c r="I16" s="11">
        <v>1</v>
      </c>
      <c r="J16" s="2"/>
      <c r="K16" s="11">
        <v>1</v>
      </c>
      <c r="L16" s="2"/>
      <c r="M16" s="11">
        <v>1</v>
      </c>
      <c r="N16" s="11">
        <v>1</v>
      </c>
      <c r="O16" s="11">
        <v>1</v>
      </c>
      <c r="P16" s="11">
        <v>1</v>
      </c>
      <c r="Q16" s="2"/>
      <c r="R16" s="11">
        <v>1</v>
      </c>
      <c r="S16" s="12"/>
      <c r="T16" s="9">
        <v>1</v>
      </c>
      <c r="U16" s="9"/>
      <c r="V16" s="9">
        <v>1</v>
      </c>
      <c r="W16" s="9">
        <v>1</v>
      </c>
      <c r="X16" s="12"/>
      <c r="Y16" s="9"/>
      <c r="Z16" s="12"/>
      <c r="AA16" s="9">
        <v>1</v>
      </c>
      <c r="AB16" s="9"/>
      <c r="AC16" s="11"/>
      <c r="AD16" s="11">
        <v>1</v>
      </c>
      <c r="AE16" s="2"/>
      <c r="AF16" s="11">
        <v>1</v>
      </c>
      <c r="AG16" s="3"/>
      <c r="AH16" s="13">
        <f t="shared" si="0"/>
        <v>15</v>
      </c>
      <c r="AI16" s="14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15" t="str">
        <f t="shared" si="1"/>
        <v>港弟</v>
      </c>
      <c r="AK16" s="17"/>
    </row>
    <row r="17" spans="1:37" ht="18" customHeight="1">
      <c r="A17" s="9" t="s">
        <v>174</v>
      </c>
      <c r="B17" s="10" t="s">
        <v>16</v>
      </c>
      <c r="C17" s="2"/>
      <c r="D17" s="11">
        <v>1</v>
      </c>
      <c r="E17" s="2"/>
      <c r="F17" s="11">
        <v>1</v>
      </c>
      <c r="G17" s="11">
        <v>1</v>
      </c>
      <c r="H17" s="11">
        <v>1</v>
      </c>
      <c r="I17" s="11">
        <v>1</v>
      </c>
      <c r="J17" s="2"/>
      <c r="K17" s="11">
        <v>1</v>
      </c>
      <c r="L17" s="2"/>
      <c r="M17" s="11">
        <v>1</v>
      </c>
      <c r="N17" s="11">
        <v>1</v>
      </c>
      <c r="O17" s="11">
        <v>1</v>
      </c>
      <c r="P17" s="11">
        <v>1</v>
      </c>
      <c r="Q17" s="2"/>
      <c r="R17" s="11">
        <v>1</v>
      </c>
      <c r="S17" s="12"/>
      <c r="T17" s="9">
        <v>1</v>
      </c>
      <c r="U17" s="9">
        <v>1</v>
      </c>
      <c r="V17" s="9">
        <v>1</v>
      </c>
      <c r="W17" s="9">
        <v>1</v>
      </c>
      <c r="X17" s="12"/>
      <c r="Y17" s="9">
        <v>1</v>
      </c>
      <c r="Z17" s="12"/>
      <c r="AA17" s="9">
        <v>1</v>
      </c>
      <c r="AB17" s="9">
        <v>1</v>
      </c>
      <c r="AC17" s="11">
        <v>1</v>
      </c>
      <c r="AD17" s="11">
        <v>1</v>
      </c>
      <c r="AE17" s="2"/>
      <c r="AF17" s="11">
        <v>1</v>
      </c>
      <c r="AG17" s="3"/>
      <c r="AH17" s="13">
        <f t="shared" si="0"/>
        <v>21</v>
      </c>
      <c r="AI17" s="14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15" t="str">
        <f t="shared" si="1"/>
        <v>弼善</v>
      </c>
      <c r="AK17" s="16"/>
    </row>
    <row r="18" spans="1:37" ht="18" customHeight="1">
      <c r="A18" s="9" t="s">
        <v>174</v>
      </c>
      <c r="B18" s="10" t="s">
        <v>62</v>
      </c>
      <c r="C18" s="2"/>
      <c r="D18" s="11">
        <v>1</v>
      </c>
      <c r="E18" s="2"/>
      <c r="F18" s="11"/>
      <c r="G18" s="11"/>
      <c r="H18" s="11">
        <v>1</v>
      </c>
      <c r="I18" s="11"/>
      <c r="J18" s="2"/>
      <c r="K18" s="11"/>
      <c r="L18" s="2"/>
      <c r="M18" s="11">
        <v>1</v>
      </c>
      <c r="N18" s="11"/>
      <c r="O18" s="11"/>
      <c r="P18" s="11"/>
      <c r="Q18" s="2"/>
      <c r="R18" s="11"/>
      <c r="S18" s="12"/>
      <c r="T18" s="9">
        <v>1</v>
      </c>
      <c r="U18" s="9">
        <v>1</v>
      </c>
      <c r="V18" s="9"/>
      <c r="W18" s="9"/>
      <c r="X18" s="12"/>
      <c r="Y18" s="9">
        <v>1</v>
      </c>
      <c r="Z18" s="12"/>
      <c r="AA18" s="9"/>
      <c r="AB18" s="9">
        <v>1</v>
      </c>
      <c r="AC18" s="11">
        <v>1</v>
      </c>
      <c r="AD18" s="11"/>
      <c r="AE18" s="2"/>
      <c r="AF18" s="11">
        <v>1</v>
      </c>
      <c r="AG18" s="3"/>
      <c r="AH18" s="13">
        <f t="shared" si="0"/>
        <v>9</v>
      </c>
      <c r="AI18" s="14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15" t="str">
        <f t="shared" si="1"/>
        <v>國源</v>
      </c>
      <c r="AK18" s="17"/>
    </row>
    <row r="19" spans="1:37" ht="18" customHeight="1">
      <c r="A19" s="18" t="s">
        <v>174</v>
      </c>
      <c r="B19" s="19" t="s">
        <v>89</v>
      </c>
      <c r="C19" s="2"/>
      <c r="D19" s="20">
        <v>1</v>
      </c>
      <c r="E19" s="2"/>
      <c r="F19" s="20"/>
      <c r="G19" s="20">
        <v>1</v>
      </c>
      <c r="H19" s="20">
        <v>1</v>
      </c>
      <c r="I19" s="20">
        <v>1</v>
      </c>
      <c r="J19" s="2"/>
      <c r="K19" s="20">
        <v>1</v>
      </c>
      <c r="L19" s="2"/>
      <c r="M19" s="20"/>
      <c r="N19" s="20">
        <v>1</v>
      </c>
      <c r="O19" s="20"/>
      <c r="P19" s="20">
        <v>1</v>
      </c>
      <c r="Q19" s="2"/>
      <c r="R19" s="20">
        <v>1</v>
      </c>
      <c r="S19" s="12"/>
      <c r="T19" s="18">
        <v>1</v>
      </c>
      <c r="U19" s="18"/>
      <c r="V19" s="18">
        <v>1</v>
      </c>
      <c r="W19" s="18">
        <v>1</v>
      </c>
      <c r="X19" s="12"/>
      <c r="Y19" s="18">
        <v>1</v>
      </c>
      <c r="Z19" s="12"/>
      <c r="AA19" s="18"/>
      <c r="AB19" s="18">
        <v>1</v>
      </c>
      <c r="AC19" s="20">
        <v>1</v>
      </c>
      <c r="AD19" s="20">
        <v>1</v>
      </c>
      <c r="AE19" s="2"/>
      <c r="AF19" s="20">
        <v>1</v>
      </c>
      <c r="AG19" s="3"/>
      <c r="AH19" s="21">
        <f t="shared" si="0"/>
        <v>16</v>
      </c>
      <c r="AI19" s="22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23" t="str">
        <f t="shared" si="1"/>
        <v>泡芙</v>
      </c>
      <c r="AK19" s="24"/>
    </row>
    <row r="20" spans="1:37" ht="18" customHeight="1">
      <c r="A20" s="18" t="s">
        <v>174</v>
      </c>
      <c r="B20" s="19" t="s">
        <v>90</v>
      </c>
      <c r="C20" s="2"/>
      <c r="D20" s="20">
        <v>1</v>
      </c>
      <c r="E20" s="2"/>
      <c r="F20" s="20">
        <v>1</v>
      </c>
      <c r="G20" s="20"/>
      <c r="H20" s="20">
        <v>1</v>
      </c>
      <c r="I20" s="20">
        <v>1</v>
      </c>
      <c r="J20" s="2"/>
      <c r="K20" s="20">
        <v>1</v>
      </c>
      <c r="L20" s="2"/>
      <c r="M20" s="20">
        <v>1</v>
      </c>
      <c r="N20" s="20"/>
      <c r="O20" s="20">
        <v>1</v>
      </c>
      <c r="P20" s="20">
        <v>1</v>
      </c>
      <c r="Q20" s="2"/>
      <c r="R20" s="20"/>
      <c r="S20" s="12"/>
      <c r="T20" s="18"/>
      <c r="U20" s="18"/>
      <c r="V20" s="18">
        <v>1</v>
      </c>
      <c r="W20" s="18">
        <v>1</v>
      </c>
      <c r="X20" s="12"/>
      <c r="Y20" s="18">
        <v>1</v>
      </c>
      <c r="Z20" s="12"/>
      <c r="AA20" s="18">
        <v>1</v>
      </c>
      <c r="AB20" s="18"/>
      <c r="AC20" s="20">
        <v>1</v>
      </c>
      <c r="AD20" s="20">
        <v>1</v>
      </c>
      <c r="AE20" s="2"/>
      <c r="AF20" s="20">
        <v>1</v>
      </c>
      <c r="AG20" s="3"/>
      <c r="AH20" s="21">
        <f t="shared" si="0"/>
        <v>15</v>
      </c>
      <c r="AI20" s="22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23" t="str">
        <f t="shared" si="1"/>
        <v>蓓蓓</v>
      </c>
      <c r="AK20" s="24"/>
    </row>
    <row r="21" spans="1:37" ht="18" customHeight="1">
      <c r="A21" s="18" t="s">
        <v>174</v>
      </c>
      <c r="B21" s="19" t="s">
        <v>150</v>
      </c>
      <c r="C21" s="2"/>
      <c r="D21" s="20">
        <v>1</v>
      </c>
      <c r="E21" s="2"/>
      <c r="F21" s="20">
        <v>1</v>
      </c>
      <c r="G21" s="20">
        <v>1</v>
      </c>
      <c r="H21" s="20">
        <v>1</v>
      </c>
      <c r="I21" s="20"/>
      <c r="J21" s="2"/>
      <c r="K21" s="20">
        <v>1</v>
      </c>
      <c r="L21" s="2"/>
      <c r="M21" s="20"/>
      <c r="N21" s="20"/>
      <c r="O21" s="20"/>
      <c r="P21" s="20">
        <v>1</v>
      </c>
      <c r="Q21" s="2"/>
      <c r="R21" s="20">
        <v>1</v>
      </c>
      <c r="S21" s="12"/>
      <c r="T21" s="18"/>
      <c r="U21" s="18"/>
      <c r="V21" s="18"/>
      <c r="W21" s="18">
        <v>1</v>
      </c>
      <c r="X21" s="12"/>
      <c r="Y21" s="18">
        <v>1</v>
      </c>
      <c r="Z21" s="12"/>
      <c r="AA21" s="18">
        <v>1</v>
      </c>
      <c r="AB21" s="18"/>
      <c r="AC21" s="20"/>
      <c r="AD21" s="20">
        <v>1</v>
      </c>
      <c r="AE21" s="2"/>
      <c r="AF21" s="20">
        <v>1</v>
      </c>
      <c r="AG21" s="3"/>
      <c r="AH21" s="21">
        <f t="shared" si="0"/>
        <v>12</v>
      </c>
      <c r="AI21" s="22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23" t="str">
        <f t="shared" si="1"/>
        <v>高麗菜</v>
      </c>
      <c r="AK21" s="24"/>
    </row>
    <row r="22" spans="1:37" ht="18" customHeight="1">
      <c r="A22" s="18" t="s">
        <v>174</v>
      </c>
      <c r="B22" s="19" t="s">
        <v>164</v>
      </c>
      <c r="C22" s="2"/>
      <c r="D22" s="20"/>
      <c r="E22" s="2"/>
      <c r="F22" s="20"/>
      <c r="G22" s="20"/>
      <c r="H22" s="20"/>
      <c r="I22" s="20"/>
      <c r="J22" s="2"/>
      <c r="K22" s="20"/>
      <c r="L22" s="2"/>
      <c r="M22" s="20"/>
      <c r="N22" s="20"/>
      <c r="O22" s="20"/>
      <c r="P22" s="20"/>
      <c r="Q22" s="2"/>
      <c r="R22" s="20"/>
      <c r="S22" s="12"/>
      <c r="T22" s="18"/>
      <c r="U22" s="18"/>
      <c r="V22" s="18"/>
      <c r="W22" s="18"/>
      <c r="X22" s="12"/>
      <c r="Y22" s="18"/>
      <c r="Z22" s="12"/>
      <c r="AA22" s="18"/>
      <c r="AB22" s="18"/>
      <c r="AC22" s="20"/>
      <c r="AD22" s="20"/>
      <c r="AE22" s="2"/>
      <c r="AF22" s="20"/>
      <c r="AG22" s="3"/>
      <c r="AH22" s="21">
        <f t="shared" si="0"/>
        <v>0</v>
      </c>
      <c r="AI22" s="22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23" t="str">
        <f t="shared" si="1"/>
        <v>小菜</v>
      </c>
      <c r="AK22" s="25"/>
    </row>
    <row r="23" spans="1:37" ht="18" customHeight="1">
      <c r="A23" s="18" t="s">
        <v>174</v>
      </c>
      <c r="B23" s="19" t="s">
        <v>94</v>
      </c>
      <c r="C23" s="2"/>
      <c r="D23" s="20">
        <v>1</v>
      </c>
      <c r="E23" s="2"/>
      <c r="F23" s="20">
        <v>1</v>
      </c>
      <c r="G23" s="20"/>
      <c r="H23" s="20">
        <v>1</v>
      </c>
      <c r="I23" s="20">
        <v>1</v>
      </c>
      <c r="J23" s="2"/>
      <c r="K23" s="20">
        <v>1</v>
      </c>
      <c r="L23" s="2"/>
      <c r="M23" s="20"/>
      <c r="N23" s="20"/>
      <c r="O23" s="20">
        <v>1</v>
      </c>
      <c r="P23" s="20">
        <v>1</v>
      </c>
      <c r="Q23" s="2"/>
      <c r="R23" s="20">
        <v>1</v>
      </c>
      <c r="S23" s="12"/>
      <c r="T23" s="18">
        <v>1</v>
      </c>
      <c r="U23" s="18"/>
      <c r="V23" s="18">
        <v>1</v>
      </c>
      <c r="W23" s="18">
        <v>1</v>
      </c>
      <c r="X23" s="12"/>
      <c r="Y23" s="18"/>
      <c r="Z23" s="12"/>
      <c r="AA23" s="18"/>
      <c r="AB23" s="18"/>
      <c r="AC23" s="20"/>
      <c r="AD23" s="20">
        <v>1</v>
      </c>
      <c r="AE23" s="2"/>
      <c r="AF23" s="20"/>
      <c r="AG23" s="3"/>
      <c r="AH23" s="21">
        <f t="shared" si="0"/>
        <v>12</v>
      </c>
      <c r="AI23" s="22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23" t="str">
        <f t="shared" si="1"/>
        <v>小花</v>
      </c>
      <c r="AK23" s="25"/>
    </row>
    <row r="24" spans="1:37" ht="18" customHeight="1">
      <c r="A24" s="18" t="s">
        <v>174</v>
      </c>
      <c r="B24" s="19" t="s">
        <v>102</v>
      </c>
      <c r="C24" s="2"/>
      <c r="D24" s="20"/>
      <c r="E24" s="2"/>
      <c r="F24" s="20"/>
      <c r="G24" s="20"/>
      <c r="H24" s="20"/>
      <c r="I24" s="20"/>
      <c r="J24" s="2"/>
      <c r="K24" s="20"/>
      <c r="L24" s="2"/>
      <c r="M24" s="20"/>
      <c r="N24" s="20"/>
      <c r="O24" s="20"/>
      <c r="P24" s="20">
        <v>1</v>
      </c>
      <c r="Q24" s="2"/>
      <c r="R24" s="20"/>
      <c r="S24" s="12"/>
      <c r="T24" s="18"/>
      <c r="U24" s="18"/>
      <c r="V24" s="18"/>
      <c r="W24" s="18"/>
      <c r="X24" s="12"/>
      <c r="Y24" s="18"/>
      <c r="Z24" s="12"/>
      <c r="AA24" s="18"/>
      <c r="AB24" s="18"/>
      <c r="AC24" s="20"/>
      <c r="AD24" s="20"/>
      <c r="AE24" s="2"/>
      <c r="AF24" s="20"/>
      <c r="AG24" s="3"/>
      <c r="AH24" s="21">
        <f t="shared" si="0"/>
        <v>1</v>
      </c>
      <c r="AI24" s="22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23" t="str">
        <f t="shared" si="1"/>
        <v>妮妮</v>
      </c>
      <c r="AK24" s="24"/>
    </row>
    <row r="25" spans="1:37" ht="18" customHeight="1">
      <c r="A25" s="18" t="s">
        <v>174</v>
      </c>
      <c r="B25" s="19" t="s">
        <v>165</v>
      </c>
      <c r="C25" s="2"/>
      <c r="D25" s="20">
        <v>1</v>
      </c>
      <c r="E25" s="2"/>
      <c r="F25" s="20"/>
      <c r="G25" s="20"/>
      <c r="H25" s="20">
        <v>1</v>
      </c>
      <c r="I25" s="20">
        <v>1</v>
      </c>
      <c r="J25" s="2"/>
      <c r="K25" s="20">
        <v>1</v>
      </c>
      <c r="L25" s="2"/>
      <c r="M25" s="20">
        <v>1</v>
      </c>
      <c r="N25" s="20"/>
      <c r="O25" s="20">
        <v>1</v>
      </c>
      <c r="P25" s="20">
        <v>1</v>
      </c>
      <c r="Q25" s="2"/>
      <c r="R25" s="20">
        <v>1</v>
      </c>
      <c r="S25" s="12"/>
      <c r="T25" s="18">
        <v>1</v>
      </c>
      <c r="U25" s="18"/>
      <c r="V25" s="18"/>
      <c r="W25" s="18">
        <v>1</v>
      </c>
      <c r="X25" s="12"/>
      <c r="Y25" s="18">
        <v>1</v>
      </c>
      <c r="Z25" s="12"/>
      <c r="AA25" s="18">
        <v>1</v>
      </c>
      <c r="AB25" s="18"/>
      <c r="AC25" s="20">
        <v>1</v>
      </c>
      <c r="AD25" s="20">
        <v>1</v>
      </c>
      <c r="AE25" s="2"/>
      <c r="AF25" s="20"/>
      <c r="AG25" s="3"/>
      <c r="AH25" s="21">
        <f t="shared" si="0"/>
        <v>14</v>
      </c>
      <c r="AI25" s="22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23" t="str">
        <f t="shared" si="1"/>
        <v>小貓</v>
      </c>
      <c r="AK25" s="25"/>
    </row>
    <row r="26" spans="1:37" ht="18" customHeight="1">
      <c r="A26" s="18" t="s">
        <v>174</v>
      </c>
      <c r="B26" s="19" t="s">
        <v>166</v>
      </c>
      <c r="C26" s="2"/>
      <c r="D26" s="20"/>
      <c r="E26" s="2"/>
      <c r="F26" s="20"/>
      <c r="G26" s="20"/>
      <c r="H26" s="20"/>
      <c r="I26" s="20"/>
      <c r="J26" s="2"/>
      <c r="K26" s="20"/>
      <c r="L26" s="2"/>
      <c r="M26" s="20"/>
      <c r="N26" s="20"/>
      <c r="O26" s="20"/>
      <c r="P26" s="20"/>
      <c r="Q26" s="2"/>
      <c r="R26" s="20"/>
      <c r="S26" s="12"/>
      <c r="T26" s="18"/>
      <c r="U26" s="18"/>
      <c r="V26" s="18"/>
      <c r="W26" s="18"/>
      <c r="X26" s="12"/>
      <c r="Y26" s="18"/>
      <c r="Z26" s="12"/>
      <c r="AA26" s="18"/>
      <c r="AB26" s="18"/>
      <c r="AC26" s="20"/>
      <c r="AD26" s="20"/>
      <c r="AE26" s="2"/>
      <c r="AF26" s="20"/>
      <c r="AG26" s="3"/>
      <c r="AH26" s="21">
        <f t="shared" si="0"/>
        <v>0</v>
      </c>
      <c r="AI26" s="22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23" t="str">
        <f t="shared" si="1"/>
        <v>哈比</v>
      </c>
      <c r="AK26" s="24"/>
    </row>
    <row r="27" spans="1:37" ht="18" customHeight="1">
      <c r="A27" s="18" t="s">
        <v>174</v>
      </c>
      <c r="B27" s="19" t="s">
        <v>91</v>
      </c>
      <c r="C27" s="2"/>
      <c r="D27" s="20">
        <v>1</v>
      </c>
      <c r="E27" s="2"/>
      <c r="F27" s="20"/>
      <c r="G27" s="20">
        <v>1</v>
      </c>
      <c r="H27" s="20"/>
      <c r="I27" s="20"/>
      <c r="J27" s="2"/>
      <c r="K27" s="20"/>
      <c r="L27" s="2"/>
      <c r="M27" s="20"/>
      <c r="N27" s="20"/>
      <c r="O27" s="20"/>
      <c r="P27" s="20"/>
      <c r="Q27" s="2"/>
      <c r="R27" s="20"/>
      <c r="S27" s="12"/>
      <c r="T27" s="18">
        <v>1</v>
      </c>
      <c r="U27" s="18">
        <v>1</v>
      </c>
      <c r="V27" s="18"/>
      <c r="W27" s="18"/>
      <c r="X27" s="12"/>
      <c r="Y27" s="18"/>
      <c r="Z27" s="12"/>
      <c r="AA27" s="18"/>
      <c r="AB27" s="18">
        <v>1</v>
      </c>
      <c r="AC27" s="20">
        <v>1</v>
      </c>
      <c r="AD27" s="20"/>
      <c r="AE27" s="2"/>
      <c r="AF27" s="20">
        <v>1</v>
      </c>
      <c r="AG27" s="3"/>
      <c r="AH27" s="21">
        <f t="shared" si="0"/>
        <v>7</v>
      </c>
      <c r="AI27" s="22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23" t="str">
        <f t="shared" si="1"/>
        <v>柔柔</v>
      </c>
      <c r="AK27" s="24"/>
    </row>
    <row r="28" spans="1:37" ht="18" customHeight="1">
      <c r="A28" s="18" t="s">
        <v>174</v>
      </c>
      <c r="B28" s="19" t="s">
        <v>176</v>
      </c>
      <c r="C28" s="2"/>
      <c r="D28" s="20">
        <v>1</v>
      </c>
      <c r="E28" s="2"/>
      <c r="F28" s="20">
        <v>1</v>
      </c>
      <c r="G28" s="20"/>
      <c r="H28" s="20">
        <v>1</v>
      </c>
      <c r="I28" s="20"/>
      <c r="J28" s="2"/>
      <c r="K28" s="20">
        <v>1</v>
      </c>
      <c r="L28" s="2"/>
      <c r="M28" s="20"/>
      <c r="N28" s="20"/>
      <c r="O28" s="20">
        <v>1</v>
      </c>
      <c r="P28" s="20"/>
      <c r="Q28" s="2"/>
      <c r="R28" s="20">
        <v>1</v>
      </c>
      <c r="S28" s="12"/>
      <c r="T28" s="18"/>
      <c r="U28" s="18"/>
      <c r="V28" s="18"/>
      <c r="W28" s="18"/>
      <c r="X28" s="12"/>
      <c r="Y28" s="18"/>
      <c r="Z28" s="12"/>
      <c r="AA28" s="18">
        <v>1</v>
      </c>
      <c r="AB28" s="18"/>
      <c r="AC28" s="20"/>
      <c r="AD28" s="20"/>
      <c r="AE28" s="2"/>
      <c r="AF28" s="20"/>
      <c r="AG28" s="3"/>
      <c r="AH28" s="21">
        <f t="shared" si="0"/>
        <v>7</v>
      </c>
      <c r="AI28" s="22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23" t="str">
        <f t="shared" si="1"/>
        <v>芮芮</v>
      </c>
      <c r="AK28" s="25"/>
    </row>
    <row r="29" spans="1:37" ht="18" customHeight="1">
      <c r="A29" s="18" t="s">
        <v>174</v>
      </c>
      <c r="B29" s="19" t="s">
        <v>123</v>
      </c>
      <c r="C29" s="2"/>
      <c r="D29" s="20">
        <v>1</v>
      </c>
      <c r="E29" s="2"/>
      <c r="F29" s="20">
        <v>1</v>
      </c>
      <c r="G29" s="20">
        <v>1</v>
      </c>
      <c r="H29" s="20"/>
      <c r="I29" s="20"/>
      <c r="J29" s="2"/>
      <c r="K29" s="20">
        <v>1</v>
      </c>
      <c r="L29" s="2"/>
      <c r="M29" s="20"/>
      <c r="N29" s="20">
        <v>1</v>
      </c>
      <c r="O29" s="20"/>
      <c r="P29" s="20"/>
      <c r="Q29" s="2"/>
      <c r="R29" s="20">
        <v>1</v>
      </c>
      <c r="S29" s="12"/>
      <c r="T29" s="18"/>
      <c r="U29" s="18"/>
      <c r="V29" s="18"/>
      <c r="W29" s="18"/>
      <c r="X29" s="12"/>
      <c r="Y29" s="18">
        <v>1</v>
      </c>
      <c r="Z29" s="12"/>
      <c r="AA29" s="18"/>
      <c r="AB29" s="18">
        <v>1</v>
      </c>
      <c r="AC29" s="20"/>
      <c r="AD29" s="20"/>
      <c r="AE29" s="2"/>
      <c r="AF29" s="20"/>
      <c r="AG29" s="3"/>
      <c r="AH29" s="21">
        <f t="shared" si="0"/>
        <v>8</v>
      </c>
      <c r="AI29" s="22" t="e">
        <f ca="1">IF(A29="O", (VALUE(_xludf.IFS(AH29=0,"0",AH29=1,"150",AH29=2,"300",AH29=3,"450",AH29=4,"600",AH29=5,"750",AH29&gt;=6,"800"))),(VALUE(_xludf.IFS(AH29=0,"0",AH29=1,"150",AH29=2,"300",AH29=3,"450",AH29=4,"600",AH29=5,"750",AH29=6,"900",AH29&gt;=7,"1,000"))))</f>
        <v>#NAME?</v>
      </c>
      <c r="AJ29" s="23" t="str">
        <f t="shared" si="1"/>
        <v>瑤瑤</v>
      </c>
      <c r="AK29" s="24"/>
    </row>
    <row r="30" spans="1:37" ht="18" customHeight="1">
      <c r="A30" s="18" t="s">
        <v>174</v>
      </c>
      <c r="B30" s="19" t="s">
        <v>147</v>
      </c>
      <c r="C30" s="2"/>
      <c r="D30" s="20"/>
      <c r="E30" s="2"/>
      <c r="F30" s="20">
        <v>1</v>
      </c>
      <c r="G30" s="20">
        <v>1</v>
      </c>
      <c r="H30" s="20">
        <v>1</v>
      </c>
      <c r="I30" s="20">
        <v>1</v>
      </c>
      <c r="J30" s="2"/>
      <c r="K30" s="20">
        <v>1</v>
      </c>
      <c r="L30" s="2"/>
      <c r="M30" s="20">
        <v>1</v>
      </c>
      <c r="N30" s="20"/>
      <c r="O30" s="20">
        <v>1</v>
      </c>
      <c r="P30" s="20">
        <v>1</v>
      </c>
      <c r="Q30" s="2"/>
      <c r="R30" s="20">
        <v>1</v>
      </c>
      <c r="S30" s="12"/>
      <c r="T30" s="18">
        <v>1</v>
      </c>
      <c r="U30" s="18">
        <v>1</v>
      </c>
      <c r="V30" s="18">
        <v>1</v>
      </c>
      <c r="W30" s="18">
        <v>1</v>
      </c>
      <c r="X30" s="12"/>
      <c r="Y30" s="18">
        <v>1</v>
      </c>
      <c r="Z30" s="12"/>
      <c r="AA30" s="18"/>
      <c r="AB30" s="18"/>
      <c r="AC30" s="20">
        <v>1</v>
      </c>
      <c r="AD30" s="20"/>
      <c r="AE30" s="2"/>
      <c r="AF30" s="20">
        <v>1</v>
      </c>
      <c r="AG30" s="3"/>
      <c r="AH30" s="21">
        <f t="shared" si="0"/>
        <v>16</v>
      </c>
      <c r="AI30" s="22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23" t="str">
        <f t="shared" si="1"/>
        <v>湘苡</v>
      </c>
      <c r="AK30" s="25"/>
    </row>
    <row r="31" spans="1:37" ht="18" customHeight="1">
      <c r="A31" s="18" t="s">
        <v>174</v>
      </c>
      <c r="B31" s="19" t="s">
        <v>93</v>
      </c>
      <c r="C31" s="2"/>
      <c r="D31" s="20"/>
      <c r="E31" s="2"/>
      <c r="F31" s="20"/>
      <c r="G31" s="20"/>
      <c r="H31" s="20">
        <v>1</v>
      </c>
      <c r="I31" s="20">
        <v>1</v>
      </c>
      <c r="J31" s="2"/>
      <c r="K31" s="20"/>
      <c r="L31" s="2"/>
      <c r="M31" s="20"/>
      <c r="N31" s="20"/>
      <c r="O31" s="20"/>
      <c r="P31" s="20">
        <v>1</v>
      </c>
      <c r="Q31" s="2"/>
      <c r="R31" s="20"/>
      <c r="S31" s="12"/>
      <c r="T31" s="18">
        <v>1</v>
      </c>
      <c r="U31" s="18"/>
      <c r="V31" s="18">
        <v>1</v>
      </c>
      <c r="W31" s="18">
        <v>1</v>
      </c>
      <c r="X31" s="12"/>
      <c r="Y31" s="18"/>
      <c r="Z31" s="12"/>
      <c r="AA31" s="18"/>
      <c r="AB31" s="18"/>
      <c r="AC31" s="20"/>
      <c r="AD31" s="20">
        <v>1</v>
      </c>
      <c r="AE31" s="2"/>
      <c r="AF31" s="20"/>
      <c r="AG31" s="3"/>
      <c r="AH31" s="21">
        <f t="shared" si="0"/>
        <v>7</v>
      </c>
      <c r="AI31" s="22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23" t="str">
        <f t="shared" si="1"/>
        <v>冠婷</v>
      </c>
      <c r="AK31" s="24"/>
    </row>
    <row r="32" spans="1:37" ht="18" customHeight="1">
      <c r="A32" s="18" t="s">
        <v>174</v>
      </c>
      <c r="B32" s="19" t="s">
        <v>149</v>
      </c>
      <c r="C32" s="2"/>
      <c r="D32" s="20"/>
      <c r="E32" s="2"/>
      <c r="F32" s="20">
        <v>1</v>
      </c>
      <c r="G32" s="20"/>
      <c r="H32" s="20"/>
      <c r="I32" s="20"/>
      <c r="J32" s="2"/>
      <c r="K32" s="20"/>
      <c r="L32" s="2"/>
      <c r="M32" s="20"/>
      <c r="N32" s="20"/>
      <c r="O32" s="20"/>
      <c r="P32" s="20"/>
      <c r="Q32" s="2"/>
      <c r="R32" s="20"/>
      <c r="S32" s="12"/>
      <c r="T32" s="18"/>
      <c r="U32" s="18"/>
      <c r="V32" s="18"/>
      <c r="W32" s="18"/>
      <c r="X32" s="12"/>
      <c r="Y32" s="18">
        <v>1</v>
      </c>
      <c r="Z32" s="12"/>
      <c r="AA32" s="18"/>
      <c r="AB32" s="18"/>
      <c r="AC32" s="20"/>
      <c r="AD32" s="20"/>
      <c r="AE32" s="2"/>
      <c r="AF32" s="20"/>
      <c r="AG32" s="3"/>
      <c r="AH32" s="21">
        <f t="shared" si="0"/>
        <v>2</v>
      </c>
      <c r="AI32" s="22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23" t="str">
        <f t="shared" si="1"/>
        <v>晏寧</v>
      </c>
      <c r="AK32" s="24"/>
    </row>
    <row r="33" spans="1:37" ht="18" customHeight="1">
      <c r="A33" s="18" t="s">
        <v>174</v>
      </c>
      <c r="B33" s="19" t="s">
        <v>146</v>
      </c>
      <c r="C33" s="2"/>
      <c r="D33" s="20">
        <v>1</v>
      </c>
      <c r="E33" s="2"/>
      <c r="F33" s="20"/>
      <c r="G33" s="20">
        <v>1</v>
      </c>
      <c r="H33" s="20"/>
      <c r="I33" s="20">
        <v>1</v>
      </c>
      <c r="J33" s="2"/>
      <c r="K33" s="20"/>
      <c r="L33" s="2"/>
      <c r="M33" s="20"/>
      <c r="N33" s="20"/>
      <c r="O33" s="20"/>
      <c r="P33" s="20">
        <v>1</v>
      </c>
      <c r="Q33" s="2"/>
      <c r="R33" s="20"/>
      <c r="S33" s="12"/>
      <c r="T33" s="18"/>
      <c r="U33" s="18"/>
      <c r="V33" s="18"/>
      <c r="W33" s="18"/>
      <c r="X33" s="12"/>
      <c r="Y33" s="18"/>
      <c r="Z33" s="12"/>
      <c r="AA33" s="18"/>
      <c r="AB33" s="18"/>
      <c r="AC33" s="20">
        <v>1</v>
      </c>
      <c r="AD33" s="20"/>
      <c r="AE33" s="2"/>
      <c r="AF33" s="20"/>
      <c r="AG33" s="3"/>
      <c r="AH33" s="21">
        <f t="shared" si="0"/>
        <v>5</v>
      </c>
      <c r="AI33" s="22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23" t="str">
        <f t="shared" si="1"/>
        <v>飛飛</v>
      </c>
      <c r="AK33" s="24"/>
    </row>
    <row r="34" spans="1:37" ht="18" customHeight="1">
      <c r="A34" s="26" t="s">
        <v>174</v>
      </c>
      <c r="B34" s="27" t="s">
        <v>116</v>
      </c>
      <c r="C34" s="2"/>
      <c r="D34" s="28">
        <v>1</v>
      </c>
      <c r="E34" s="2"/>
      <c r="F34" s="28">
        <v>1</v>
      </c>
      <c r="G34" s="28">
        <v>1</v>
      </c>
      <c r="H34" s="28"/>
      <c r="I34" s="28"/>
      <c r="J34" s="2"/>
      <c r="K34" s="28">
        <v>1</v>
      </c>
      <c r="L34" s="2"/>
      <c r="M34" s="28"/>
      <c r="N34" s="28">
        <v>1</v>
      </c>
      <c r="O34" s="28">
        <v>1</v>
      </c>
      <c r="P34" s="28"/>
      <c r="Q34" s="2"/>
      <c r="R34" s="28">
        <v>1</v>
      </c>
      <c r="S34" s="12"/>
      <c r="T34" s="26"/>
      <c r="U34" s="26">
        <v>1</v>
      </c>
      <c r="V34" s="26">
        <v>1</v>
      </c>
      <c r="W34" s="26"/>
      <c r="X34" s="12"/>
      <c r="Y34" s="26">
        <v>1</v>
      </c>
      <c r="Z34" s="12"/>
      <c r="AA34" s="26">
        <v>1</v>
      </c>
      <c r="AB34" s="26">
        <v>1</v>
      </c>
      <c r="AC34" s="28"/>
      <c r="AD34" s="28"/>
      <c r="AE34" s="2"/>
      <c r="AF34" s="28">
        <v>1</v>
      </c>
      <c r="AG34" s="3"/>
      <c r="AH34" s="29">
        <f t="shared" si="0"/>
        <v>13</v>
      </c>
      <c r="AI34" s="30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31" t="str">
        <f t="shared" si="1"/>
        <v>大汪</v>
      </c>
      <c r="AK34" s="32"/>
    </row>
    <row r="35" spans="1:37" ht="18" customHeight="1">
      <c r="A35" s="26" t="s">
        <v>174</v>
      </c>
      <c r="B35" s="27" t="s">
        <v>118</v>
      </c>
      <c r="C35" s="2"/>
      <c r="D35" s="28">
        <v>1</v>
      </c>
      <c r="E35" s="2"/>
      <c r="F35" s="28">
        <v>1</v>
      </c>
      <c r="G35" s="28">
        <v>1</v>
      </c>
      <c r="H35" s="28">
        <v>1</v>
      </c>
      <c r="I35" s="28"/>
      <c r="J35" s="2"/>
      <c r="K35" s="28">
        <v>1</v>
      </c>
      <c r="L35" s="2"/>
      <c r="M35" s="28"/>
      <c r="N35" s="28">
        <v>1</v>
      </c>
      <c r="O35" s="28"/>
      <c r="P35" s="28"/>
      <c r="Q35" s="2"/>
      <c r="R35" s="28">
        <v>1</v>
      </c>
      <c r="S35" s="12"/>
      <c r="T35" s="26">
        <v>1</v>
      </c>
      <c r="U35" s="26">
        <v>1</v>
      </c>
      <c r="V35" s="26">
        <v>1</v>
      </c>
      <c r="W35" s="26"/>
      <c r="X35" s="12"/>
      <c r="Y35" s="26">
        <v>1</v>
      </c>
      <c r="Z35" s="12"/>
      <c r="AA35" s="26"/>
      <c r="AB35" s="26">
        <v>1</v>
      </c>
      <c r="AC35" s="28"/>
      <c r="AD35" s="28"/>
      <c r="AE35" s="2"/>
      <c r="AF35" s="28">
        <v>1</v>
      </c>
      <c r="AG35" s="3"/>
      <c r="AH35" s="29">
        <f t="shared" si="0"/>
        <v>13</v>
      </c>
      <c r="AI35" s="30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31" t="str">
        <f t="shared" si="1"/>
        <v>雅筑</v>
      </c>
      <c r="AK35" s="32"/>
    </row>
    <row r="36" spans="1:37" ht="18" customHeight="1">
      <c r="A36" s="26" t="s">
        <v>174</v>
      </c>
      <c r="B36" s="27" t="s">
        <v>141</v>
      </c>
      <c r="C36" s="2"/>
      <c r="D36" s="28">
        <v>1</v>
      </c>
      <c r="E36" s="2"/>
      <c r="F36" s="28"/>
      <c r="G36" s="28">
        <v>1</v>
      </c>
      <c r="H36" s="28">
        <v>1</v>
      </c>
      <c r="I36" s="28"/>
      <c r="J36" s="2"/>
      <c r="K36" s="28">
        <v>1</v>
      </c>
      <c r="L36" s="2"/>
      <c r="M36" s="28"/>
      <c r="N36" s="28">
        <v>1</v>
      </c>
      <c r="O36" s="28"/>
      <c r="P36" s="28"/>
      <c r="Q36" s="2"/>
      <c r="R36" s="28">
        <v>1</v>
      </c>
      <c r="S36" s="12"/>
      <c r="T36" s="26"/>
      <c r="U36" s="26">
        <v>1</v>
      </c>
      <c r="V36" s="26"/>
      <c r="W36" s="26"/>
      <c r="X36" s="12"/>
      <c r="Y36" s="26">
        <v>1</v>
      </c>
      <c r="Z36" s="12"/>
      <c r="AA36" s="26"/>
      <c r="AB36" s="26">
        <v>1</v>
      </c>
      <c r="AC36" s="28"/>
      <c r="AD36" s="28"/>
      <c r="AE36" s="2"/>
      <c r="AF36" s="28"/>
      <c r="AG36" s="3"/>
      <c r="AH36" s="29">
        <f t="shared" ref="AH36:AH67" si="2">COUNTA(C36:AF36)</f>
        <v>9</v>
      </c>
      <c r="AI36" s="30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31" t="str">
        <f t="shared" ref="AJ36:AJ67" si="3">B36</f>
        <v>Cindy</v>
      </c>
      <c r="AK36" s="32"/>
    </row>
    <row r="37" spans="1:37" ht="18" customHeight="1">
      <c r="A37" s="26" t="s">
        <v>174</v>
      </c>
      <c r="B37" s="27" t="s">
        <v>103</v>
      </c>
      <c r="C37" s="2"/>
      <c r="D37" s="28">
        <v>1</v>
      </c>
      <c r="E37" s="2"/>
      <c r="F37" s="28"/>
      <c r="G37" s="28">
        <v>1</v>
      </c>
      <c r="H37" s="28">
        <v>1</v>
      </c>
      <c r="I37" s="28"/>
      <c r="J37" s="2"/>
      <c r="K37" s="28">
        <v>1</v>
      </c>
      <c r="L37" s="2"/>
      <c r="M37" s="28"/>
      <c r="N37" s="28">
        <v>1</v>
      </c>
      <c r="O37" s="28">
        <v>1</v>
      </c>
      <c r="P37" s="28"/>
      <c r="Q37" s="2"/>
      <c r="R37" s="28">
        <v>1</v>
      </c>
      <c r="S37" s="12"/>
      <c r="T37" s="26"/>
      <c r="U37" s="26">
        <v>1</v>
      </c>
      <c r="V37" s="26">
        <v>1</v>
      </c>
      <c r="W37" s="26"/>
      <c r="X37" s="12"/>
      <c r="Y37" s="26">
        <v>1</v>
      </c>
      <c r="Z37" s="12"/>
      <c r="AA37" s="26"/>
      <c r="AB37" s="26">
        <v>1</v>
      </c>
      <c r="AC37" s="28"/>
      <c r="AD37" s="28"/>
      <c r="AE37" s="2"/>
      <c r="AF37" s="28">
        <v>1</v>
      </c>
      <c r="AG37" s="3"/>
      <c r="AH37" s="29">
        <f t="shared" si="2"/>
        <v>12</v>
      </c>
      <c r="AI37" s="30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31" t="str">
        <f t="shared" si="3"/>
        <v>圈圈</v>
      </c>
      <c r="AK37" s="33"/>
    </row>
    <row r="38" spans="1:37" ht="18" customHeight="1">
      <c r="A38" s="26" t="s">
        <v>174</v>
      </c>
      <c r="B38" s="27" t="s">
        <v>120</v>
      </c>
      <c r="C38" s="2"/>
      <c r="D38" s="28">
        <v>1</v>
      </c>
      <c r="E38" s="2"/>
      <c r="F38" s="28">
        <v>1</v>
      </c>
      <c r="G38" s="28">
        <v>1</v>
      </c>
      <c r="H38" s="28"/>
      <c r="I38" s="28"/>
      <c r="J38" s="2"/>
      <c r="K38" s="28">
        <v>1</v>
      </c>
      <c r="L38" s="2"/>
      <c r="M38" s="28"/>
      <c r="N38" s="28">
        <v>1</v>
      </c>
      <c r="O38" s="28"/>
      <c r="P38" s="28"/>
      <c r="Q38" s="2"/>
      <c r="R38" s="28">
        <v>1</v>
      </c>
      <c r="S38" s="12"/>
      <c r="T38" s="26">
        <v>1</v>
      </c>
      <c r="U38" s="26"/>
      <c r="V38" s="26">
        <v>1</v>
      </c>
      <c r="W38" s="26"/>
      <c r="X38" s="12"/>
      <c r="Y38" s="26">
        <v>1</v>
      </c>
      <c r="Z38" s="12"/>
      <c r="AA38" s="26">
        <v>1</v>
      </c>
      <c r="AB38" s="26">
        <v>1</v>
      </c>
      <c r="AC38" s="28"/>
      <c r="AD38" s="28"/>
      <c r="AE38" s="2"/>
      <c r="AF38" s="28">
        <v>1</v>
      </c>
      <c r="AG38" s="3"/>
      <c r="AH38" s="29">
        <f t="shared" si="2"/>
        <v>12</v>
      </c>
      <c r="AI38" s="30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31" t="str">
        <f t="shared" si="3"/>
        <v>品君</v>
      </c>
      <c r="AK38" s="33"/>
    </row>
    <row r="39" spans="1:37" ht="18" customHeight="1">
      <c r="A39" s="26" t="s">
        <v>174</v>
      </c>
      <c r="B39" s="27" t="s">
        <v>142</v>
      </c>
      <c r="C39" s="2"/>
      <c r="D39" s="28"/>
      <c r="E39" s="2"/>
      <c r="F39" s="28"/>
      <c r="G39" s="28">
        <v>1</v>
      </c>
      <c r="H39" s="28">
        <v>1</v>
      </c>
      <c r="I39" s="28"/>
      <c r="J39" s="2"/>
      <c r="K39" s="28"/>
      <c r="L39" s="2"/>
      <c r="M39" s="28"/>
      <c r="N39" s="28"/>
      <c r="O39" s="28"/>
      <c r="P39" s="28"/>
      <c r="Q39" s="2"/>
      <c r="R39" s="28">
        <v>1</v>
      </c>
      <c r="S39" s="12"/>
      <c r="T39" s="26"/>
      <c r="U39" s="26"/>
      <c r="V39" s="26">
        <v>1</v>
      </c>
      <c r="W39" s="26"/>
      <c r="X39" s="12"/>
      <c r="Y39" s="26">
        <v>1</v>
      </c>
      <c r="Z39" s="12"/>
      <c r="AA39" s="26"/>
      <c r="AB39" s="26">
        <v>1</v>
      </c>
      <c r="AC39" s="28"/>
      <c r="AD39" s="28"/>
      <c r="AE39" s="2"/>
      <c r="AF39" s="28">
        <v>1</v>
      </c>
      <c r="AG39" s="3"/>
      <c r="AH39" s="29">
        <f t="shared" si="2"/>
        <v>7</v>
      </c>
      <c r="AI39" s="30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31" t="str">
        <f t="shared" si="3"/>
        <v>如靜</v>
      </c>
      <c r="AK39" s="33"/>
    </row>
    <row r="40" spans="1:37" ht="18" customHeight="1">
      <c r="A40" s="26" t="s">
        <v>174</v>
      </c>
      <c r="B40" s="27" t="s">
        <v>143</v>
      </c>
      <c r="C40" s="2"/>
      <c r="D40" s="28"/>
      <c r="E40" s="2"/>
      <c r="F40" s="28"/>
      <c r="G40" s="28"/>
      <c r="H40" s="28"/>
      <c r="I40" s="28"/>
      <c r="J40" s="2"/>
      <c r="K40" s="28"/>
      <c r="L40" s="2"/>
      <c r="M40" s="28"/>
      <c r="N40" s="28"/>
      <c r="O40" s="28"/>
      <c r="P40" s="28"/>
      <c r="Q40" s="2"/>
      <c r="R40" s="28"/>
      <c r="S40" s="12"/>
      <c r="T40" s="26"/>
      <c r="U40" s="26"/>
      <c r="V40" s="26"/>
      <c r="W40" s="26"/>
      <c r="X40" s="12"/>
      <c r="Y40" s="26"/>
      <c r="Z40" s="12"/>
      <c r="AA40" s="26"/>
      <c r="AB40" s="26"/>
      <c r="AC40" s="28"/>
      <c r="AD40" s="28"/>
      <c r="AE40" s="2"/>
      <c r="AF40" s="28"/>
      <c r="AG40" s="3"/>
      <c r="AH40" s="29">
        <f t="shared" si="2"/>
        <v>0</v>
      </c>
      <c r="AI40" s="30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31" t="str">
        <f t="shared" si="3"/>
        <v>毓玫</v>
      </c>
      <c r="AK40" s="33"/>
    </row>
    <row r="41" spans="1:37" ht="18" customHeight="1">
      <c r="A41" s="26" t="s">
        <v>174</v>
      </c>
      <c r="B41" s="27" t="s">
        <v>144</v>
      </c>
      <c r="C41" s="2"/>
      <c r="D41" s="28">
        <v>1</v>
      </c>
      <c r="E41" s="2"/>
      <c r="F41" s="28">
        <v>1</v>
      </c>
      <c r="G41" s="28">
        <v>1</v>
      </c>
      <c r="H41" s="28"/>
      <c r="I41" s="28"/>
      <c r="J41" s="2"/>
      <c r="K41" s="28">
        <v>1</v>
      </c>
      <c r="L41" s="2"/>
      <c r="M41" s="28"/>
      <c r="N41" s="28"/>
      <c r="O41" s="28"/>
      <c r="P41" s="28"/>
      <c r="Q41" s="2"/>
      <c r="R41" s="28">
        <v>1</v>
      </c>
      <c r="S41" s="12"/>
      <c r="T41" s="26"/>
      <c r="U41" s="26"/>
      <c r="V41" s="26"/>
      <c r="W41" s="26"/>
      <c r="X41" s="12"/>
      <c r="Y41" s="26"/>
      <c r="Z41" s="12"/>
      <c r="AA41" s="26"/>
      <c r="AB41" s="26">
        <v>1</v>
      </c>
      <c r="AC41" s="28"/>
      <c r="AD41" s="28"/>
      <c r="AE41" s="2"/>
      <c r="AF41" s="28">
        <v>1</v>
      </c>
      <c r="AG41" s="3"/>
      <c r="AH41" s="29">
        <f t="shared" si="2"/>
        <v>7</v>
      </c>
      <c r="AI41" s="30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31" t="str">
        <f t="shared" si="3"/>
        <v>美枝</v>
      </c>
      <c r="AK41" s="32"/>
    </row>
    <row r="42" spans="1:37" ht="18" customHeight="1">
      <c r="A42" s="26" t="s">
        <v>174</v>
      </c>
      <c r="B42" s="27" t="s">
        <v>145</v>
      </c>
      <c r="C42" s="2"/>
      <c r="D42" s="28">
        <v>1</v>
      </c>
      <c r="E42" s="2"/>
      <c r="F42" s="28"/>
      <c r="G42" s="28">
        <v>1</v>
      </c>
      <c r="H42" s="28"/>
      <c r="I42" s="28"/>
      <c r="J42" s="2"/>
      <c r="K42" s="28">
        <v>1</v>
      </c>
      <c r="L42" s="2"/>
      <c r="M42" s="28"/>
      <c r="N42" s="28">
        <v>1</v>
      </c>
      <c r="O42" s="28"/>
      <c r="P42" s="28"/>
      <c r="Q42" s="2"/>
      <c r="R42" s="28"/>
      <c r="S42" s="12"/>
      <c r="T42" s="26"/>
      <c r="U42" s="26"/>
      <c r="V42" s="26"/>
      <c r="W42" s="26"/>
      <c r="X42" s="12"/>
      <c r="Y42" s="26">
        <v>1</v>
      </c>
      <c r="Z42" s="12"/>
      <c r="AA42" s="26"/>
      <c r="AB42" s="26">
        <v>1</v>
      </c>
      <c r="AC42" s="28"/>
      <c r="AD42" s="28"/>
      <c r="AE42" s="2"/>
      <c r="AF42" s="28"/>
      <c r="AG42" s="3"/>
      <c r="AH42" s="29">
        <f t="shared" si="2"/>
        <v>6</v>
      </c>
      <c r="AI42" s="30" t="e">
        <f ca="1">IF(A42="O", (VALUE(_xludf.IFS(AH42=0,"0",AH42=1,"150",AH42=2,"300",AH42=3,"450",AH42=4,"600",AH42=5,"750",AH42&gt;=6,"800"))),(VALUE(_xludf.IFS(AH42=0,"0",AH42=1,"150",AH42=2,"300",AH42=3,"450",AH42=4,"600",AH42=5,"750",AH42=6,"900",AH42&gt;=7,"1,000"))))</f>
        <v>#NAME?</v>
      </c>
      <c r="AJ42" s="31" t="str">
        <f t="shared" si="3"/>
        <v>魯魯咪</v>
      </c>
      <c r="AK42" s="34"/>
    </row>
    <row r="43" spans="1:37" ht="18" customHeight="1">
      <c r="A43" s="9" t="s">
        <v>58</v>
      </c>
      <c r="B43" s="10" t="s">
        <v>23</v>
      </c>
      <c r="C43" s="2"/>
      <c r="D43" s="11">
        <v>1</v>
      </c>
      <c r="E43" s="2"/>
      <c r="F43" s="11">
        <v>1</v>
      </c>
      <c r="G43" s="11">
        <v>1</v>
      </c>
      <c r="H43" s="11">
        <v>1</v>
      </c>
      <c r="I43" s="11"/>
      <c r="J43" s="2"/>
      <c r="K43" s="11">
        <v>1</v>
      </c>
      <c r="L43" s="2"/>
      <c r="M43" s="11">
        <v>1</v>
      </c>
      <c r="N43" s="11">
        <v>1</v>
      </c>
      <c r="O43" s="11">
        <v>1</v>
      </c>
      <c r="P43" s="11"/>
      <c r="Q43" s="2"/>
      <c r="R43" s="11">
        <v>1</v>
      </c>
      <c r="S43" s="12"/>
      <c r="T43" s="9">
        <v>1</v>
      </c>
      <c r="U43" s="9">
        <v>1</v>
      </c>
      <c r="V43" s="9">
        <v>1</v>
      </c>
      <c r="W43" s="9"/>
      <c r="X43" s="12"/>
      <c r="Y43" s="9">
        <v>1</v>
      </c>
      <c r="Z43" s="12"/>
      <c r="AA43" s="9">
        <v>1</v>
      </c>
      <c r="AB43" s="9">
        <v>1</v>
      </c>
      <c r="AC43" s="11">
        <v>1</v>
      </c>
      <c r="AD43" s="11"/>
      <c r="AE43" s="2"/>
      <c r="AF43" s="11">
        <v>1</v>
      </c>
      <c r="AG43" s="3"/>
      <c r="AH43" s="13">
        <f t="shared" si="2"/>
        <v>17</v>
      </c>
      <c r="AI43" s="14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15" t="str">
        <f t="shared" si="3"/>
        <v>ㄈㄈ</v>
      </c>
      <c r="AK43" s="17"/>
    </row>
    <row r="44" spans="1:37" ht="18" customHeight="1">
      <c r="A44" s="9" t="s">
        <v>58</v>
      </c>
      <c r="B44" s="10" t="s">
        <v>24</v>
      </c>
      <c r="C44" s="2"/>
      <c r="D44" s="11">
        <v>1</v>
      </c>
      <c r="E44" s="2"/>
      <c r="F44" s="11">
        <v>1</v>
      </c>
      <c r="G44" s="11">
        <v>1</v>
      </c>
      <c r="H44" s="11">
        <v>1</v>
      </c>
      <c r="I44" s="11">
        <v>1</v>
      </c>
      <c r="J44" s="2"/>
      <c r="K44" s="11">
        <v>1</v>
      </c>
      <c r="L44" s="2"/>
      <c r="M44" s="11">
        <v>1</v>
      </c>
      <c r="N44" s="11">
        <v>1</v>
      </c>
      <c r="O44" s="11">
        <v>1</v>
      </c>
      <c r="P44" s="11">
        <v>1</v>
      </c>
      <c r="Q44" s="2"/>
      <c r="R44" s="11">
        <v>1</v>
      </c>
      <c r="S44" s="12"/>
      <c r="T44" s="9">
        <v>1</v>
      </c>
      <c r="U44" s="9">
        <v>1</v>
      </c>
      <c r="V44" s="9">
        <v>1</v>
      </c>
      <c r="W44" s="9">
        <v>1</v>
      </c>
      <c r="X44" s="12"/>
      <c r="Y44" s="9">
        <v>1</v>
      </c>
      <c r="Z44" s="12"/>
      <c r="AA44" s="9">
        <v>1</v>
      </c>
      <c r="AB44" s="9"/>
      <c r="AC44" s="11">
        <v>1</v>
      </c>
      <c r="AD44" s="11">
        <v>1</v>
      </c>
      <c r="AE44" s="2"/>
      <c r="AF44" s="11">
        <v>1</v>
      </c>
      <c r="AG44" s="3"/>
      <c r="AH44" s="13">
        <f t="shared" si="2"/>
        <v>20</v>
      </c>
      <c r="AI44" s="14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15" t="str">
        <f t="shared" si="3"/>
        <v>大熊</v>
      </c>
      <c r="AK44" s="17"/>
    </row>
    <row r="45" spans="1:37" ht="18" customHeight="1">
      <c r="A45" s="9" t="s">
        <v>58</v>
      </c>
      <c r="B45" s="10" t="s">
        <v>67</v>
      </c>
      <c r="C45" s="2"/>
      <c r="D45" s="11"/>
      <c r="E45" s="2"/>
      <c r="F45" s="11"/>
      <c r="G45" s="11"/>
      <c r="H45" s="11"/>
      <c r="I45" s="11"/>
      <c r="J45" s="2"/>
      <c r="K45" s="11"/>
      <c r="L45" s="2"/>
      <c r="M45" s="11"/>
      <c r="N45" s="11"/>
      <c r="O45" s="11"/>
      <c r="P45" s="11"/>
      <c r="Q45" s="2"/>
      <c r="R45" s="11"/>
      <c r="S45" s="12"/>
      <c r="T45" s="9"/>
      <c r="U45" s="9"/>
      <c r="V45" s="9"/>
      <c r="W45" s="9"/>
      <c r="X45" s="12"/>
      <c r="Y45" s="9"/>
      <c r="Z45" s="12"/>
      <c r="AA45" s="9"/>
      <c r="AB45" s="9"/>
      <c r="AC45" s="11"/>
      <c r="AD45" s="11"/>
      <c r="AE45" s="2"/>
      <c r="AF45" s="11"/>
      <c r="AG45" s="3"/>
      <c r="AH45" s="13">
        <f t="shared" si="2"/>
        <v>0</v>
      </c>
      <c r="AI45" s="14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15" t="str">
        <f t="shared" si="3"/>
        <v>歐吉</v>
      </c>
      <c r="AK45" s="17"/>
    </row>
    <row r="46" spans="1:37" ht="18" customHeight="1">
      <c r="A46" s="9" t="s">
        <v>58</v>
      </c>
      <c r="B46" s="10" t="s">
        <v>65</v>
      </c>
      <c r="C46" s="2"/>
      <c r="D46" s="11"/>
      <c r="E46" s="2"/>
      <c r="F46" s="11"/>
      <c r="G46" s="11"/>
      <c r="H46" s="11"/>
      <c r="I46" s="11"/>
      <c r="J46" s="2"/>
      <c r="K46" s="11"/>
      <c r="L46" s="2"/>
      <c r="M46" s="11"/>
      <c r="N46" s="11"/>
      <c r="O46" s="11"/>
      <c r="P46" s="11"/>
      <c r="Q46" s="2"/>
      <c r="R46" s="11"/>
      <c r="S46" s="12"/>
      <c r="T46" s="9"/>
      <c r="U46" s="9"/>
      <c r="V46" s="9"/>
      <c r="W46" s="9"/>
      <c r="X46" s="12"/>
      <c r="Y46" s="9"/>
      <c r="Z46" s="12"/>
      <c r="AA46" s="9"/>
      <c r="AB46" s="9"/>
      <c r="AC46" s="11"/>
      <c r="AD46" s="11"/>
      <c r="AE46" s="2"/>
      <c r="AF46" s="11"/>
      <c r="AG46" s="3"/>
      <c r="AH46" s="13">
        <f t="shared" si="2"/>
        <v>0</v>
      </c>
      <c r="AI46" s="14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15" t="str">
        <f t="shared" si="3"/>
        <v>文淵</v>
      </c>
      <c r="AK46" s="17"/>
    </row>
    <row r="47" spans="1:37" ht="18" customHeight="1">
      <c r="A47" s="9" t="s">
        <v>58</v>
      </c>
      <c r="B47" s="10" t="s">
        <v>69</v>
      </c>
      <c r="C47" s="2"/>
      <c r="D47" s="11"/>
      <c r="E47" s="2"/>
      <c r="F47" s="11"/>
      <c r="G47" s="11"/>
      <c r="H47" s="11"/>
      <c r="I47" s="11"/>
      <c r="J47" s="2"/>
      <c r="K47" s="11"/>
      <c r="L47" s="2"/>
      <c r="M47" s="11"/>
      <c r="N47" s="11"/>
      <c r="O47" s="11"/>
      <c r="P47" s="11"/>
      <c r="Q47" s="2"/>
      <c r="R47" s="11"/>
      <c r="S47" s="12"/>
      <c r="T47" s="9"/>
      <c r="U47" s="9"/>
      <c r="V47" s="9"/>
      <c r="W47" s="9"/>
      <c r="X47" s="12"/>
      <c r="Y47" s="9"/>
      <c r="Z47" s="12"/>
      <c r="AA47" s="9"/>
      <c r="AB47" s="9"/>
      <c r="AC47" s="11"/>
      <c r="AD47" s="11"/>
      <c r="AE47" s="2"/>
      <c r="AF47" s="11"/>
      <c r="AG47" s="3"/>
      <c r="AH47" s="13">
        <f t="shared" si="2"/>
        <v>0</v>
      </c>
      <c r="AI47" s="14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15" t="str">
        <f t="shared" si="3"/>
        <v>小馬</v>
      </c>
      <c r="AK47" s="17"/>
    </row>
    <row r="48" spans="1:37" ht="18" customHeight="1">
      <c r="A48" s="9" t="s">
        <v>58</v>
      </c>
      <c r="B48" s="10" t="s">
        <v>64</v>
      </c>
      <c r="C48" s="2"/>
      <c r="D48" s="11">
        <v>1</v>
      </c>
      <c r="E48" s="2"/>
      <c r="F48" s="11">
        <v>1</v>
      </c>
      <c r="G48" s="11">
        <v>1</v>
      </c>
      <c r="H48" s="11">
        <v>1</v>
      </c>
      <c r="I48" s="11">
        <v>1</v>
      </c>
      <c r="J48" s="2"/>
      <c r="K48" s="11">
        <v>1</v>
      </c>
      <c r="L48" s="2"/>
      <c r="M48" s="11">
        <v>1</v>
      </c>
      <c r="N48" s="11"/>
      <c r="O48" s="11">
        <v>1</v>
      </c>
      <c r="P48" s="11">
        <v>1</v>
      </c>
      <c r="Q48" s="2"/>
      <c r="R48" s="11">
        <v>1</v>
      </c>
      <c r="S48" s="12"/>
      <c r="T48" s="9">
        <v>1</v>
      </c>
      <c r="U48" s="9">
        <v>1</v>
      </c>
      <c r="V48" s="9">
        <v>1</v>
      </c>
      <c r="W48" s="9">
        <v>1</v>
      </c>
      <c r="X48" s="12"/>
      <c r="Y48" s="9">
        <v>1</v>
      </c>
      <c r="Z48" s="12"/>
      <c r="AA48" s="9"/>
      <c r="AB48" s="9"/>
      <c r="AC48" s="11"/>
      <c r="AD48" s="11"/>
      <c r="AE48" s="2"/>
      <c r="AF48" s="11">
        <v>1</v>
      </c>
      <c r="AG48" s="3"/>
      <c r="AH48" s="13">
        <f t="shared" si="2"/>
        <v>16</v>
      </c>
      <c r="AI48" s="14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15" t="str">
        <f t="shared" si="3"/>
        <v>園棠</v>
      </c>
      <c r="AK48" s="17"/>
    </row>
    <row r="49" spans="1:37" ht="18" customHeight="1">
      <c r="A49" s="9" t="s">
        <v>58</v>
      </c>
      <c r="B49" s="10" t="s">
        <v>31</v>
      </c>
      <c r="C49" s="2"/>
      <c r="D49" s="11"/>
      <c r="E49" s="2"/>
      <c r="F49" s="11"/>
      <c r="G49" s="11"/>
      <c r="H49" s="11"/>
      <c r="I49" s="11"/>
      <c r="J49" s="2"/>
      <c r="K49" s="11"/>
      <c r="L49" s="2"/>
      <c r="M49" s="11"/>
      <c r="N49" s="11"/>
      <c r="O49" s="11"/>
      <c r="P49" s="11"/>
      <c r="Q49" s="2"/>
      <c r="R49" s="11"/>
      <c r="S49" s="12"/>
      <c r="T49" s="9"/>
      <c r="U49" s="9"/>
      <c r="V49" s="9"/>
      <c r="W49" s="9"/>
      <c r="X49" s="12"/>
      <c r="Y49" s="9"/>
      <c r="Z49" s="12"/>
      <c r="AA49" s="9"/>
      <c r="AB49" s="9"/>
      <c r="AC49" s="11"/>
      <c r="AD49" s="11"/>
      <c r="AE49" s="2"/>
      <c r="AF49" s="11"/>
      <c r="AG49" s="3"/>
      <c r="AH49" s="13">
        <f t="shared" si="2"/>
        <v>0</v>
      </c>
      <c r="AI49" s="14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15" t="str">
        <f t="shared" si="3"/>
        <v>阿美</v>
      </c>
      <c r="AK49" s="17"/>
    </row>
    <row r="50" spans="1:37" ht="18" customHeight="1">
      <c r="A50" s="9" t="s">
        <v>58</v>
      </c>
      <c r="B50" s="10" t="s">
        <v>75</v>
      </c>
      <c r="C50" s="2"/>
      <c r="D50" s="11"/>
      <c r="E50" s="2"/>
      <c r="F50" s="11"/>
      <c r="G50" s="11"/>
      <c r="H50" s="11"/>
      <c r="I50" s="11"/>
      <c r="J50" s="2"/>
      <c r="K50" s="11"/>
      <c r="L50" s="2"/>
      <c r="M50" s="11"/>
      <c r="N50" s="11"/>
      <c r="O50" s="11"/>
      <c r="P50" s="11"/>
      <c r="Q50" s="2"/>
      <c r="R50" s="11"/>
      <c r="S50" s="12"/>
      <c r="T50" s="9"/>
      <c r="U50" s="9"/>
      <c r="V50" s="9"/>
      <c r="W50" s="9"/>
      <c r="X50" s="12"/>
      <c r="Y50" s="9"/>
      <c r="Z50" s="12"/>
      <c r="AA50" s="9"/>
      <c r="AB50" s="9"/>
      <c r="AC50" s="11"/>
      <c r="AD50" s="11"/>
      <c r="AE50" s="2"/>
      <c r="AF50" s="11"/>
      <c r="AG50" s="3"/>
      <c r="AH50" s="13">
        <f t="shared" si="2"/>
        <v>0</v>
      </c>
      <c r="AI50" s="14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15" t="str">
        <f t="shared" si="3"/>
        <v>叮噹</v>
      </c>
      <c r="AK50" s="17"/>
    </row>
    <row r="51" spans="1:37" ht="18" customHeight="1">
      <c r="A51" s="9" t="s">
        <v>58</v>
      </c>
      <c r="B51" s="10" t="s">
        <v>33</v>
      </c>
      <c r="C51" s="2"/>
      <c r="D51" s="11"/>
      <c r="E51" s="2"/>
      <c r="F51" s="11"/>
      <c r="G51" s="11"/>
      <c r="H51" s="11"/>
      <c r="I51" s="11"/>
      <c r="J51" s="2"/>
      <c r="K51" s="11"/>
      <c r="L51" s="2"/>
      <c r="M51" s="11"/>
      <c r="N51" s="11"/>
      <c r="O51" s="11"/>
      <c r="P51" s="11"/>
      <c r="Q51" s="2"/>
      <c r="R51" s="11"/>
      <c r="S51" s="12"/>
      <c r="T51" s="9"/>
      <c r="U51" s="9"/>
      <c r="V51" s="9"/>
      <c r="W51" s="9"/>
      <c r="X51" s="12"/>
      <c r="Y51" s="9"/>
      <c r="Z51" s="12"/>
      <c r="AA51" s="9"/>
      <c r="AB51" s="9"/>
      <c r="AC51" s="11"/>
      <c r="AD51" s="11"/>
      <c r="AE51" s="2"/>
      <c r="AF51" s="11"/>
      <c r="AG51" s="3"/>
      <c r="AH51" s="13">
        <f t="shared" si="2"/>
        <v>0</v>
      </c>
      <c r="AI51" s="14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15" t="str">
        <f t="shared" si="3"/>
        <v>一飛</v>
      </c>
      <c r="AK51" s="17"/>
    </row>
    <row r="52" spans="1:37" ht="18" customHeight="1">
      <c r="A52" s="9" t="s">
        <v>58</v>
      </c>
      <c r="B52" s="10" t="s">
        <v>29</v>
      </c>
      <c r="C52" s="2"/>
      <c r="D52" s="11">
        <v>1</v>
      </c>
      <c r="E52" s="2"/>
      <c r="F52" s="11"/>
      <c r="G52" s="11"/>
      <c r="H52" s="11"/>
      <c r="I52" s="11"/>
      <c r="J52" s="2"/>
      <c r="K52" s="11"/>
      <c r="L52" s="2"/>
      <c r="M52" s="11"/>
      <c r="N52" s="11"/>
      <c r="O52" s="11"/>
      <c r="P52" s="11"/>
      <c r="Q52" s="2"/>
      <c r="R52" s="11"/>
      <c r="S52" s="12"/>
      <c r="T52" s="9">
        <v>1</v>
      </c>
      <c r="U52" s="9"/>
      <c r="V52" s="9"/>
      <c r="W52" s="9"/>
      <c r="X52" s="12"/>
      <c r="Y52" s="9">
        <v>1</v>
      </c>
      <c r="Z52" s="12"/>
      <c r="AA52" s="9">
        <v>1</v>
      </c>
      <c r="AB52" s="9"/>
      <c r="AC52" s="11"/>
      <c r="AD52" s="11"/>
      <c r="AE52" s="2"/>
      <c r="AF52" s="11"/>
      <c r="AG52" s="3"/>
      <c r="AH52" s="13">
        <f t="shared" si="2"/>
        <v>4</v>
      </c>
      <c r="AI52" s="14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15" t="str">
        <f t="shared" si="3"/>
        <v>大頭</v>
      </c>
      <c r="AK52" s="17"/>
    </row>
    <row r="53" spans="1:37" ht="18" customHeight="1">
      <c r="A53" s="9" t="s">
        <v>58</v>
      </c>
      <c r="B53" s="10" t="s">
        <v>28</v>
      </c>
      <c r="C53" s="2"/>
      <c r="D53" s="11"/>
      <c r="E53" s="2"/>
      <c r="F53" s="11"/>
      <c r="G53" s="11"/>
      <c r="H53" s="11"/>
      <c r="I53" s="11"/>
      <c r="J53" s="2"/>
      <c r="K53" s="11"/>
      <c r="L53" s="2"/>
      <c r="M53" s="11">
        <v>1</v>
      </c>
      <c r="N53" s="11"/>
      <c r="O53" s="11"/>
      <c r="P53" s="11"/>
      <c r="Q53" s="2"/>
      <c r="R53" s="11"/>
      <c r="S53" s="12"/>
      <c r="T53" s="9"/>
      <c r="U53" s="9"/>
      <c r="V53" s="9"/>
      <c r="W53" s="9"/>
      <c r="X53" s="12"/>
      <c r="Y53" s="9"/>
      <c r="Z53" s="12"/>
      <c r="AA53" s="9">
        <v>1</v>
      </c>
      <c r="AB53" s="9"/>
      <c r="AC53" s="11"/>
      <c r="AD53" s="11"/>
      <c r="AE53" s="2"/>
      <c r="AF53" s="11"/>
      <c r="AG53" s="3"/>
      <c r="AH53" s="13">
        <f t="shared" si="2"/>
        <v>2</v>
      </c>
      <c r="AI53" s="14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15" t="str">
        <f t="shared" si="3"/>
        <v>克勤</v>
      </c>
      <c r="AK53" s="17"/>
    </row>
    <row r="54" spans="1:37" ht="18" customHeight="1">
      <c r="A54" s="9" t="s">
        <v>58</v>
      </c>
      <c r="B54" s="10" t="s">
        <v>85</v>
      </c>
      <c r="C54" s="2"/>
      <c r="D54" s="11"/>
      <c r="E54" s="2"/>
      <c r="F54" s="11"/>
      <c r="G54" s="11"/>
      <c r="H54" s="11"/>
      <c r="I54" s="11"/>
      <c r="J54" s="2"/>
      <c r="K54" s="11"/>
      <c r="L54" s="2"/>
      <c r="M54" s="11"/>
      <c r="N54" s="11"/>
      <c r="O54" s="11"/>
      <c r="P54" s="11"/>
      <c r="Q54" s="2"/>
      <c r="R54" s="11"/>
      <c r="S54" s="12"/>
      <c r="T54" s="9"/>
      <c r="U54" s="9"/>
      <c r="V54" s="9"/>
      <c r="W54" s="9"/>
      <c r="X54" s="12"/>
      <c r="Y54" s="9"/>
      <c r="Z54" s="12"/>
      <c r="AA54" s="9"/>
      <c r="AB54" s="9"/>
      <c r="AC54" s="11"/>
      <c r="AD54" s="11"/>
      <c r="AE54" s="2"/>
      <c r="AF54" s="11"/>
      <c r="AG54" s="3"/>
      <c r="AH54" s="13">
        <f t="shared" si="2"/>
        <v>0</v>
      </c>
      <c r="AI54" s="14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15" t="str">
        <f t="shared" si="3"/>
        <v>阿璽</v>
      </c>
      <c r="AK54" s="17"/>
    </row>
    <row r="55" spans="1:37" ht="18" customHeight="1">
      <c r="A55" s="9" t="s">
        <v>58</v>
      </c>
      <c r="B55" s="10" t="s">
        <v>68</v>
      </c>
      <c r="C55" s="2"/>
      <c r="D55" s="11"/>
      <c r="E55" s="2"/>
      <c r="F55" s="11"/>
      <c r="G55" s="11"/>
      <c r="H55" s="11"/>
      <c r="I55" s="11">
        <v>1</v>
      </c>
      <c r="J55" s="2"/>
      <c r="K55" s="11"/>
      <c r="L55" s="2"/>
      <c r="M55" s="11"/>
      <c r="N55" s="11"/>
      <c r="O55" s="11"/>
      <c r="P55" s="11">
        <v>1</v>
      </c>
      <c r="Q55" s="2"/>
      <c r="R55" s="11"/>
      <c r="S55" s="12"/>
      <c r="T55" s="9"/>
      <c r="U55" s="9"/>
      <c r="V55" s="9"/>
      <c r="W55" s="9">
        <v>1</v>
      </c>
      <c r="X55" s="12"/>
      <c r="Y55" s="9"/>
      <c r="Z55" s="12"/>
      <c r="AA55" s="9"/>
      <c r="AB55" s="9"/>
      <c r="AC55" s="11"/>
      <c r="AD55" s="11">
        <v>1</v>
      </c>
      <c r="AE55" s="2"/>
      <c r="AF55" s="11"/>
      <c r="AG55" s="3"/>
      <c r="AH55" s="13">
        <f t="shared" si="2"/>
        <v>4</v>
      </c>
      <c r="AI55" s="14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15" t="str">
        <f t="shared" si="3"/>
        <v>兔子</v>
      </c>
      <c r="AK55" s="17"/>
    </row>
    <row r="56" spans="1:37" ht="18" customHeight="1">
      <c r="A56" s="9" t="s">
        <v>58</v>
      </c>
      <c r="B56" s="10" t="s">
        <v>178</v>
      </c>
      <c r="C56" s="2"/>
      <c r="D56" s="11">
        <v>1</v>
      </c>
      <c r="E56" s="2"/>
      <c r="F56" s="11">
        <v>1</v>
      </c>
      <c r="G56" s="11">
        <v>1</v>
      </c>
      <c r="H56" s="11"/>
      <c r="I56" s="11"/>
      <c r="J56" s="2"/>
      <c r="K56" s="11">
        <v>1</v>
      </c>
      <c r="L56" s="2"/>
      <c r="M56" s="11"/>
      <c r="N56" s="11"/>
      <c r="O56" s="11">
        <v>1</v>
      </c>
      <c r="P56" s="11"/>
      <c r="Q56" s="2"/>
      <c r="R56" s="11">
        <v>1</v>
      </c>
      <c r="S56" s="12"/>
      <c r="T56" s="9">
        <v>1</v>
      </c>
      <c r="U56" s="9">
        <v>1</v>
      </c>
      <c r="V56" s="9">
        <v>1</v>
      </c>
      <c r="W56" s="9"/>
      <c r="X56" s="12"/>
      <c r="Y56" s="9">
        <v>1</v>
      </c>
      <c r="Z56" s="12"/>
      <c r="AA56" s="9">
        <v>1</v>
      </c>
      <c r="AB56" s="9">
        <v>1</v>
      </c>
      <c r="AC56" s="11">
        <v>1</v>
      </c>
      <c r="AD56" s="11"/>
      <c r="AE56" s="2"/>
      <c r="AF56" s="11">
        <v>1</v>
      </c>
      <c r="AG56" s="3"/>
      <c r="AH56" s="13">
        <f t="shared" si="2"/>
        <v>14</v>
      </c>
      <c r="AI56" s="14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15" t="str">
        <f t="shared" si="3"/>
        <v>Fish</v>
      </c>
      <c r="AK56" s="17"/>
    </row>
    <row r="57" spans="1:37" ht="18" customHeight="1">
      <c r="A57" s="9" t="s">
        <v>58</v>
      </c>
      <c r="B57" s="10" t="s">
        <v>77</v>
      </c>
      <c r="C57" s="2"/>
      <c r="D57" s="11"/>
      <c r="E57" s="2"/>
      <c r="F57" s="11"/>
      <c r="G57" s="11"/>
      <c r="H57" s="11"/>
      <c r="I57" s="11"/>
      <c r="J57" s="2"/>
      <c r="K57" s="11"/>
      <c r="L57" s="2"/>
      <c r="M57" s="11"/>
      <c r="N57" s="11"/>
      <c r="O57" s="11"/>
      <c r="P57" s="11"/>
      <c r="Q57" s="2"/>
      <c r="R57" s="11"/>
      <c r="S57" s="12"/>
      <c r="T57" s="9"/>
      <c r="U57" s="9"/>
      <c r="V57" s="9"/>
      <c r="W57" s="9"/>
      <c r="X57" s="12"/>
      <c r="Y57" s="9"/>
      <c r="Z57" s="12"/>
      <c r="AA57" s="9"/>
      <c r="AB57" s="9"/>
      <c r="AC57" s="11"/>
      <c r="AD57" s="11"/>
      <c r="AE57" s="2"/>
      <c r="AF57" s="11"/>
      <c r="AG57" s="3"/>
      <c r="AH57" s="13">
        <f t="shared" si="2"/>
        <v>0</v>
      </c>
      <c r="AI57" s="14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15" t="str">
        <f t="shared" si="3"/>
        <v>小夫</v>
      </c>
      <c r="AK57" s="17"/>
    </row>
    <row r="58" spans="1:37" ht="18" customHeight="1">
      <c r="A58" s="9" t="s">
        <v>58</v>
      </c>
      <c r="B58" s="10" t="s">
        <v>78</v>
      </c>
      <c r="C58" s="2"/>
      <c r="D58" s="11"/>
      <c r="E58" s="2"/>
      <c r="F58" s="11"/>
      <c r="G58" s="11"/>
      <c r="H58" s="11"/>
      <c r="I58" s="11"/>
      <c r="J58" s="2"/>
      <c r="K58" s="11"/>
      <c r="L58" s="2"/>
      <c r="M58" s="11"/>
      <c r="N58" s="11"/>
      <c r="O58" s="11"/>
      <c r="P58" s="11"/>
      <c r="Q58" s="2"/>
      <c r="R58" s="11"/>
      <c r="S58" s="12"/>
      <c r="T58" s="9"/>
      <c r="U58" s="9"/>
      <c r="V58" s="9"/>
      <c r="W58" s="9"/>
      <c r="X58" s="12"/>
      <c r="Y58" s="9"/>
      <c r="Z58" s="12"/>
      <c r="AA58" s="9"/>
      <c r="AB58" s="9"/>
      <c r="AC58" s="11"/>
      <c r="AD58" s="11"/>
      <c r="AE58" s="2"/>
      <c r="AF58" s="11"/>
      <c r="AG58" s="3"/>
      <c r="AH58" s="13">
        <f t="shared" si="2"/>
        <v>0</v>
      </c>
      <c r="AI58" s="14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15" t="str">
        <f t="shared" si="3"/>
        <v>小邱</v>
      </c>
      <c r="AK58" s="17"/>
    </row>
    <row r="59" spans="1:37" ht="18" customHeight="1">
      <c r="A59" s="9" t="s">
        <v>58</v>
      </c>
      <c r="B59" s="10" t="s">
        <v>79</v>
      </c>
      <c r="C59" s="2"/>
      <c r="D59" s="11"/>
      <c r="E59" s="2"/>
      <c r="F59" s="11"/>
      <c r="G59" s="11"/>
      <c r="H59" s="11"/>
      <c r="I59" s="11"/>
      <c r="J59" s="2"/>
      <c r="K59" s="11"/>
      <c r="L59" s="2"/>
      <c r="M59" s="11"/>
      <c r="N59" s="11"/>
      <c r="O59" s="11"/>
      <c r="P59" s="11"/>
      <c r="Q59" s="2"/>
      <c r="R59" s="11"/>
      <c r="S59" s="12"/>
      <c r="T59" s="9"/>
      <c r="U59" s="9"/>
      <c r="V59" s="9"/>
      <c r="W59" s="9"/>
      <c r="X59" s="12"/>
      <c r="Y59" s="9"/>
      <c r="Z59" s="12"/>
      <c r="AA59" s="9"/>
      <c r="AB59" s="9"/>
      <c r="AC59" s="11"/>
      <c r="AD59" s="11"/>
      <c r="AE59" s="2"/>
      <c r="AF59" s="11"/>
      <c r="AG59" s="3"/>
      <c r="AH59" s="13">
        <f t="shared" si="2"/>
        <v>0</v>
      </c>
      <c r="AI59" s="14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15" t="str">
        <f t="shared" si="3"/>
        <v>淳淳</v>
      </c>
      <c r="AK59" s="17"/>
    </row>
    <row r="60" spans="1:37" ht="18" customHeight="1">
      <c r="A60" s="9" t="s">
        <v>58</v>
      </c>
      <c r="B60" s="10" t="s">
        <v>80</v>
      </c>
      <c r="C60" s="2"/>
      <c r="D60" s="11"/>
      <c r="E60" s="2"/>
      <c r="F60" s="11"/>
      <c r="G60" s="11"/>
      <c r="H60" s="11"/>
      <c r="I60" s="11"/>
      <c r="J60" s="2"/>
      <c r="K60" s="11"/>
      <c r="L60" s="2"/>
      <c r="M60" s="11"/>
      <c r="N60" s="11"/>
      <c r="O60" s="11"/>
      <c r="P60" s="11"/>
      <c r="Q60" s="2"/>
      <c r="R60" s="11"/>
      <c r="S60" s="12"/>
      <c r="T60" s="9"/>
      <c r="U60" s="9"/>
      <c r="V60" s="9"/>
      <c r="W60" s="9"/>
      <c r="X60" s="12"/>
      <c r="Y60" s="9"/>
      <c r="Z60" s="12"/>
      <c r="AA60" s="9"/>
      <c r="AB60" s="9"/>
      <c r="AC60" s="11"/>
      <c r="AD60" s="11"/>
      <c r="AE60" s="2"/>
      <c r="AF60" s="11"/>
      <c r="AG60" s="3"/>
      <c r="AH60" s="13">
        <f t="shared" si="2"/>
        <v>0</v>
      </c>
      <c r="AI60" s="14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15" t="str">
        <f t="shared" si="3"/>
        <v>禿鷹</v>
      </c>
      <c r="AK60" s="17"/>
    </row>
    <row r="61" spans="1:37" ht="18" customHeight="1">
      <c r="A61" s="9" t="s">
        <v>58</v>
      </c>
      <c r="B61" s="10" t="s">
        <v>30</v>
      </c>
      <c r="C61" s="2"/>
      <c r="D61" s="11"/>
      <c r="E61" s="2"/>
      <c r="F61" s="11"/>
      <c r="G61" s="11"/>
      <c r="H61" s="11">
        <v>1</v>
      </c>
      <c r="I61" s="11"/>
      <c r="J61" s="2"/>
      <c r="K61" s="11"/>
      <c r="L61" s="2"/>
      <c r="M61" s="11">
        <v>1</v>
      </c>
      <c r="N61" s="11">
        <v>1</v>
      </c>
      <c r="O61" s="11"/>
      <c r="P61" s="11"/>
      <c r="Q61" s="2"/>
      <c r="R61" s="11"/>
      <c r="S61" s="12"/>
      <c r="T61" s="9">
        <v>1</v>
      </c>
      <c r="U61" s="9"/>
      <c r="V61" s="9"/>
      <c r="W61" s="9"/>
      <c r="X61" s="12"/>
      <c r="Y61" s="9"/>
      <c r="Z61" s="12"/>
      <c r="AA61" s="9">
        <v>1</v>
      </c>
      <c r="AB61" s="9">
        <v>1</v>
      </c>
      <c r="AC61" s="11">
        <v>1</v>
      </c>
      <c r="AD61" s="11"/>
      <c r="AE61" s="2"/>
      <c r="AF61" s="11">
        <v>1</v>
      </c>
      <c r="AG61" s="3"/>
      <c r="AH61" s="13">
        <f t="shared" si="2"/>
        <v>8</v>
      </c>
      <c r="AI61" s="14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15" t="str">
        <f t="shared" si="3"/>
        <v>鯰魚</v>
      </c>
      <c r="AK61" s="17"/>
    </row>
    <row r="62" spans="1:37" ht="18" customHeight="1">
      <c r="A62" s="9" t="s">
        <v>58</v>
      </c>
      <c r="B62" s="10" t="s">
        <v>81</v>
      </c>
      <c r="C62" s="2"/>
      <c r="D62" s="11"/>
      <c r="E62" s="2"/>
      <c r="F62" s="11"/>
      <c r="G62" s="11"/>
      <c r="H62" s="11"/>
      <c r="I62" s="11"/>
      <c r="J62" s="2"/>
      <c r="K62" s="11"/>
      <c r="L62" s="2"/>
      <c r="M62" s="11"/>
      <c r="N62" s="11"/>
      <c r="O62" s="11"/>
      <c r="P62" s="11"/>
      <c r="Q62" s="2"/>
      <c r="R62" s="11"/>
      <c r="S62" s="12"/>
      <c r="T62" s="9"/>
      <c r="U62" s="9"/>
      <c r="V62" s="9"/>
      <c r="W62" s="9"/>
      <c r="X62" s="12"/>
      <c r="Y62" s="9"/>
      <c r="Z62" s="12"/>
      <c r="AA62" s="9"/>
      <c r="AB62" s="9"/>
      <c r="AC62" s="11"/>
      <c r="AD62" s="11"/>
      <c r="AE62" s="2"/>
      <c r="AF62" s="11"/>
      <c r="AG62" s="3"/>
      <c r="AH62" s="13">
        <f t="shared" si="2"/>
        <v>0</v>
      </c>
      <c r="AI62" s="14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15" t="str">
        <f t="shared" si="3"/>
        <v>王宏</v>
      </c>
      <c r="AK62" s="17"/>
    </row>
    <row r="63" spans="1:37" ht="18" customHeight="1">
      <c r="A63" s="9" t="s">
        <v>58</v>
      </c>
      <c r="B63" s="10" t="s">
        <v>76</v>
      </c>
      <c r="C63" s="2"/>
      <c r="D63" s="11"/>
      <c r="E63" s="2"/>
      <c r="F63" s="11"/>
      <c r="G63" s="11"/>
      <c r="H63" s="11"/>
      <c r="I63" s="11"/>
      <c r="J63" s="2"/>
      <c r="K63" s="11"/>
      <c r="L63" s="2"/>
      <c r="M63" s="11"/>
      <c r="N63" s="11">
        <v>1</v>
      </c>
      <c r="O63" s="11"/>
      <c r="P63" s="11"/>
      <c r="Q63" s="2"/>
      <c r="R63" s="11"/>
      <c r="S63" s="12"/>
      <c r="T63" s="9"/>
      <c r="U63" s="9"/>
      <c r="V63" s="9"/>
      <c r="W63" s="9"/>
      <c r="X63" s="12"/>
      <c r="Y63" s="9"/>
      <c r="Z63" s="12"/>
      <c r="AA63" s="9"/>
      <c r="AB63" s="9"/>
      <c r="AC63" s="11"/>
      <c r="AD63" s="11"/>
      <c r="AE63" s="2"/>
      <c r="AF63" s="11"/>
      <c r="AG63" s="3"/>
      <c r="AH63" s="13">
        <f t="shared" si="2"/>
        <v>1</v>
      </c>
      <c r="AI63" s="14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15" t="str">
        <f t="shared" si="3"/>
        <v>肥肥</v>
      </c>
      <c r="AK63" s="17"/>
    </row>
    <row r="64" spans="1:37" ht="18" customHeight="1">
      <c r="A64" s="9" t="s">
        <v>58</v>
      </c>
      <c r="B64" s="10" t="s">
        <v>74</v>
      </c>
      <c r="C64" s="2"/>
      <c r="D64" s="11">
        <v>1</v>
      </c>
      <c r="E64" s="2"/>
      <c r="F64" s="11"/>
      <c r="G64" s="11"/>
      <c r="H64" s="11"/>
      <c r="I64" s="11">
        <v>1</v>
      </c>
      <c r="J64" s="2"/>
      <c r="K64" s="11"/>
      <c r="L64" s="2"/>
      <c r="M64" s="11"/>
      <c r="N64" s="11"/>
      <c r="O64" s="11"/>
      <c r="P64" s="11">
        <v>1</v>
      </c>
      <c r="Q64" s="2"/>
      <c r="R64" s="11"/>
      <c r="S64" s="12"/>
      <c r="T64" s="9"/>
      <c r="U64" s="9"/>
      <c r="V64" s="9"/>
      <c r="W64" s="9">
        <v>1</v>
      </c>
      <c r="X64" s="12"/>
      <c r="Y64" s="9"/>
      <c r="Z64" s="12"/>
      <c r="AA64" s="9"/>
      <c r="AB64" s="9"/>
      <c r="AC64" s="11"/>
      <c r="AD64" s="11">
        <v>1</v>
      </c>
      <c r="AE64" s="2"/>
      <c r="AF64" s="11"/>
      <c r="AG64" s="3"/>
      <c r="AH64" s="13">
        <f t="shared" si="2"/>
        <v>5</v>
      </c>
      <c r="AI64" s="14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15" t="str">
        <f t="shared" si="3"/>
        <v>蘆葦</v>
      </c>
      <c r="AK64" s="17"/>
    </row>
    <row r="65" spans="1:37" ht="18" customHeight="1">
      <c r="A65" s="9" t="s">
        <v>58</v>
      </c>
      <c r="B65" s="10" t="s">
        <v>82</v>
      </c>
      <c r="C65" s="2"/>
      <c r="D65" s="11"/>
      <c r="E65" s="2"/>
      <c r="F65" s="11"/>
      <c r="G65" s="11"/>
      <c r="H65" s="11"/>
      <c r="I65" s="11"/>
      <c r="J65" s="2"/>
      <c r="K65" s="11"/>
      <c r="L65" s="2"/>
      <c r="M65" s="11"/>
      <c r="N65" s="11"/>
      <c r="O65" s="11"/>
      <c r="P65" s="11"/>
      <c r="Q65" s="2"/>
      <c r="R65" s="11"/>
      <c r="S65" s="12"/>
      <c r="T65" s="9"/>
      <c r="U65" s="9"/>
      <c r="V65" s="9"/>
      <c r="W65" s="9"/>
      <c r="X65" s="12"/>
      <c r="Y65" s="9"/>
      <c r="Z65" s="12"/>
      <c r="AA65" s="9"/>
      <c r="AB65" s="9"/>
      <c r="AC65" s="11"/>
      <c r="AD65" s="11"/>
      <c r="AE65" s="2"/>
      <c r="AF65" s="11"/>
      <c r="AG65" s="3"/>
      <c r="AH65" s="13">
        <f t="shared" si="2"/>
        <v>0</v>
      </c>
      <c r="AI65" s="14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15" t="str">
        <f t="shared" si="3"/>
        <v>犀牛</v>
      </c>
      <c r="AK65" s="17"/>
    </row>
    <row r="66" spans="1:37" ht="18" customHeight="1">
      <c r="A66" s="9" t="s">
        <v>58</v>
      </c>
      <c r="B66" s="10" t="s">
        <v>83</v>
      </c>
      <c r="C66" s="2"/>
      <c r="D66" s="11"/>
      <c r="E66" s="2"/>
      <c r="F66" s="11"/>
      <c r="G66" s="11"/>
      <c r="H66" s="11"/>
      <c r="I66" s="11"/>
      <c r="J66" s="2"/>
      <c r="K66" s="11"/>
      <c r="L66" s="2"/>
      <c r="M66" s="11"/>
      <c r="N66" s="11"/>
      <c r="O66" s="11"/>
      <c r="P66" s="11"/>
      <c r="Q66" s="2"/>
      <c r="R66" s="11"/>
      <c r="S66" s="12"/>
      <c r="T66" s="9"/>
      <c r="U66" s="9"/>
      <c r="V66" s="9"/>
      <c r="W66" s="9"/>
      <c r="X66" s="12"/>
      <c r="Y66" s="9"/>
      <c r="Z66" s="12"/>
      <c r="AA66" s="9"/>
      <c r="AB66" s="9"/>
      <c r="AC66" s="11"/>
      <c r="AD66" s="11"/>
      <c r="AE66" s="2"/>
      <c r="AF66" s="11"/>
      <c r="AG66" s="3"/>
      <c r="AH66" s="13">
        <f t="shared" si="2"/>
        <v>0</v>
      </c>
      <c r="AI66" s="14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15" t="str">
        <f t="shared" si="3"/>
        <v>來福</v>
      </c>
      <c r="AK66" s="17"/>
    </row>
    <row r="67" spans="1:37" ht="18" customHeight="1">
      <c r="A67" s="9" t="s">
        <v>58</v>
      </c>
      <c r="B67" s="10" t="s">
        <v>27</v>
      </c>
      <c r="C67" s="2"/>
      <c r="D67" s="11">
        <v>1</v>
      </c>
      <c r="E67" s="2"/>
      <c r="F67" s="11">
        <v>1</v>
      </c>
      <c r="G67" s="11"/>
      <c r="H67" s="11"/>
      <c r="I67" s="11"/>
      <c r="J67" s="2"/>
      <c r="K67" s="11">
        <v>1</v>
      </c>
      <c r="L67" s="2"/>
      <c r="M67" s="11"/>
      <c r="N67" s="11"/>
      <c r="O67" s="11"/>
      <c r="P67" s="11"/>
      <c r="Q67" s="2"/>
      <c r="R67" s="11"/>
      <c r="S67" s="12"/>
      <c r="T67" s="9"/>
      <c r="U67" s="9"/>
      <c r="V67" s="9"/>
      <c r="W67" s="9"/>
      <c r="X67" s="12"/>
      <c r="Y67" s="9"/>
      <c r="Z67" s="12"/>
      <c r="AA67" s="9"/>
      <c r="AB67" s="9"/>
      <c r="AC67" s="11"/>
      <c r="AD67" s="11"/>
      <c r="AE67" s="2"/>
      <c r="AF67" s="11">
        <v>1</v>
      </c>
      <c r="AG67" s="3"/>
      <c r="AH67" s="13">
        <f t="shared" si="2"/>
        <v>4</v>
      </c>
      <c r="AI67" s="14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15" t="str">
        <f t="shared" si="3"/>
        <v>芋圓</v>
      </c>
      <c r="AK67" s="17"/>
    </row>
    <row r="68" spans="1:37" ht="18" customHeight="1">
      <c r="A68" s="9" t="s">
        <v>58</v>
      </c>
      <c r="B68" s="10" t="s">
        <v>84</v>
      </c>
      <c r="C68" s="2"/>
      <c r="D68" s="11"/>
      <c r="E68" s="2"/>
      <c r="F68" s="11"/>
      <c r="G68" s="11"/>
      <c r="H68" s="11"/>
      <c r="I68" s="11"/>
      <c r="J68" s="2"/>
      <c r="K68" s="11"/>
      <c r="L68" s="2"/>
      <c r="M68" s="11"/>
      <c r="N68" s="11"/>
      <c r="O68" s="11"/>
      <c r="P68" s="11"/>
      <c r="Q68" s="2"/>
      <c r="R68" s="11"/>
      <c r="S68" s="12"/>
      <c r="T68" s="9"/>
      <c r="U68" s="9"/>
      <c r="V68" s="9"/>
      <c r="W68" s="9"/>
      <c r="X68" s="12"/>
      <c r="Y68" s="9"/>
      <c r="Z68" s="12"/>
      <c r="AA68" s="9"/>
      <c r="AB68" s="9"/>
      <c r="AC68" s="11"/>
      <c r="AD68" s="11"/>
      <c r="AE68" s="2"/>
      <c r="AF68" s="11"/>
      <c r="AG68" s="3"/>
      <c r="AH68" s="13">
        <f t="shared" ref="AH68:AH99" si="4">COUNTA(C68:AF68)</f>
        <v>0</v>
      </c>
      <c r="AI68" s="14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15" t="str">
        <f t="shared" ref="AJ68:AJ99" si="5">B68</f>
        <v>誌誌</v>
      </c>
      <c r="AK68" s="17"/>
    </row>
    <row r="69" spans="1:37" ht="18" customHeight="1">
      <c r="A69" s="9" t="s">
        <v>58</v>
      </c>
      <c r="B69" s="10" t="s">
        <v>86</v>
      </c>
      <c r="C69" s="2"/>
      <c r="D69" s="11"/>
      <c r="E69" s="2"/>
      <c r="F69" s="11"/>
      <c r="G69" s="11"/>
      <c r="H69" s="11"/>
      <c r="I69" s="11"/>
      <c r="J69" s="2"/>
      <c r="K69" s="11"/>
      <c r="L69" s="2"/>
      <c r="M69" s="11"/>
      <c r="N69" s="11"/>
      <c r="O69" s="11"/>
      <c r="P69" s="11"/>
      <c r="Q69" s="2"/>
      <c r="R69" s="11"/>
      <c r="S69" s="12"/>
      <c r="T69" s="9"/>
      <c r="U69" s="9"/>
      <c r="V69" s="9"/>
      <c r="W69" s="9"/>
      <c r="X69" s="12"/>
      <c r="Y69" s="9"/>
      <c r="Z69" s="12"/>
      <c r="AA69" s="9"/>
      <c r="AB69" s="9"/>
      <c r="AC69" s="11"/>
      <c r="AD69" s="11"/>
      <c r="AE69" s="2"/>
      <c r="AF69" s="11"/>
      <c r="AG69" s="3"/>
      <c r="AH69" s="13">
        <f t="shared" si="4"/>
        <v>0</v>
      </c>
      <c r="AI69" s="14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15" t="str">
        <f t="shared" si="5"/>
        <v>正誼</v>
      </c>
      <c r="AK69" s="17"/>
    </row>
    <row r="70" spans="1:37" ht="18" customHeight="1">
      <c r="A70" s="9" t="s">
        <v>58</v>
      </c>
      <c r="B70" s="10" t="s">
        <v>32</v>
      </c>
      <c r="C70" s="2"/>
      <c r="D70" s="11"/>
      <c r="E70" s="2"/>
      <c r="F70" s="11"/>
      <c r="G70" s="11"/>
      <c r="H70" s="11"/>
      <c r="I70" s="11"/>
      <c r="J70" s="2"/>
      <c r="K70" s="11"/>
      <c r="L70" s="2"/>
      <c r="M70" s="11"/>
      <c r="N70" s="11"/>
      <c r="O70" s="11"/>
      <c r="P70" s="11"/>
      <c r="Q70" s="2"/>
      <c r="R70" s="11"/>
      <c r="S70" s="12"/>
      <c r="T70" s="9"/>
      <c r="U70" s="9"/>
      <c r="V70" s="9"/>
      <c r="W70" s="9"/>
      <c r="X70" s="12"/>
      <c r="Y70" s="9"/>
      <c r="Z70" s="12"/>
      <c r="AA70" s="9"/>
      <c r="AB70" s="9"/>
      <c r="AC70" s="11"/>
      <c r="AD70" s="11"/>
      <c r="AE70" s="2"/>
      <c r="AF70" s="11"/>
      <c r="AG70" s="3"/>
      <c r="AH70" s="13">
        <f t="shared" si="4"/>
        <v>0</v>
      </c>
      <c r="AI70" s="14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15" t="str">
        <f t="shared" si="5"/>
        <v>小翔</v>
      </c>
      <c r="AK70" s="17"/>
    </row>
    <row r="71" spans="1:37" ht="18" customHeight="1">
      <c r="A71" s="9" t="s">
        <v>58</v>
      </c>
      <c r="B71" s="10" t="s">
        <v>66</v>
      </c>
      <c r="C71" s="2"/>
      <c r="D71" s="11"/>
      <c r="E71" s="2"/>
      <c r="F71" s="11">
        <v>1</v>
      </c>
      <c r="G71" s="11">
        <v>1</v>
      </c>
      <c r="H71" s="11"/>
      <c r="I71" s="11"/>
      <c r="J71" s="2"/>
      <c r="K71" s="11"/>
      <c r="L71" s="2"/>
      <c r="M71" s="11">
        <v>1</v>
      </c>
      <c r="N71" s="11"/>
      <c r="O71" s="11"/>
      <c r="P71" s="11"/>
      <c r="Q71" s="2"/>
      <c r="R71" s="11"/>
      <c r="S71" s="12"/>
      <c r="T71" s="9">
        <v>1</v>
      </c>
      <c r="U71" s="9"/>
      <c r="V71" s="9"/>
      <c r="W71" s="9"/>
      <c r="X71" s="12"/>
      <c r="Y71" s="9"/>
      <c r="Z71" s="12"/>
      <c r="AA71" s="9">
        <v>1</v>
      </c>
      <c r="AB71" s="9">
        <v>1</v>
      </c>
      <c r="AC71" s="11"/>
      <c r="AD71" s="11"/>
      <c r="AE71" s="2"/>
      <c r="AF71" s="11"/>
      <c r="AG71" s="3"/>
      <c r="AH71" s="13">
        <f t="shared" si="4"/>
        <v>6</v>
      </c>
      <c r="AI71" s="14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15" t="str">
        <f t="shared" si="5"/>
        <v>昆佑</v>
      </c>
      <c r="AK71" s="17"/>
    </row>
    <row r="72" spans="1:37" ht="18" customHeight="1">
      <c r="A72" s="9" t="s">
        <v>58</v>
      </c>
      <c r="B72" s="10" t="s">
        <v>179</v>
      </c>
      <c r="C72" s="2"/>
      <c r="D72" s="11"/>
      <c r="E72" s="2"/>
      <c r="F72" s="11"/>
      <c r="G72" s="11"/>
      <c r="H72" s="11"/>
      <c r="I72" s="11"/>
      <c r="J72" s="2"/>
      <c r="K72" s="11"/>
      <c r="L72" s="2"/>
      <c r="M72" s="11"/>
      <c r="N72" s="11"/>
      <c r="O72" s="11"/>
      <c r="P72" s="11"/>
      <c r="Q72" s="2"/>
      <c r="R72" s="11"/>
      <c r="S72" s="12"/>
      <c r="T72" s="9"/>
      <c r="U72" s="9"/>
      <c r="V72" s="9"/>
      <c r="W72" s="9"/>
      <c r="X72" s="12"/>
      <c r="Y72" s="9"/>
      <c r="Z72" s="12"/>
      <c r="AA72" s="9"/>
      <c r="AB72" s="9"/>
      <c r="AC72" s="11"/>
      <c r="AD72" s="11"/>
      <c r="AE72" s="2"/>
      <c r="AF72" s="11"/>
      <c r="AG72" s="3"/>
      <c r="AH72" s="13">
        <f t="shared" si="4"/>
        <v>0</v>
      </c>
      <c r="AI72" s="14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15" t="str">
        <f t="shared" si="5"/>
        <v>玹玹</v>
      </c>
      <c r="AK72" s="17"/>
    </row>
    <row r="73" spans="1:37" ht="18" customHeight="1">
      <c r="A73" s="9" t="s">
        <v>58</v>
      </c>
      <c r="B73" s="10" t="s">
        <v>70</v>
      </c>
      <c r="C73" s="2"/>
      <c r="D73" s="11"/>
      <c r="E73" s="2"/>
      <c r="F73" s="11"/>
      <c r="G73" s="11"/>
      <c r="H73" s="11"/>
      <c r="I73" s="11">
        <v>1</v>
      </c>
      <c r="J73" s="2"/>
      <c r="K73" s="11"/>
      <c r="L73" s="2"/>
      <c r="M73" s="11"/>
      <c r="N73" s="11"/>
      <c r="O73" s="11"/>
      <c r="P73" s="11">
        <v>1</v>
      </c>
      <c r="Q73" s="2"/>
      <c r="R73" s="11"/>
      <c r="S73" s="12"/>
      <c r="T73" s="9"/>
      <c r="U73" s="9"/>
      <c r="V73" s="9"/>
      <c r="W73" s="9">
        <v>1</v>
      </c>
      <c r="X73" s="12"/>
      <c r="Y73" s="9"/>
      <c r="Z73" s="12"/>
      <c r="AA73" s="9"/>
      <c r="AB73" s="9"/>
      <c r="AC73" s="11"/>
      <c r="AD73" s="11">
        <v>1</v>
      </c>
      <c r="AE73" s="2"/>
      <c r="AF73" s="11"/>
      <c r="AG73" s="3"/>
      <c r="AH73" s="13">
        <f t="shared" si="4"/>
        <v>4</v>
      </c>
      <c r="AI73" s="14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15" t="str">
        <f t="shared" si="5"/>
        <v>Allen</v>
      </c>
      <c r="AK73" s="17"/>
    </row>
    <row r="74" spans="1:37" ht="18" customHeight="1">
      <c r="A74" s="9" t="s">
        <v>58</v>
      </c>
      <c r="B74" s="10" t="s">
        <v>25</v>
      </c>
      <c r="C74" s="2"/>
      <c r="D74" s="11">
        <v>1</v>
      </c>
      <c r="E74" s="2"/>
      <c r="F74" s="11">
        <v>1</v>
      </c>
      <c r="G74" s="11"/>
      <c r="H74" s="11"/>
      <c r="I74" s="11"/>
      <c r="J74" s="2"/>
      <c r="K74" s="11">
        <v>1</v>
      </c>
      <c r="L74" s="2"/>
      <c r="M74" s="11">
        <v>1</v>
      </c>
      <c r="N74" s="11"/>
      <c r="O74" s="11">
        <v>1</v>
      </c>
      <c r="P74" s="11"/>
      <c r="Q74" s="2"/>
      <c r="R74" s="11">
        <v>1</v>
      </c>
      <c r="S74" s="12"/>
      <c r="T74" s="9">
        <v>1</v>
      </c>
      <c r="U74" s="9"/>
      <c r="V74" s="9"/>
      <c r="W74" s="9"/>
      <c r="X74" s="12"/>
      <c r="Y74" s="9"/>
      <c r="Z74" s="12"/>
      <c r="AA74" s="9"/>
      <c r="AB74" s="9"/>
      <c r="AC74" s="11"/>
      <c r="AD74" s="11"/>
      <c r="AE74" s="2"/>
      <c r="AF74" s="11"/>
      <c r="AG74" s="3"/>
      <c r="AH74" s="13">
        <f t="shared" si="4"/>
        <v>7</v>
      </c>
      <c r="AI74" s="14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15" t="str">
        <f t="shared" si="5"/>
        <v>潘潘</v>
      </c>
      <c r="AK74" s="17"/>
    </row>
    <row r="75" spans="1:37" ht="18" customHeight="1">
      <c r="A75" s="9" t="s">
        <v>58</v>
      </c>
      <c r="B75" s="10" t="s">
        <v>63</v>
      </c>
      <c r="C75" s="2"/>
      <c r="D75" s="11">
        <v>1</v>
      </c>
      <c r="E75" s="2"/>
      <c r="F75" s="11"/>
      <c r="G75" s="11"/>
      <c r="H75" s="11"/>
      <c r="I75" s="11"/>
      <c r="J75" s="2"/>
      <c r="K75" s="11">
        <v>1</v>
      </c>
      <c r="L75" s="2"/>
      <c r="M75" s="11"/>
      <c r="N75" s="11"/>
      <c r="O75" s="11"/>
      <c r="P75" s="11"/>
      <c r="Q75" s="2"/>
      <c r="R75" s="11"/>
      <c r="S75" s="12"/>
      <c r="T75" s="9"/>
      <c r="U75" s="9"/>
      <c r="V75" s="9"/>
      <c r="W75" s="9"/>
      <c r="X75" s="12"/>
      <c r="Y75" s="9"/>
      <c r="Z75" s="12"/>
      <c r="AA75" s="9"/>
      <c r="AB75" s="9"/>
      <c r="AC75" s="11"/>
      <c r="AD75" s="11"/>
      <c r="AE75" s="2"/>
      <c r="AF75" s="11"/>
      <c r="AG75" s="3"/>
      <c r="AH75" s="13">
        <f t="shared" si="4"/>
        <v>2</v>
      </c>
      <c r="AI75" s="14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15" t="str">
        <f t="shared" si="5"/>
        <v>芒果</v>
      </c>
      <c r="AK75" s="17"/>
    </row>
    <row r="76" spans="1:37" ht="18" customHeight="1">
      <c r="A76" s="9" t="s">
        <v>58</v>
      </c>
      <c r="B76" s="10" t="s">
        <v>59</v>
      </c>
      <c r="C76" s="2"/>
      <c r="D76" s="11">
        <v>1</v>
      </c>
      <c r="E76" s="2"/>
      <c r="F76" s="11"/>
      <c r="G76" s="11"/>
      <c r="H76" s="11"/>
      <c r="I76" s="11"/>
      <c r="J76" s="2"/>
      <c r="K76" s="11">
        <v>1</v>
      </c>
      <c r="L76" s="2"/>
      <c r="M76" s="11"/>
      <c r="N76" s="11"/>
      <c r="O76" s="11"/>
      <c r="P76" s="11"/>
      <c r="Q76" s="2"/>
      <c r="R76" s="11">
        <v>1</v>
      </c>
      <c r="S76" s="12"/>
      <c r="T76" s="9">
        <v>1</v>
      </c>
      <c r="U76" s="9">
        <v>1</v>
      </c>
      <c r="V76" s="9">
        <v>1</v>
      </c>
      <c r="W76" s="9"/>
      <c r="X76" s="12"/>
      <c r="Y76" s="9">
        <v>1</v>
      </c>
      <c r="Z76" s="12"/>
      <c r="AA76" s="9">
        <v>1</v>
      </c>
      <c r="AB76" s="9"/>
      <c r="AC76" s="11"/>
      <c r="AD76" s="11"/>
      <c r="AE76" s="2"/>
      <c r="AF76" s="11">
        <v>1</v>
      </c>
      <c r="AG76" s="3"/>
      <c r="AH76" s="13">
        <f t="shared" si="4"/>
        <v>9</v>
      </c>
      <c r="AI76" s="14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15" t="str">
        <f t="shared" si="5"/>
        <v>阿幹</v>
      </c>
      <c r="AK76" s="17"/>
    </row>
    <row r="77" spans="1:37" ht="18" customHeight="1">
      <c r="A77" s="9" t="s">
        <v>58</v>
      </c>
      <c r="B77" s="10" t="s">
        <v>71</v>
      </c>
      <c r="C77" s="2"/>
      <c r="D77" s="11"/>
      <c r="E77" s="2"/>
      <c r="F77" s="11"/>
      <c r="G77" s="11"/>
      <c r="H77" s="11"/>
      <c r="I77" s="11">
        <v>1</v>
      </c>
      <c r="J77" s="2"/>
      <c r="K77" s="11"/>
      <c r="L77" s="2"/>
      <c r="M77" s="11"/>
      <c r="N77" s="11"/>
      <c r="O77" s="11"/>
      <c r="P77" s="11">
        <v>1</v>
      </c>
      <c r="Q77" s="2"/>
      <c r="R77" s="11"/>
      <c r="S77" s="12"/>
      <c r="T77" s="9"/>
      <c r="U77" s="9"/>
      <c r="V77" s="9"/>
      <c r="W77" s="9">
        <v>1</v>
      </c>
      <c r="X77" s="12"/>
      <c r="Y77" s="9"/>
      <c r="Z77" s="12"/>
      <c r="AA77" s="9"/>
      <c r="AB77" s="9"/>
      <c r="AC77" s="11"/>
      <c r="AD77" s="11">
        <v>1</v>
      </c>
      <c r="AE77" s="2"/>
      <c r="AF77" s="11"/>
      <c r="AG77" s="3"/>
      <c r="AH77" s="13">
        <f t="shared" si="4"/>
        <v>4</v>
      </c>
      <c r="AI77" s="14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15" t="str">
        <f t="shared" si="5"/>
        <v>嘴嘴</v>
      </c>
      <c r="AK77" s="17"/>
    </row>
    <row r="78" spans="1:37" ht="18" customHeight="1">
      <c r="A78" s="9" t="s">
        <v>58</v>
      </c>
      <c r="B78" s="10" t="s">
        <v>22</v>
      </c>
      <c r="C78" s="2"/>
      <c r="D78" s="11">
        <v>1</v>
      </c>
      <c r="E78" s="2"/>
      <c r="F78" s="11">
        <v>1</v>
      </c>
      <c r="G78" s="11">
        <v>1</v>
      </c>
      <c r="H78" s="11">
        <v>1</v>
      </c>
      <c r="I78" s="11"/>
      <c r="J78" s="2"/>
      <c r="K78" s="11">
        <v>1</v>
      </c>
      <c r="L78" s="2"/>
      <c r="M78" s="11">
        <v>1</v>
      </c>
      <c r="N78" s="11">
        <v>1</v>
      </c>
      <c r="O78" s="11">
        <v>1</v>
      </c>
      <c r="P78" s="11"/>
      <c r="Q78" s="2"/>
      <c r="R78" s="11">
        <v>1</v>
      </c>
      <c r="S78" s="12"/>
      <c r="T78" s="9"/>
      <c r="U78" s="9">
        <v>1</v>
      </c>
      <c r="V78" s="9">
        <v>1</v>
      </c>
      <c r="W78" s="9"/>
      <c r="X78" s="12"/>
      <c r="Y78" s="9"/>
      <c r="Z78" s="12"/>
      <c r="AA78" s="9">
        <v>1</v>
      </c>
      <c r="AB78" s="9">
        <v>1</v>
      </c>
      <c r="AC78" s="11">
        <v>1</v>
      </c>
      <c r="AD78" s="11"/>
      <c r="AE78" s="2"/>
      <c r="AF78" s="11">
        <v>1</v>
      </c>
      <c r="AG78" s="3"/>
      <c r="AH78" s="13">
        <f t="shared" si="4"/>
        <v>15</v>
      </c>
      <c r="AI78" s="14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15" t="str">
        <f t="shared" si="5"/>
        <v>Mars</v>
      </c>
      <c r="AK78" s="17"/>
    </row>
    <row r="79" spans="1:37" ht="18" customHeight="1">
      <c r="A79" s="9" t="s">
        <v>58</v>
      </c>
      <c r="B79" s="10" t="s">
        <v>26</v>
      </c>
      <c r="C79" s="2"/>
      <c r="D79" s="11"/>
      <c r="E79" s="2"/>
      <c r="F79" s="11"/>
      <c r="G79" s="11"/>
      <c r="H79" s="11"/>
      <c r="I79" s="11"/>
      <c r="J79" s="2"/>
      <c r="K79" s="11"/>
      <c r="L79" s="2"/>
      <c r="M79" s="11"/>
      <c r="N79" s="11"/>
      <c r="O79" s="11"/>
      <c r="P79" s="11"/>
      <c r="Q79" s="2"/>
      <c r="R79" s="11"/>
      <c r="S79" s="12"/>
      <c r="T79" s="9"/>
      <c r="U79" s="9">
        <v>1</v>
      </c>
      <c r="V79" s="9"/>
      <c r="W79" s="9"/>
      <c r="X79" s="12"/>
      <c r="Y79" s="9"/>
      <c r="Z79" s="12"/>
      <c r="AA79" s="9"/>
      <c r="AB79" s="9"/>
      <c r="AC79" s="11"/>
      <c r="AD79" s="11"/>
      <c r="AE79" s="2"/>
      <c r="AF79" s="11"/>
      <c r="AG79" s="3"/>
      <c r="AH79" s="13">
        <f t="shared" si="4"/>
        <v>1</v>
      </c>
      <c r="AI79" s="14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15" t="str">
        <f t="shared" si="5"/>
        <v>曉強</v>
      </c>
      <c r="AK79" s="17"/>
    </row>
    <row r="80" spans="1:37" ht="18" customHeight="1">
      <c r="A80" s="9" t="s">
        <v>58</v>
      </c>
      <c r="B80" s="10" t="s">
        <v>73</v>
      </c>
      <c r="C80" s="2"/>
      <c r="D80" s="11"/>
      <c r="E80" s="2"/>
      <c r="F80" s="11"/>
      <c r="G80" s="11"/>
      <c r="H80" s="11"/>
      <c r="I80" s="11"/>
      <c r="J80" s="2"/>
      <c r="K80" s="11"/>
      <c r="L80" s="2"/>
      <c r="M80" s="11"/>
      <c r="N80" s="11"/>
      <c r="O80" s="11"/>
      <c r="P80" s="11"/>
      <c r="Q80" s="2"/>
      <c r="R80" s="11"/>
      <c r="S80" s="12"/>
      <c r="T80" s="9"/>
      <c r="U80" s="9"/>
      <c r="V80" s="9"/>
      <c r="W80" s="9"/>
      <c r="X80" s="12"/>
      <c r="Y80" s="9"/>
      <c r="Z80" s="12"/>
      <c r="AA80" s="9"/>
      <c r="AB80" s="9"/>
      <c r="AC80" s="11"/>
      <c r="AD80" s="11"/>
      <c r="AE80" s="2"/>
      <c r="AF80" s="11"/>
      <c r="AG80" s="3"/>
      <c r="AH80" s="13">
        <f t="shared" si="4"/>
        <v>0</v>
      </c>
      <c r="AI80" s="14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15" t="str">
        <f t="shared" si="5"/>
        <v>冠軍</v>
      </c>
      <c r="AK80" s="17"/>
    </row>
    <row r="81" spans="1:37" ht="18" customHeight="1">
      <c r="A81" s="18" t="s">
        <v>58</v>
      </c>
      <c r="B81" s="19" t="s">
        <v>152</v>
      </c>
      <c r="C81" s="2"/>
      <c r="D81" s="20"/>
      <c r="E81" s="2"/>
      <c r="F81" s="20"/>
      <c r="G81" s="20">
        <v>1</v>
      </c>
      <c r="H81" s="20">
        <v>1</v>
      </c>
      <c r="I81" s="20"/>
      <c r="J81" s="2"/>
      <c r="K81" s="20"/>
      <c r="L81" s="2"/>
      <c r="M81" s="20"/>
      <c r="N81" s="20"/>
      <c r="O81" s="20"/>
      <c r="P81" s="20"/>
      <c r="Q81" s="2"/>
      <c r="R81" s="20"/>
      <c r="S81" s="12"/>
      <c r="T81" s="18"/>
      <c r="U81" s="18"/>
      <c r="V81" s="18"/>
      <c r="W81" s="18"/>
      <c r="X81" s="12"/>
      <c r="Y81" s="18"/>
      <c r="Z81" s="12"/>
      <c r="AA81" s="18"/>
      <c r="AB81" s="18"/>
      <c r="AC81" s="20"/>
      <c r="AD81" s="20"/>
      <c r="AE81" s="2"/>
      <c r="AF81" s="20"/>
      <c r="AG81" s="3"/>
      <c r="AH81" s="21">
        <f t="shared" si="4"/>
        <v>2</v>
      </c>
      <c r="AI81" s="22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23" t="str">
        <f t="shared" si="5"/>
        <v>阿俗</v>
      </c>
      <c r="AK81" s="25"/>
    </row>
    <row r="82" spans="1:37" ht="18" customHeight="1">
      <c r="A82" s="18" t="s">
        <v>58</v>
      </c>
      <c r="B82" s="19" t="s">
        <v>151</v>
      </c>
      <c r="C82" s="2"/>
      <c r="D82" s="20"/>
      <c r="E82" s="2"/>
      <c r="F82" s="20"/>
      <c r="G82" s="20"/>
      <c r="H82" s="20">
        <v>1</v>
      </c>
      <c r="I82" s="20">
        <v>1</v>
      </c>
      <c r="J82" s="2"/>
      <c r="K82" s="20">
        <v>1</v>
      </c>
      <c r="L82" s="2"/>
      <c r="M82" s="20">
        <v>1</v>
      </c>
      <c r="N82" s="20"/>
      <c r="O82" s="20">
        <v>1</v>
      </c>
      <c r="P82" s="20">
        <v>1</v>
      </c>
      <c r="Q82" s="2"/>
      <c r="R82" s="20"/>
      <c r="S82" s="12"/>
      <c r="T82" s="18"/>
      <c r="U82" s="18"/>
      <c r="V82" s="18"/>
      <c r="W82" s="18">
        <v>1</v>
      </c>
      <c r="X82" s="12"/>
      <c r="Y82" s="18"/>
      <c r="Z82" s="12"/>
      <c r="AA82" s="18"/>
      <c r="AB82" s="18"/>
      <c r="AC82" s="20"/>
      <c r="AD82" s="20">
        <v>1</v>
      </c>
      <c r="AE82" s="2"/>
      <c r="AF82" s="20"/>
      <c r="AG82" s="3"/>
      <c r="AH82" s="21">
        <f t="shared" si="4"/>
        <v>8</v>
      </c>
      <c r="AI82" s="22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23" t="str">
        <f t="shared" si="5"/>
        <v>宇嬅</v>
      </c>
      <c r="AK82" s="25"/>
    </row>
    <row r="83" spans="1:37" ht="18" customHeight="1">
      <c r="A83" s="18" t="s">
        <v>58</v>
      </c>
      <c r="B83" s="19" t="s">
        <v>154</v>
      </c>
      <c r="C83" s="2"/>
      <c r="D83" s="20"/>
      <c r="E83" s="2"/>
      <c r="F83" s="20"/>
      <c r="G83" s="20"/>
      <c r="H83" s="20"/>
      <c r="I83" s="20"/>
      <c r="J83" s="2"/>
      <c r="K83" s="20"/>
      <c r="L83" s="2"/>
      <c r="M83" s="20"/>
      <c r="N83" s="20"/>
      <c r="O83" s="20"/>
      <c r="P83" s="20"/>
      <c r="Q83" s="2"/>
      <c r="R83" s="20"/>
      <c r="S83" s="12"/>
      <c r="T83" s="18"/>
      <c r="U83" s="18"/>
      <c r="V83" s="18"/>
      <c r="W83" s="18"/>
      <c r="X83" s="12"/>
      <c r="Y83" s="18"/>
      <c r="Z83" s="12"/>
      <c r="AA83" s="18"/>
      <c r="AB83" s="18"/>
      <c r="AC83" s="20"/>
      <c r="AD83" s="20"/>
      <c r="AE83" s="2"/>
      <c r="AF83" s="20"/>
      <c r="AG83" s="3"/>
      <c r="AH83" s="21">
        <f t="shared" si="4"/>
        <v>0</v>
      </c>
      <c r="AI83" s="22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23" t="str">
        <f t="shared" si="5"/>
        <v>筱攸</v>
      </c>
      <c r="AK83" s="25"/>
    </row>
    <row r="84" spans="1:37" ht="18" customHeight="1">
      <c r="A84" s="18" t="s">
        <v>58</v>
      </c>
      <c r="B84" s="19" t="s">
        <v>153</v>
      </c>
      <c r="C84" s="2"/>
      <c r="D84" s="20"/>
      <c r="E84" s="2"/>
      <c r="F84" s="20"/>
      <c r="G84" s="20"/>
      <c r="H84" s="20">
        <v>1</v>
      </c>
      <c r="I84" s="20">
        <v>1</v>
      </c>
      <c r="J84" s="2"/>
      <c r="K84" s="20"/>
      <c r="L84" s="2"/>
      <c r="M84" s="20"/>
      <c r="N84" s="20"/>
      <c r="O84" s="20"/>
      <c r="P84" s="20"/>
      <c r="Q84" s="2"/>
      <c r="R84" s="20"/>
      <c r="S84" s="12"/>
      <c r="T84" s="18"/>
      <c r="U84" s="18"/>
      <c r="V84" s="18"/>
      <c r="W84" s="18">
        <v>1</v>
      </c>
      <c r="X84" s="12"/>
      <c r="Y84" s="18"/>
      <c r="Z84" s="12"/>
      <c r="AA84" s="18"/>
      <c r="AB84" s="18"/>
      <c r="AC84" s="20"/>
      <c r="AD84" s="20">
        <v>1</v>
      </c>
      <c r="AE84" s="2"/>
      <c r="AF84" s="20"/>
      <c r="AG84" s="3"/>
      <c r="AH84" s="21">
        <f t="shared" si="4"/>
        <v>4</v>
      </c>
      <c r="AI84" s="22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23" t="str">
        <f t="shared" si="5"/>
        <v>傻妹</v>
      </c>
      <c r="AK84" s="25"/>
    </row>
    <row r="85" spans="1:37" ht="18" customHeight="1">
      <c r="A85" s="18" t="s">
        <v>58</v>
      </c>
      <c r="B85" s="19" t="s">
        <v>96</v>
      </c>
      <c r="C85" s="2"/>
      <c r="D85" s="20"/>
      <c r="E85" s="2"/>
      <c r="F85" s="20"/>
      <c r="G85" s="20"/>
      <c r="H85" s="20"/>
      <c r="I85" s="20"/>
      <c r="J85" s="2"/>
      <c r="K85" s="20"/>
      <c r="L85" s="2"/>
      <c r="M85" s="20"/>
      <c r="N85" s="20"/>
      <c r="O85" s="20"/>
      <c r="P85" s="20"/>
      <c r="Q85" s="2"/>
      <c r="R85" s="20"/>
      <c r="S85" s="12"/>
      <c r="T85" s="18"/>
      <c r="U85" s="18"/>
      <c r="V85" s="18"/>
      <c r="W85" s="18"/>
      <c r="X85" s="12"/>
      <c r="Y85" s="18"/>
      <c r="Z85" s="12"/>
      <c r="AA85" s="18"/>
      <c r="AB85" s="18"/>
      <c r="AC85" s="20"/>
      <c r="AD85" s="20"/>
      <c r="AE85" s="2"/>
      <c r="AF85" s="20"/>
      <c r="AG85" s="3"/>
      <c r="AH85" s="21">
        <f t="shared" si="4"/>
        <v>0</v>
      </c>
      <c r="AI85" s="22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23" t="str">
        <f t="shared" si="5"/>
        <v>靜婷</v>
      </c>
      <c r="AK85" s="25"/>
    </row>
    <row r="86" spans="1:37" ht="18" customHeight="1">
      <c r="A86" s="18" t="s">
        <v>58</v>
      </c>
      <c r="B86" s="19" t="s">
        <v>155</v>
      </c>
      <c r="C86" s="2"/>
      <c r="D86" s="20"/>
      <c r="E86" s="2"/>
      <c r="F86" s="20">
        <v>1</v>
      </c>
      <c r="G86" s="20"/>
      <c r="H86" s="20"/>
      <c r="I86" s="20"/>
      <c r="J86" s="2"/>
      <c r="K86" s="20"/>
      <c r="L86" s="2"/>
      <c r="M86" s="20"/>
      <c r="N86" s="20"/>
      <c r="O86" s="20"/>
      <c r="P86" s="20"/>
      <c r="Q86" s="2"/>
      <c r="R86" s="20"/>
      <c r="S86" s="12"/>
      <c r="T86" s="18"/>
      <c r="U86" s="18"/>
      <c r="V86" s="18"/>
      <c r="W86" s="18"/>
      <c r="X86" s="12"/>
      <c r="Y86" s="18"/>
      <c r="Z86" s="12"/>
      <c r="AA86" s="18"/>
      <c r="AB86" s="18"/>
      <c r="AC86" s="20"/>
      <c r="AD86" s="20"/>
      <c r="AE86" s="2"/>
      <c r="AF86" s="20"/>
      <c r="AG86" s="3"/>
      <c r="AH86" s="21">
        <f t="shared" si="4"/>
        <v>1</v>
      </c>
      <c r="AI86" s="22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23" t="str">
        <f t="shared" si="5"/>
        <v>康康</v>
      </c>
      <c r="AK86" s="25"/>
    </row>
    <row r="87" spans="1:37" ht="18" customHeight="1">
      <c r="A87" s="18" t="s">
        <v>58</v>
      </c>
      <c r="B87" s="19" t="s">
        <v>92</v>
      </c>
      <c r="C87" s="2"/>
      <c r="D87" s="20"/>
      <c r="E87" s="2"/>
      <c r="F87" s="20"/>
      <c r="G87" s="20"/>
      <c r="H87" s="20">
        <v>1</v>
      </c>
      <c r="I87" s="20">
        <v>1</v>
      </c>
      <c r="J87" s="2"/>
      <c r="K87" s="20">
        <v>1</v>
      </c>
      <c r="L87" s="2"/>
      <c r="M87" s="20">
        <v>1</v>
      </c>
      <c r="N87" s="20"/>
      <c r="O87" s="20">
        <v>1</v>
      </c>
      <c r="P87" s="20"/>
      <c r="Q87" s="2"/>
      <c r="R87" s="20"/>
      <c r="S87" s="12"/>
      <c r="T87" s="18">
        <v>1</v>
      </c>
      <c r="U87" s="18"/>
      <c r="V87" s="18"/>
      <c r="W87" s="18">
        <v>1</v>
      </c>
      <c r="X87" s="12"/>
      <c r="Y87" s="18"/>
      <c r="Z87" s="12"/>
      <c r="AA87" s="18"/>
      <c r="AB87" s="18"/>
      <c r="AC87" s="20"/>
      <c r="AD87" s="20">
        <v>1</v>
      </c>
      <c r="AE87" s="2"/>
      <c r="AF87" s="20">
        <v>1</v>
      </c>
      <c r="AG87" s="3"/>
      <c r="AH87" s="21">
        <f t="shared" si="4"/>
        <v>9</v>
      </c>
      <c r="AI87" s="22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23" t="str">
        <f t="shared" si="5"/>
        <v>婉晴</v>
      </c>
      <c r="AK87" s="25"/>
    </row>
    <row r="88" spans="1:37" ht="18" customHeight="1">
      <c r="A88" s="18" t="s">
        <v>58</v>
      </c>
      <c r="B88" s="19" t="s">
        <v>156</v>
      </c>
      <c r="C88" s="2"/>
      <c r="D88" s="20"/>
      <c r="E88" s="2"/>
      <c r="F88" s="20"/>
      <c r="G88" s="20"/>
      <c r="H88" s="20"/>
      <c r="I88" s="20"/>
      <c r="J88" s="2"/>
      <c r="K88" s="20"/>
      <c r="L88" s="2"/>
      <c r="M88" s="20"/>
      <c r="N88" s="20"/>
      <c r="O88" s="20"/>
      <c r="P88" s="20"/>
      <c r="Q88" s="2"/>
      <c r="R88" s="20"/>
      <c r="S88" s="12"/>
      <c r="T88" s="18"/>
      <c r="U88" s="18"/>
      <c r="V88" s="18"/>
      <c r="W88" s="18"/>
      <c r="X88" s="12"/>
      <c r="Y88" s="18"/>
      <c r="Z88" s="12"/>
      <c r="AA88" s="18"/>
      <c r="AB88" s="18"/>
      <c r="AC88" s="20"/>
      <c r="AD88" s="20"/>
      <c r="AE88" s="2"/>
      <c r="AF88" s="20"/>
      <c r="AG88" s="3"/>
      <c r="AH88" s="21">
        <f t="shared" si="4"/>
        <v>0</v>
      </c>
      <c r="AI88" s="22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23" t="str">
        <f t="shared" si="5"/>
        <v>阿金</v>
      </c>
      <c r="AK88" s="25"/>
    </row>
    <row r="89" spans="1:37" ht="18" customHeight="1">
      <c r="A89" s="18" t="s">
        <v>58</v>
      </c>
      <c r="B89" s="19" t="s">
        <v>157</v>
      </c>
      <c r="C89" s="2"/>
      <c r="D89" s="20"/>
      <c r="E89" s="2"/>
      <c r="F89" s="20"/>
      <c r="G89" s="20"/>
      <c r="H89" s="20"/>
      <c r="I89" s="20"/>
      <c r="J89" s="2"/>
      <c r="K89" s="20"/>
      <c r="L89" s="2"/>
      <c r="M89" s="20"/>
      <c r="N89" s="20"/>
      <c r="O89" s="20"/>
      <c r="P89" s="20"/>
      <c r="Q89" s="2"/>
      <c r="R89" s="20"/>
      <c r="S89" s="12"/>
      <c r="T89" s="18"/>
      <c r="U89" s="18"/>
      <c r="V89" s="18"/>
      <c r="W89" s="18"/>
      <c r="X89" s="12"/>
      <c r="Y89" s="18"/>
      <c r="Z89" s="12"/>
      <c r="AA89" s="18"/>
      <c r="AB89" s="18">
        <v>1</v>
      </c>
      <c r="AC89" s="20"/>
      <c r="AD89" s="20"/>
      <c r="AE89" s="2"/>
      <c r="AF89" s="20"/>
      <c r="AG89" s="3"/>
      <c r="AH89" s="21">
        <f t="shared" si="4"/>
        <v>1</v>
      </c>
      <c r="AI89" s="22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23" t="str">
        <f t="shared" si="5"/>
        <v>派大</v>
      </c>
      <c r="AK89" s="25"/>
    </row>
    <row r="90" spans="1:37" ht="18" customHeight="1">
      <c r="A90" s="18" t="s">
        <v>58</v>
      </c>
      <c r="B90" s="19" t="s">
        <v>101</v>
      </c>
      <c r="C90" s="2"/>
      <c r="D90" s="20"/>
      <c r="E90" s="2"/>
      <c r="F90" s="20"/>
      <c r="G90" s="20"/>
      <c r="H90" s="20"/>
      <c r="I90" s="20"/>
      <c r="J90" s="2"/>
      <c r="K90" s="20"/>
      <c r="L90" s="2"/>
      <c r="M90" s="20"/>
      <c r="N90" s="20"/>
      <c r="O90" s="20"/>
      <c r="P90" s="20"/>
      <c r="Q90" s="2"/>
      <c r="R90" s="20"/>
      <c r="S90" s="12"/>
      <c r="T90" s="18"/>
      <c r="U90" s="18"/>
      <c r="V90" s="18"/>
      <c r="W90" s="18"/>
      <c r="X90" s="12"/>
      <c r="Y90" s="18"/>
      <c r="Z90" s="12"/>
      <c r="AA90" s="18"/>
      <c r="AB90" s="18"/>
      <c r="AC90" s="20"/>
      <c r="AD90" s="20"/>
      <c r="AE90" s="2"/>
      <c r="AF90" s="20"/>
      <c r="AG90" s="3"/>
      <c r="AH90" s="21">
        <f t="shared" si="4"/>
        <v>0</v>
      </c>
      <c r="AI90" s="22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23" t="str">
        <f t="shared" si="5"/>
        <v>文媛</v>
      </c>
      <c r="AK90" s="25"/>
    </row>
    <row r="91" spans="1:37" ht="18" customHeight="1">
      <c r="A91" s="18" t="s">
        <v>58</v>
      </c>
      <c r="B91" s="19" t="s">
        <v>158</v>
      </c>
      <c r="C91" s="2"/>
      <c r="D91" s="20"/>
      <c r="E91" s="2"/>
      <c r="F91" s="20"/>
      <c r="G91" s="20"/>
      <c r="H91" s="20"/>
      <c r="I91" s="20"/>
      <c r="J91" s="2"/>
      <c r="K91" s="20"/>
      <c r="L91" s="2"/>
      <c r="M91" s="20"/>
      <c r="N91" s="20"/>
      <c r="O91" s="20"/>
      <c r="P91" s="20"/>
      <c r="Q91" s="2"/>
      <c r="R91" s="20"/>
      <c r="S91" s="12"/>
      <c r="T91" s="18"/>
      <c r="U91" s="18"/>
      <c r="V91" s="18"/>
      <c r="W91" s="18"/>
      <c r="X91" s="12"/>
      <c r="Y91" s="18"/>
      <c r="Z91" s="12"/>
      <c r="AA91" s="18"/>
      <c r="AB91" s="18"/>
      <c r="AC91" s="20"/>
      <c r="AD91" s="20"/>
      <c r="AE91" s="2"/>
      <c r="AF91" s="20"/>
      <c r="AG91" s="3"/>
      <c r="AH91" s="21">
        <f t="shared" si="4"/>
        <v>0</v>
      </c>
      <c r="AI91" s="22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23" t="str">
        <f t="shared" si="5"/>
        <v>吉娃</v>
      </c>
      <c r="AK91" s="25"/>
    </row>
    <row r="92" spans="1:37" ht="18" customHeight="1">
      <c r="A92" s="18" t="s">
        <v>58</v>
      </c>
      <c r="B92" s="19" t="s">
        <v>148</v>
      </c>
      <c r="C92" s="2"/>
      <c r="D92" s="20"/>
      <c r="E92" s="2"/>
      <c r="F92" s="20"/>
      <c r="G92" s="20"/>
      <c r="H92" s="20"/>
      <c r="I92" s="20"/>
      <c r="J92" s="2"/>
      <c r="K92" s="20">
        <v>1</v>
      </c>
      <c r="L92" s="2"/>
      <c r="M92" s="20"/>
      <c r="N92" s="20"/>
      <c r="O92" s="20"/>
      <c r="P92" s="20"/>
      <c r="Q92" s="2"/>
      <c r="R92" s="20"/>
      <c r="S92" s="12"/>
      <c r="T92" s="18"/>
      <c r="U92" s="18"/>
      <c r="V92" s="18"/>
      <c r="W92" s="18"/>
      <c r="X92" s="12"/>
      <c r="Y92" s="18"/>
      <c r="Z92" s="12"/>
      <c r="AA92" s="18"/>
      <c r="AB92" s="18"/>
      <c r="AC92" s="20">
        <v>1</v>
      </c>
      <c r="AD92" s="20"/>
      <c r="AE92" s="2"/>
      <c r="AF92" s="20"/>
      <c r="AG92" s="3"/>
      <c r="AH92" s="21">
        <f t="shared" si="4"/>
        <v>2</v>
      </c>
      <c r="AI92" s="22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23" t="str">
        <f t="shared" si="5"/>
        <v>雅雅</v>
      </c>
      <c r="AK92" s="25"/>
    </row>
    <row r="93" spans="1:37" ht="18" customHeight="1">
      <c r="A93" s="18" t="s">
        <v>58</v>
      </c>
      <c r="B93" s="19" t="s">
        <v>95</v>
      </c>
      <c r="C93" s="2"/>
      <c r="D93" s="20">
        <v>1</v>
      </c>
      <c r="E93" s="2"/>
      <c r="F93" s="20">
        <v>1</v>
      </c>
      <c r="G93" s="20">
        <v>1</v>
      </c>
      <c r="H93" s="20">
        <v>1</v>
      </c>
      <c r="I93" s="20"/>
      <c r="J93" s="2"/>
      <c r="K93" s="20">
        <v>1</v>
      </c>
      <c r="L93" s="2"/>
      <c r="M93" s="20">
        <v>1</v>
      </c>
      <c r="N93" s="20">
        <v>1</v>
      </c>
      <c r="O93" s="20">
        <v>1</v>
      </c>
      <c r="P93" s="20"/>
      <c r="Q93" s="2"/>
      <c r="R93" s="20">
        <v>1</v>
      </c>
      <c r="S93" s="12"/>
      <c r="T93" s="18">
        <v>1</v>
      </c>
      <c r="U93" s="18"/>
      <c r="V93" s="18">
        <v>1</v>
      </c>
      <c r="W93" s="18"/>
      <c r="X93" s="12"/>
      <c r="Y93" s="18"/>
      <c r="Z93" s="12"/>
      <c r="AA93" s="18">
        <v>1</v>
      </c>
      <c r="AB93" s="18">
        <v>1</v>
      </c>
      <c r="AC93" s="20">
        <v>1</v>
      </c>
      <c r="AD93" s="20"/>
      <c r="AE93" s="2"/>
      <c r="AF93" s="20">
        <v>1</v>
      </c>
      <c r="AG93" s="3"/>
      <c r="AH93" s="21">
        <f t="shared" si="4"/>
        <v>15</v>
      </c>
      <c r="AI93" s="22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23" t="str">
        <f t="shared" si="5"/>
        <v>小吱</v>
      </c>
      <c r="AK93" s="25"/>
    </row>
    <row r="94" spans="1:37" ht="18" customHeight="1">
      <c r="A94" s="26" t="s">
        <v>58</v>
      </c>
      <c r="B94" s="27" t="s">
        <v>104</v>
      </c>
      <c r="C94" s="2"/>
      <c r="D94" s="28">
        <v>1</v>
      </c>
      <c r="E94" s="2"/>
      <c r="F94" s="28">
        <v>1</v>
      </c>
      <c r="G94" s="28">
        <v>1</v>
      </c>
      <c r="H94" s="28">
        <v>1</v>
      </c>
      <c r="I94" s="28"/>
      <c r="J94" s="2"/>
      <c r="K94" s="28">
        <v>1</v>
      </c>
      <c r="L94" s="2"/>
      <c r="M94" s="28"/>
      <c r="N94" s="28">
        <v>1</v>
      </c>
      <c r="O94" s="28">
        <v>1</v>
      </c>
      <c r="P94" s="28"/>
      <c r="Q94" s="2"/>
      <c r="R94" s="28">
        <v>1</v>
      </c>
      <c r="S94" s="12"/>
      <c r="T94" s="26">
        <v>1</v>
      </c>
      <c r="U94" s="26">
        <v>1</v>
      </c>
      <c r="V94" s="26">
        <v>1</v>
      </c>
      <c r="W94" s="26"/>
      <c r="X94" s="12"/>
      <c r="Y94" s="26">
        <v>1</v>
      </c>
      <c r="Z94" s="12"/>
      <c r="AA94" s="26">
        <v>1</v>
      </c>
      <c r="AB94" s="26">
        <v>1</v>
      </c>
      <c r="AC94" s="28"/>
      <c r="AD94" s="28"/>
      <c r="AE94" s="2"/>
      <c r="AF94" s="28">
        <v>1</v>
      </c>
      <c r="AG94" s="3"/>
      <c r="AH94" s="29">
        <f t="shared" si="4"/>
        <v>15</v>
      </c>
      <c r="AI94" s="30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31" t="str">
        <f t="shared" si="5"/>
        <v>卡丘</v>
      </c>
      <c r="AK94" s="32"/>
    </row>
    <row r="95" spans="1:37" ht="18" customHeight="1">
      <c r="A95" s="26" t="s">
        <v>58</v>
      </c>
      <c r="B95" s="27" t="s">
        <v>126</v>
      </c>
      <c r="C95" s="2"/>
      <c r="D95" s="28">
        <v>1</v>
      </c>
      <c r="E95" s="2"/>
      <c r="F95" s="28"/>
      <c r="G95" s="28">
        <v>1</v>
      </c>
      <c r="H95" s="28">
        <v>1</v>
      </c>
      <c r="I95" s="28"/>
      <c r="J95" s="2"/>
      <c r="K95" s="28">
        <v>1</v>
      </c>
      <c r="L95" s="2"/>
      <c r="M95" s="28">
        <v>1</v>
      </c>
      <c r="N95" s="28">
        <v>1</v>
      </c>
      <c r="O95" s="28"/>
      <c r="P95" s="28"/>
      <c r="Q95" s="2"/>
      <c r="R95" s="28">
        <v>1</v>
      </c>
      <c r="S95" s="12"/>
      <c r="T95" s="26">
        <v>1</v>
      </c>
      <c r="U95" s="26">
        <v>1</v>
      </c>
      <c r="V95" s="26">
        <v>1</v>
      </c>
      <c r="W95" s="26"/>
      <c r="X95" s="12"/>
      <c r="Y95" s="26">
        <v>1</v>
      </c>
      <c r="Z95" s="12"/>
      <c r="AA95" s="26">
        <v>1</v>
      </c>
      <c r="AB95" s="26">
        <v>1</v>
      </c>
      <c r="AC95" s="28"/>
      <c r="AD95" s="28"/>
      <c r="AE95" s="2"/>
      <c r="AF95" s="28">
        <v>1</v>
      </c>
      <c r="AG95" s="3"/>
      <c r="AH95" s="29">
        <f t="shared" si="4"/>
        <v>14</v>
      </c>
      <c r="AI95" s="30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31" t="str">
        <f t="shared" si="5"/>
        <v>妹妹</v>
      </c>
      <c r="AK95" s="32"/>
    </row>
    <row r="96" spans="1:37" ht="18" customHeight="1">
      <c r="A96" s="26" t="s">
        <v>58</v>
      </c>
      <c r="B96" s="27" t="s">
        <v>160</v>
      </c>
      <c r="C96" s="2"/>
      <c r="D96" s="28"/>
      <c r="E96" s="2"/>
      <c r="F96" s="28"/>
      <c r="G96" s="28"/>
      <c r="H96" s="28"/>
      <c r="I96" s="28"/>
      <c r="J96" s="2"/>
      <c r="K96" s="28"/>
      <c r="L96" s="2"/>
      <c r="M96" s="28"/>
      <c r="N96" s="28"/>
      <c r="O96" s="28"/>
      <c r="P96" s="28"/>
      <c r="Q96" s="2"/>
      <c r="R96" s="28"/>
      <c r="S96" s="12"/>
      <c r="T96" s="26"/>
      <c r="U96" s="26"/>
      <c r="V96" s="26"/>
      <c r="W96" s="26"/>
      <c r="X96" s="12"/>
      <c r="Y96" s="26"/>
      <c r="Z96" s="12"/>
      <c r="AA96" s="26"/>
      <c r="AB96" s="26"/>
      <c r="AC96" s="28"/>
      <c r="AD96" s="28"/>
      <c r="AE96" s="2"/>
      <c r="AF96" s="28"/>
      <c r="AG96" s="3"/>
      <c r="AH96" s="29">
        <f t="shared" si="4"/>
        <v>0</v>
      </c>
      <c r="AI96" s="30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31" t="str">
        <f t="shared" si="5"/>
        <v>小妹</v>
      </c>
      <c r="AK96" s="32"/>
    </row>
    <row r="97" spans="1:37" ht="18" customHeight="1">
      <c r="A97" s="26" t="s">
        <v>58</v>
      </c>
      <c r="B97" s="27" t="s">
        <v>130</v>
      </c>
      <c r="C97" s="2"/>
      <c r="D97" s="28"/>
      <c r="E97" s="2"/>
      <c r="F97" s="28"/>
      <c r="G97" s="28"/>
      <c r="H97" s="28"/>
      <c r="I97" s="28"/>
      <c r="J97" s="2"/>
      <c r="K97" s="28"/>
      <c r="L97" s="2"/>
      <c r="M97" s="28"/>
      <c r="N97" s="28"/>
      <c r="O97" s="28"/>
      <c r="P97" s="28"/>
      <c r="Q97" s="2"/>
      <c r="R97" s="28"/>
      <c r="S97" s="12"/>
      <c r="T97" s="26"/>
      <c r="U97" s="26"/>
      <c r="V97" s="26"/>
      <c r="W97" s="26"/>
      <c r="X97" s="12"/>
      <c r="Y97" s="26"/>
      <c r="Z97" s="12"/>
      <c r="AA97" s="26"/>
      <c r="AB97" s="26">
        <v>1</v>
      </c>
      <c r="AC97" s="28"/>
      <c r="AD97" s="28"/>
      <c r="AE97" s="2"/>
      <c r="AF97" s="28"/>
      <c r="AG97" s="3"/>
      <c r="AH97" s="29">
        <f t="shared" si="4"/>
        <v>1</v>
      </c>
      <c r="AI97" s="30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31" t="str">
        <f t="shared" si="5"/>
        <v>猛女</v>
      </c>
      <c r="AK97" s="32"/>
    </row>
    <row r="98" spans="1:37" ht="18" customHeight="1">
      <c r="A98" s="26" t="s">
        <v>58</v>
      </c>
      <c r="B98" s="27" t="s">
        <v>131</v>
      </c>
      <c r="C98" s="2"/>
      <c r="D98" s="28"/>
      <c r="E98" s="2"/>
      <c r="F98" s="28"/>
      <c r="G98" s="28"/>
      <c r="H98" s="28"/>
      <c r="I98" s="28"/>
      <c r="J98" s="2"/>
      <c r="K98" s="28"/>
      <c r="L98" s="2"/>
      <c r="M98" s="28"/>
      <c r="N98" s="28"/>
      <c r="O98" s="28"/>
      <c r="P98" s="28"/>
      <c r="Q98" s="2"/>
      <c r="R98" s="28"/>
      <c r="S98" s="12"/>
      <c r="T98" s="26"/>
      <c r="U98" s="26"/>
      <c r="V98" s="26"/>
      <c r="W98" s="26"/>
      <c r="X98" s="12"/>
      <c r="Y98" s="26"/>
      <c r="Z98" s="12"/>
      <c r="AA98" s="26"/>
      <c r="AB98" s="26"/>
      <c r="AC98" s="28"/>
      <c r="AD98" s="28"/>
      <c r="AE98" s="2"/>
      <c r="AF98" s="28"/>
      <c r="AG98" s="3"/>
      <c r="AH98" s="29">
        <f t="shared" si="4"/>
        <v>0</v>
      </c>
      <c r="AI98" s="30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31" t="str">
        <f t="shared" si="5"/>
        <v>欣容</v>
      </c>
      <c r="AK98" s="32"/>
    </row>
    <row r="99" spans="1:37" ht="18" customHeight="1">
      <c r="A99" s="26" t="s">
        <v>58</v>
      </c>
      <c r="B99" s="27" t="s">
        <v>132</v>
      </c>
      <c r="C99" s="2"/>
      <c r="D99" s="28"/>
      <c r="E99" s="2"/>
      <c r="F99" s="28"/>
      <c r="G99" s="28"/>
      <c r="H99" s="28"/>
      <c r="I99" s="28"/>
      <c r="J99" s="2"/>
      <c r="K99" s="28"/>
      <c r="L99" s="2"/>
      <c r="M99" s="28"/>
      <c r="N99" s="28"/>
      <c r="O99" s="28"/>
      <c r="P99" s="28"/>
      <c r="Q99" s="2"/>
      <c r="R99" s="28"/>
      <c r="S99" s="12"/>
      <c r="T99" s="26"/>
      <c r="U99" s="26"/>
      <c r="V99" s="26"/>
      <c r="W99" s="26"/>
      <c r="X99" s="12"/>
      <c r="Y99" s="26"/>
      <c r="Z99" s="12"/>
      <c r="AA99" s="26"/>
      <c r="AB99" s="26"/>
      <c r="AC99" s="28"/>
      <c r="AD99" s="28"/>
      <c r="AE99" s="2"/>
      <c r="AF99" s="28"/>
      <c r="AG99" s="3"/>
      <c r="AH99" s="29">
        <f t="shared" si="4"/>
        <v>0</v>
      </c>
      <c r="AI99" s="30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31" t="str">
        <f t="shared" si="5"/>
        <v>萁萁</v>
      </c>
      <c r="AK99" s="32"/>
    </row>
    <row r="100" spans="1:37" ht="18" customHeight="1">
      <c r="A100" s="26" t="s">
        <v>58</v>
      </c>
      <c r="B100" s="27" t="s">
        <v>133</v>
      </c>
      <c r="C100" s="2"/>
      <c r="D100" s="28"/>
      <c r="E100" s="2"/>
      <c r="F100" s="28"/>
      <c r="G100" s="28"/>
      <c r="H100" s="28"/>
      <c r="I100" s="28"/>
      <c r="J100" s="2"/>
      <c r="K100" s="28"/>
      <c r="L100" s="2"/>
      <c r="M100" s="28"/>
      <c r="N100" s="28"/>
      <c r="O100" s="28"/>
      <c r="P100" s="28"/>
      <c r="Q100" s="2"/>
      <c r="R100" s="28"/>
      <c r="S100" s="12"/>
      <c r="T100" s="26"/>
      <c r="U100" s="26"/>
      <c r="V100" s="26"/>
      <c r="W100" s="26"/>
      <c r="X100" s="12"/>
      <c r="Y100" s="26"/>
      <c r="Z100" s="12"/>
      <c r="AA100" s="26"/>
      <c r="AB100" s="26"/>
      <c r="AC100" s="28"/>
      <c r="AD100" s="28"/>
      <c r="AE100" s="2"/>
      <c r="AF100" s="28"/>
      <c r="AG100" s="3"/>
      <c r="AH100" s="29">
        <f t="shared" ref="AH100:AH129" si="6">COUNTA(C100:AF100)</f>
        <v>0</v>
      </c>
      <c r="AI100" s="30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31" t="str">
        <f t="shared" ref="AJ100:AJ129" si="7">B100</f>
        <v>萱</v>
      </c>
      <c r="AK100" s="32"/>
    </row>
    <row r="101" spans="1:37" ht="18" customHeight="1">
      <c r="A101" s="26" t="s">
        <v>58</v>
      </c>
      <c r="B101" s="27" t="s">
        <v>134</v>
      </c>
      <c r="C101" s="2"/>
      <c r="D101" s="28"/>
      <c r="E101" s="2"/>
      <c r="F101" s="28"/>
      <c r="G101" s="28"/>
      <c r="H101" s="28"/>
      <c r="I101" s="28"/>
      <c r="J101" s="2"/>
      <c r="K101" s="28"/>
      <c r="L101" s="2"/>
      <c r="M101" s="28"/>
      <c r="N101" s="28"/>
      <c r="O101" s="28"/>
      <c r="P101" s="28"/>
      <c r="Q101" s="2"/>
      <c r="R101" s="28"/>
      <c r="S101" s="12"/>
      <c r="T101" s="26"/>
      <c r="U101" s="26"/>
      <c r="V101" s="26"/>
      <c r="W101" s="26"/>
      <c r="X101" s="12"/>
      <c r="Y101" s="26"/>
      <c r="Z101" s="12"/>
      <c r="AA101" s="26"/>
      <c r="AB101" s="26"/>
      <c r="AC101" s="28"/>
      <c r="AD101" s="28"/>
      <c r="AE101" s="2"/>
      <c r="AF101" s="28"/>
      <c r="AG101" s="3"/>
      <c r="AH101" s="29">
        <f t="shared" si="6"/>
        <v>0</v>
      </c>
      <c r="AI101" s="30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31" t="str">
        <f t="shared" si="7"/>
        <v>Mei</v>
      </c>
      <c r="AK101" s="32"/>
    </row>
    <row r="102" spans="1:37" ht="18" customHeight="1">
      <c r="A102" s="26" t="s">
        <v>58</v>
      </c>
      <c r="B102" s="27" t="s">
        <v>161</v>
      </c>
      <c r="C102" s="2"/>
      <c r="D102" s="28"/>
      <c r="E102" s="2"/>
      <c r="F102" s="28"/>
      <c r="G102" s="28"/>
      <c r="H102" s="28"/>
      <c r="I102" s="28"/>
      <c r="J102" s="2"/>
      <c r="K102" s="28"/>
      <c r="L102" s="2"/>
      <c r="M102" s="28"/>
      <c r="N102" s="28"/>
      <c r="O102" s="28"/>
      <c r="P102" s="28"/>
      <c r="Q102" s="2"/>
      <c r="R102" s="28"/>
      <c r="S102" s="12"/>
      <c r="T102" s="26"/>
      <c r="U102" s="26"/>
      <c r="V102" s="26"/>
      <c r="W102" s="26"/>
      <c r="X102" s="12"/>
      <c r="Y102" s="26"/>
      <c r="Z102" s="12"/>
      <c r="AA102" s="26"/>
      <c r="AB102" s="26"/>
      <c r="AC102" s="28"/>
      <c r="AD102" s="28"/>
      <c r="AE102" s="2"/>
      <c r="AF102" s="28"/>
      <c r="AG102" s="3"/>
      <c r="AH102" s="29">
        <f t="shared" si="6"/>
        <v>0</v>
      </c>
      <c r="AI102" s="30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31" t="str">
        <f t="shared" si="7"/>
        <v>佩鈺</v>
      </c>
      <c r="AK102" s="32"/>
    </row>
    <row r="103" spans="1:37" ht="18" customHeight="1">
      <c r="A103" s="26" t="s">
        <v>58</v>
      </c>
      <c r="B103" s="27" t="s">
        <v>124</v>
      </c>
      <c r="C103" s="2"/>
      <c r="D103" s="28">
        <v>1</v>
      </c>
      <c r="E103" s="2"/>
      <c r="F103" s="28">
        <v>1</v>
      </c>
      <c r="G103" s="28">
        <v>1</v>
      </c>
      <c r="H103" s="28">
        <v>1</v>
      </c>
      <c r="I103" s="28"/>
      <c r="J103" s="2"/>
      <c r="K103" s="28">
        <v>1</v>
      </c>
      <c r="L103" s="2"/>
      <c r="M103" s="28"/>
      <c r="N103" s="28">
        <v>1</v>
      </c>
      <c r="O103" s="28">
        <v>1</v>
      </c>
      <c r="P103" s="28"/>
      <c r="Q103" s="2"/>
      <c r="R103" s="28">
        <v>1</v>
      </c>
      <c r="S103" s="12"/>
      <c r="T103" s="26"/>
      <c r="U103" s="26">
        <v>1</v>
      </c>
      <c r="V103" s="26">
        <v>1</v>
      </c>
      <c r="W103" s="26"/>
      <c r="X103" s="12"/>
      <c r="Y103" s="26">
        <v>1</v>
      </c>
      <c r="Z103" s="12"/>
      <c r="AA103" s="26">
        <v>1</v>
      </c>
      <c r="AB103" s="26"/>
      <c r="AC103" s="28">
        <v>1</v>
      </c>
      <c r="AD103" s="28"/>
      <c r="AE103" s="2"/>
      <c r="AF103" s="28">
        <v>1</v>
      </c>
      <c r="AG103" s="3"/>
      <c r="AH103" s="29">
        <f t="shared" si="6"/>
        <v>14</v>
      </c>
      <c r="AI103" s="30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31" t="str">
        <f t="shared" si="7"/>
        <v>玉蕙</v>
      </c>
      <c r="AK103" s="32"/>
    </row>
    <row r="104" spans="1:37" ht="18" customHeight="1">
      <c r="A104" s="26" t="s">
        <v>58</v>
      </c>
      <c r="B104" s="27" t="s">
        <v>159</v>
      </c>
      <c r="C104" s="2"/>
      <c r="D104" s="28"/>
      <c r="E104" s="2"/>
      <c r="F104" s="28"/>
      <c r="G104" s="28"/>
      <c r="H104" s="28"/>
      <c r="I104" s="28"/>
      <c r="J104" s="2"/>
      <c r="K104" s="28"/>
      <c r="L104" s="2"/>
      <c r="M104" s="28"/>
      <c r="N104" s="28"/>
      <c r="O104" s="28"/>
      <c r="P104" s="28"/>
      <c r="Q104" s="2"/>
      <c r="R104" s="28"/>
      <c r="S104" s="12"/>
      <c r="T104" s="26"/>
      <c r="U104" s="26"/>
      <c r="V104" s="26"/>
      <c r="W104" s="26"/>
      <c r="X104" s="12"/>
      <c r="Y104" s="26"/>
      <c r="Z104" s="12"/>
      <c r="AA104" s="26"/>
      <c r="AB104" s="26"/>
      <c r="AC104" s="28"/>
      <c r="AD104" s="28"/>
      <c r="AE104" s="2"/>
      <c r="AF104" s="28"/>
      <c r="AG104" s="3"/>
      <c r="AH104" s="29">
        <f t="shared" si="6"/>
        <v>0</v>
      </c>
      <c r="AI104" s="30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31" t="str">
        <f t="shared" si="7"/>
        <v>小寧</v>
      </c>
      <c r="AK104" s="32"/>
    </row>
    <row r="105" spans="1:37" ht="18" customHeight="1">
      <c r="A105" s="26" t="s">
        <v>58</v>
      </c>
      <c r="B105" s="27" t="s">
        <v>135</v>
      </c>
      <c r="C105" s="2"/>
      <c r="D105" s="28"/>
      <c r="E105" s="2"/>
      <c r="F105" s="28"/>
      <c r="G105" s="28"/>
      <c r="H105" s="28"/>
      <c r="I105" s="28"/>
      <c r="J105" s="2"/>
      <c r="K105" s="28"/>
      <c r="L105" s="2"/>
      <c r="M105" s="28"/>
      <c r="N105" s="28"/>
      <c r="O105" s="28"/>
      <c r="P105" s="28"/>
      <c r="Q105" s="2"/>
      <c r="R105" s="28"/>
      <c r="S105" s="12"/>
      <c r="T105" s="26"/>
      <c r="U105" s="26"/>
      <c r="V105" s="26"/>
      <c r="W105" s="26"/>
      <c r="X105" s="12"/>
      <c r="Y105" s="26"/>
      <c r="Z105" s="12"/>
      <c r="AA105" s="26"/>
      <c r="AB105" s="26"/>
      <c r="AC105" s="28"/>
      <c r="AD105" s="28"/>
      <c r="AE105" s="2"/>
      <c r="AF105" s="28"/>
      <c r="AG105" s="3"/>
      <c r="AH105" s="29">
        <f t="shared" si="6"/>
        <v>0</v>
      </c>
      <c r="AI105" s="30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31" t="str">
        <f t="shared" si="7"/>
        <v>屁屁</v>
      </c>
      <c r="AK105" s="32"/>
    </row>
    <row r="106" spans="1:37" ht="18" customHeight="1">
      <c r="A106" s="26" t="s">
        <v>58</v>
      </c>
      <c r="B106" s="27" t="s">
        <v>162</v>
      </c>
      <c r="C106" s="2"/>
      <c r="D106" s="28"/>
      <c r="E106" s="2"/>
      <c r="F106" s="28"/>
      <c r="G106" s="28"/>
      <c r="H106" s="28"/>
      <c r="I106" s="28"/>
      <c r="J106" s="2"/>
      <c r="K106" s="28"/>
      <c r="L106" s="2"/>
      <c r="M106" s="28"/>
      <c r="N106" s="28"/>
      <c r="O106" s="28"/>
      <c r="P106" s="28"/>
      <c r="Q106" s="2"/>
      <c r="R106" s="28"/>
      <c r="S106" s="12"/>
      <c r="T106" s="26"/>
      <c r="U106" s="26"/>
      <c r="V106" s="26"/>
      <c r="W106" s="26"/>
      <c r="X106" s="12"/>
      <c r="Y106" s="26"/>
      <c r="Z106" s="12"/>
      <c r="AA106" s="26"/>
      <c r="AB106" s="26"/>
      <c r="AC106" s="28"/>
      <c r="AD106" s="28"/>
      <c r="AE106" s="2"/>
      <c r="AF106" s="28"/>
      <c r="AG106" s="3"/>
      <c r="AH106" s="29">
        <f t="shared" si="6"/>
        <v>0</v>
      </c>
      <c r="AI106" s="30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31" t="str">
        <f t="shared" si="7"/>
        <v>阿布</v>
      </c>
      <c r="AK106" s="32"/>
    </row>
    <row r="107" spans="1:37" ht="18" customHeight="1">
      <c r="A107" s="26" t="s">
        <v>58</v>
      </c>
      <c r="B107" s="27" t="s">
        <v>127</v>
      </c>
      <c r="C107" s="2"/>
      <c r="D107" s="28">
        <v>1</v>
      </c>
      <c r="E107" s="2"/>
      <c r="F107" s="28">
        <v>1</v>
      </c>
      <c r="G107" s="28">
        <v>1</v>
      </c>
      <c r="H107" s="28"/>
      <c r="I107" s="28"/>
      <c r="J107" s="2"/>
      <c r="K107" s="28">
        <v>1</v>
      </c>
      <c r="L107" s="2"/>
      <c r="M107" s="28"/>
      <c r="N107" s="28"/>
      <c r="O107" s="28">
        <v>1</v>
      </c>
      <c r="P107" s="28"/>
      <c r="Q107" s="2"/>
      <c r="R107" s="28">
        <v>1</v>
      </c>
      <c r="S107" s="12"/>
      <c r="T107" s="26">
        <v>1</v>
      </c>
      <c r="U107" s="26">
        <v>1</v>
      </c>
      <c r="V107" s="26">
        <v>1</v>
      </c>
      <c r="W107" s="26"/>
      <c r="X107" s="12"/>
      <c r="Y107" s="26">
        <v>1</v>
      </c>
      <c r="Z107" s="12"/>
      <c r="AA107" s="26">
        <v>1</v>
      </c>
      <c r="AB107" s="26">
        <v>1</v>
      </c>
      <c r="AC107" s="28">
        <v>1</v>
      </c>
      <c r="AD107" s="28"/>
      <c r="AE107" s="2"/>
      <c r="AF107" s="28">
        <v>1</v>
      </c>
      <c r="AG107" s="3"/>
      <c r="AH107" s="29">
        <f t="shared" si="6"/>
        <v>14</v>
      </c>
      <c r="AI107" s="30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31" t="str">
        <f t="shared" si="7"/>
        <v>小雞</v>
      </c>
      <c r="AK107" s="32"/>
    </row>
    <row r="108" spans="1:37" ht="18" customHeight="1">
      <c r="A108" s="26" t="s">
        <v>58</v>
      </c>
      <c r="B108" s="27" t="s">
        <v>180</v>
      </c>
      <c r="C108" s="2"/>
      <c r="D108" s="28"/>
      <c r="E108" s="2"/>
      <c r="F108" s="28"/>
      <c r="G108" s="28"/>
      <c r="H108" s="28"/>
      <c r="I108" s="28"/>
      <c r="J108" s="2"/>
      <c r="K108" s="28"/>
      <c r="L108" s="2"/>
      <c r="M108" s="28"/>
      <c r="N108" s="28"/>
      <c r="O108" s="28"/>
      <c r="P108" s="28"/>
      <c r="Q108" s="2"/>
      <c r="R108" s="28"/>
      <c r="S108" s="12"/>
      <c r="T108" s="26"/>
      <c r="U108" s="26"/>
      <c r="V108" s="26"/>
      <c r="W108" s="26"/>
      <c r="X108" s="12"/>
      <c r="Y108" s="26"/>
      <c r="Z108" s="12"/>
      <c r="AA108" s="26"/>
      <c r="AB108" s="26"/>
      <c r="AC108" s="28"/>
      <c r="AD108" s="28"/>
      <c r="AE108" s="2"/>
      <c r="AF108" s="28"/>
      <c r="AG108" s="3"/>
      <c r="AH108" s="29">
        <f t="shared" si="6"/>
        <v>0</v>
      </c>
      <c r="AI108" s="30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31" t="str">
        <f t="shared" si="7"/>
        <v>小茜</v>
      </c>
      <c r="AK108" s="32"/>
    </row>
    <row r="109" spans="1:37" ht="18" customHeight="1">
      <c r="A109" s="26" t="s">
        <v>58</v>
      </c>
      <c r="B109" s="27" t="s">
        <v>137</v>
      </c>
      <c r="C109" s="2"/>
      <c r="D109" s="28"/>
      <c r="E109" s="2"/>
      <c r="F109" s="28"/>
      <c r="G109" s="28"/>
      <c r="H109" s="28"/>
      <c r="I109" s="28"/>
      <c r="J109" s="2"/>
      <c r="K109" s="28"/>
      <c r="L109" s="2"/>
      <c r="M109" s="28"/>
      <c r="N109" s="28"/>
      <c r="O109" s="28"/>
      <c r="P109" s="28"/>
      <c r="Q109" s="2"/>
      <c r="R109" s="28"/>
      <c r="S109" s="12"/>
      <c r="T109" s="26"/>
      <c r="U109" s="26"/>
      <c r="V109" s="26"/>
      <c r="W109" s="26"/>
      <c r="X109" s="12"/>
      <c r="Y109" s="26"/>
      <c r="Z109" s="12"/>
      <c r="AA109" s="26"/>
      <c r="AB109" s="26"/>
      <c r="AC109" s="28"/>
      <c r="AD109" s="28"/>
      <c r="AE109" s="2"/>
      <c r="AF109" s="28"/>
      <c r="AG109" s="3"/>
      <c r="AH109" s="29">
        <f t="shared" si="6"/>
        <v>0</v>
      </c>
      <c r="AI109" s="30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31" t="str">
        <f t="shared" si="7"/>
        <v>姚</v>
      </c>
      <c r="AK109" s="32"/>
    </row>
    <row r="110" spans="1:37" ht="18" customHeight="1">
      <c r="A110" s="26" t="s">
        <v>58</v>
      </c>
      <c r="B110" s="27" t="s">
        <v>136</v>
      </c>
      <c r="C110" s="2"/>
      <c r="D110" s="28"/>
      <c r="E110" s="2"/>
      <c r="F110" s="28"/>
      <c r="G110" s="28"/>
      <c r="H110" s="28"/>
      <c r="I110" s="28"/>
      <c r="J110" s="2"/>
      <c r="K110" s="28"/>
      <c r="L110" s="2"/>
      <c r="M110" s="28"/>
      <c r="N110" s="28"/>
      <c r="O110" s="28"/>
      <c r="P110" s="28"/>
      <c r="Q110" s="2"/>
      <c r="R110" s="28"/>
      <c r="S110" s="12"/>
      <c r="T110" s="26"/>
      <c r="U110" s="26"/>
      <c r="V110" s="26"/>
      <c r="W110" s="26"/>
      <c r="X110" s="12"/>
      <c r="Y110" s="26"/>
      <c r="Z110" s="12"/>
      <c r="AA110" s="26"/>
      <c r="AB110" s="26"/>
      <c r="AC110" s="28"/>
      <c r="AD110" s="28"/>
      <c r="AE110" s="2"/>
      <c r="AF110" s="28"/>
      <c r="AG110" s="3"/>
      <c r="AH110" s="29">
        <f t="shared" si="6"/>
        <v>0</v>
      </c>
      <c r="AI110" s="30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31" t="str">
        <f t="shared" si="7"/>
        <v>泡泡</v>
      </c>
      <c r="AK110" s="32"/>
    </row>
    <row r="111" spans="1:37" ht="18" customHeight="1">
      <c r="A111" s="26" t="s">
        <v>58</v>
      </c>
      <c r="B111" s="27" t="s">
        <v>197</v>
      </c>
      <c r="C111" s="2"/>
      <c r="D111" s="28">
        <v>1</v>
      </c>
      <c r="E111" s="2"/>
      <c r="F111" s="28">
        <v>1</v>
      </c>
      <c r="G111" s="28">
        <v>1</v>
      </c>
      <c r="H111" s="28"/>
      <c r="I111" s="28"/>
      <c r="J111" s="2"/>
      <c r="K111" s="28"/>
      <c r="L111" s="2"/>
      <c r="M111" s="28"/>
      <c r="N111" s="28"/>
      <c r="O111" s="28"/>
      <c r="P111" s="28"/>
      <c r="Q111" s="2"/>
      <c r="R111" s="28"/>
      <c r="S111" s="12"/>
      <c r="T111" s="26">
        <v>1</v>
      </c>
      <c r="U111" s="26"/>
      <c r="V111" s="26"/>
      <c r="W111" s="26"/>
      <c r="X111" s="12"/>
      <c r="Y111" s="26"/>
      <c r="Z111" s="12"/>
      <c r="AA111" s="26">
        <v>1</v>
      </c>
      <c r="AB111" s="26">
        <v>1</v>
      </c>
      <c r="AC111" s="28">
        <v>1</v>
      </c>
      <c r="AD111" s="28"/>
      <c r="AE111" s="2"/>
      <c r="AF111" s="28">
        <v>1</v>
      </c>
      <c r="AG111" s="3"/>
      <c r="AH111" s="29">
        <f t="shared" si="6"/>
        <v>8</v>
      </c>
      <c r="AI111" s="30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31" t="str">
        <f t="shared" si="7"/>
        <v>Abby</v>
      </c>
      <c r="AK111" s="32"/>
    </row>
    <row r="112" spans="1:37" ht="18" customHeight="1">
      <c r="A112" s="26" t="s">
        <v>58</v>
      </c>
      <c r="B112" s="27" t="s">
        <v>125</v>
      </c>
      <c r="C112" s="2"/>
      <c r="D112" s="28">
        <v>1</v>
      </c>
      <c r="E112" s="2"/>
      <c r="F112" s="28">
        <v>1</v>
      </c>
      <c r="G112" s="28">
        <v>1</v>
      </c>
      <c r="H112" s="28"/>
      <c r="I112" s="28"/>
      <c r="J112" s="2"/>
      <c r="K112" s="28">
        <v>1</v>
      </c>
      <c r="L112" s="2"/>
      <c r="M112" s="28"/>
      <c r="N112" s="28"/>
      <c r="O112" s="28"/>
      <c r="P112" s="28"/>
      <c r="Q112" s="2"/>
      <c r="R112" s="28">
        <v>1</v>
      </c>
      <c r="S112" s="12"/>
      <c r="T112" s="26"/>
      <c r="U112" s="26"/>
      <c r="V112" s="26">
        <v>1</v>
      </c>
      <c r="W112" s="26"/>
      <c r="X112" s="12"/>
      <c r="Y112" s="26">
        <v>1</v>
      </c>
      <c r="Z112" s="12"/>
      <c r="AA112" s="26"/>
      <c r="AB112" s="26"/>
      <c r="AC112" s="28"/>
      <c r="AD112" s="28"/>
      <c r="AE112" s="2"/>
      <c r="AF112" s="28"/>
      <c r="AG112" s="3"/>
      <c r="AH112" s="29">
        <f t="shared" si="6"/>
        <v>7</v>
      </c>
      <c r="AI112" s="30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31" t="str">
        <f t="shared" si="7"/>
        <v>沛緁</v>
      </c>
      <c r="AK112" s="32"/>
    </row>
    <row r="113" spans="1:37" ht="18" customHeight="1">
      <c r="A113" s="26" t="s">
        <v>58</v>
      </c>
      <c r="B113" s="27" t="s">
        <v>128</v>
      </c>
      <c r="C113" s="2"/>
      <c r="D113" s="28"/>
      <c r="E113" s="2"/>
      <c r="F113" s="28"/>
      <c r="G113" s="28">
        <v>1</v>
      </c>
      <c r="H113" s="28"/>
      <c r="I113" s="28"/>
      <c r="J113" s="2"/>
      <c r="K113" s="28"/>
      <c r="L113" s="2"/>
      <c r="M113" s="28"/>
      <c r="N113" s="28"/>
      <c r="O113" s="28"/>
      <c r="P113" s="28"/>
      <c r="Q113" s="2"/>
      <c r="R113" s="28">
        <v>1</v>
      </c>
      <c r="S113" s="12"/>
      <c r="T113" s="26"/>
      <c r="U113" s="26"/>
      <c r="V113" s="26"/>
      <c r="W113" s="26"/>
      <c r="X113" s="12"/>
      <c r="Y113" s="26"/>
      <c r="Z113" s="12"/>
      <c r="AA113" s="26"/>
      <c r="AB113" s="26"/>
      <c r="AC113" s="28"/>
      <c r="AD113" s="28"/>
      <c r="AE113" s="2"/>
      <c r="AF113" s="28"/>
      <c r="AG113" s="3"/>
      <c r="AH113" s="29">
        <f t="shared" si="6"/>
        <v>2</v>
      </c>
      <c r="AI113" s="30" t="e">
        <f ca="1">IF(A113="O", (VALUE(_xludf.IFS(AH113=0,"0",AH113=1,"150",AH113=2,"300",AH113=3,"450",AH113=4,"600",AH113=5,"750",AH113&gt;=6,"800"))),(VALUE(_xludf.IFS(AH113=0,"0",AH113=1,"150",AH113=2,"300",AH113=3,"450",AH113=4,"600",AH113=5,"750",AH113=6,"900",AH113&gt;=7,"1,000"))))</f>
        <v>#NAME?</v>
      </c>
      <c r="AJ113" s="31" t="str">
        <f t="shared" si="7"/>
        <v>雨昕</v>
      </c>
      <c r="AK113" s="32"/>
    </row>
    <row r="114" spans="1:37" ht="18" customHeight="1">
      <c r="A114" s="26" t="s">
        <v>58</v>
      </c>
      <c r="B114" s="27" t="s">
        <v>129</v>
      </c>
      <c r="C114" s="2"/>
      <c r="D114" s="28"/>
      <c r="E114" s="2"/>
      <c r="F114" s="28"/>
      <c r="G114" s="28">
        <v>1</v>
      </c>
      <c r="H114" s="28">
        <v>1</v>
      </c>
      <c r="I114" s="28"/>
      <c r="J114" s="2"/>
      <c r="K114" s="28"/>
      <c r="L114" s="2"/>
      <c r="M114" s="28"/>
      <c r="N114" s="28">
        <v>1</v>
      </c>
      <c r="O114" s="28"/>
      <c r="P114" s="28"/>
      <c r="Q114" s="2"/>
      <c r="R114" s="28"/>
      <c r="S114" s="12"/>
      <c r="T114" s="26"/>
      <c r="U114" s="26"/>
      <c r="V114" s="26"/>
      <c r="W114" s="26"/>
      <c r="X114" s="12"/>
      <c r="Y114" s="26"/>
      <c r="Z114" s="12"/>
      <c r="AA114" s="26"/>
      <c r="AB114" s="26"/>
      <c r="AC114" s="28"/>
      <c r="AD114" s="28"/>
      <c r="AE114" s="2"/>
      <c r="AF114" s="28"/>
      <c r="AG114" s="3"/>
      <c r="AH114" s="29">
        <f t="shared" si="6"/>
        <v>3</v>
      </c>
      <c r="AI114" s="30" t="e">
        <f ca="1">IF(A114="O", (VALUE(_xludf.IFS(AH114=0,"0",AH114=1,"150",AH114=2,"300",AH114=3,"450",AH114=4,"600",AH114=5,"750",AH114&gt;=6,"800"))),(VALUE(_xludf.IFS(AH114=0,"0",AH114=1,"150",AH114=2,"300",AH114=3,"450",AH114=4,"600",AH114=5,"750",AH114=6,"900",AH114&gt;=7,"1,000"))))</f>
        <v>#NAME?</v>
      </c>
      <c r="AJ114" s="31" t="str">
        <f t="shared" si="7"/>
        <v>矮矮</v>
      </c>
      <c r="AK114" s="32"/>
    </row>
    <row r="115" spans="1:37" ht="18" customHeight="1">
      <c r="A115" s="35" t="s">
        <v>58</v>
      </c>
      <c r="B115" s="36" t="s">
        <v>121</v>
      </c>
      <c r="C115" s="2"/>
      <c r="D115" s="37">
        <v>1</v>
      </c>
      <c r="E115" s="2"/>
      <c r="F115" s="37">
        <v>1</v>
      </c>
      <c r="G115" s="37">
        <v>1</v>
      </c>
      <c r="H115" s="37"/>
      <c r="I115" s="37"/>
      <c r="J115" s="2"/>
      <c r="K115" s="37">
        <v>1</v>
      </c>
      <c r="L115" s="2"/>
      <c r="M115" s="37"/>
      <c r="N115" s="37">
        <v>1</v>
      </c>
      <c r="O115" s="37">
        <v>1</v>
      </c>
      <c r="P115" s="37"/>
      <c r="Q115" s="2"/>
      <c r="R115" s="37">
        <v>1</v>
      </c>
      <c r="S115" s="12"/>
      <c r="T115" s="35"/>
      <c r="U115" s="35">
        <v>1</v>
      </c>
      <c r="V115" s="35">
        <v>1</v>
      </c>
      <c r="W115" s="35"/>
      <c r="X115" s="12"/>
      <c r="Y115" s="35">
        <v>1</v>
      </c>
      <c r="Z115" s="12"/>
      <c r="AA115" s="35">
        <v>1</v>
      </c>
      <c r="AB115" s="35">
        <v>1</v>
      </c>
      <c r="AC115" s="37">
        <v>1</v>
      </c>
      <c r="AD115" s="37"/>
      <c r="AE115" s="2"/>
      <c r="AF115" s="37">
        <v>1</v>
      </c>
      <c r="AG115" s="3"/>
      <c r="AH115" s="38">
        <f t="shared" si="6"/>
        <v>14</v>
      </c>
      <c r="AI115" s="39">
        <v>1000</v>
      </c>
      <c r="AJ115" s="40" t="str">
        <f t="shared" si="7"/>
        <v>冰沙</v>
      </c>
      <c r="AK115" s="42">
        <v>1000</v>
      </c>
    </row>
    <row r="116" spans="1:37" ht="18" customHeight="1">
      <c r="A116" s="35" t="s">
        <v>58</v>
      </c>
      <c r="B116" s="36" t="s">
        <v>139</v>
      </c>
      <c r="C116" s="2"/>
      <c r="D116" s="37"/>
      <c r="E116" s="2"/>
      <c r="F116" s="37">
        <v>1</v>
      </c>
      <c r="G116" s="37">
        <v>1</v>
      </c>
      <c r="H116" s="37"/>
      <c r="I116" s="37"/>
      <c r="J116" s="2"/>
      <c r="K116" s="37">
        <v>1</v>
      </c>
      <c r="L116" s="2"/>
      <c r="M116" s="37"/>
      <c r="N116" s="37"/>
      <c r="O116" s="37">
        <v>1</v>
      </c>
      <c r="P116" s="37"/>
      <c r="Q116" s="2"/>
      <c r="R116" s="37">
        <v>1</v>
      </c>
      <c r="S116" s="12"/>
      <c r="T116" s="35"/>
      <c r="U116" s="35">
        <v>1</v>
      </c>
      <c r="V116" s="35">
        <v>1</v>
      </c>
      <c r="W116" s="35"/>
      <c r="X116" s="12"/>
      <c r="Y116" s="35">
        <v>1</v>
      </c>
      <c r="Z116" s="12"/>
      <c r="AA116" s="35"/>
      <c r="AB116" s="35"/>
      <c r="AC116" s="37">
        <v>1</v>
      </c>
      <c r="AD116" s="37"/>
      <c r="AE116" s="2"/>
      <c r="AF116" s="37">
        <v>1</v>
      </c>
      <c r="AG116" s="3"/>
      <c r="AH116" s="38">
        <f t="shared" si="6"/>
        <v>10</v>
      </c>
      <c r="AI116" s="39">
        <v>1000</v>
      </c>
      <c r="AJ116" s="40" t="str">
        <f t="shared" si="7"/>
        <v>Tina</v>
      </c>
      <c r="AK116" s="42">
        <v>1000</v>
      </c>
    </row>
    <row r="117" spans="1:37" ht="18" customHeight="1">
      <c r="A117" s="35" t="s">
        <v>58</v>
      </c>
      <c r="B117" s="36" t="s">
        <v>113</v>
      </c>
      <c r="C117" s="2"/>
      <c r="D117" s="37">
        <v>1</v>
      </c>
      <c r="E117" s="2"/>
      <c r="F117" s="37"/>
      <c r="G117" s="37">
        <v>1</v>
      </c>
      <c r="H117" s="37"/>
      <c r="I117" s="37"/>
      <c r="J117" s="2"/>
      <c r="K117" s="37">
        <v>1</v>
      </c>
      <c r="L117" s="2"/>
      <c r="M117" s="37"/>
      <c r="N117" s="37">
        <v>1</v>
      </c>
      <c r="O117" s="37"/>
      <c r="P117" s="37"/>
      <c r="Q117" s="2"/>
      <c r="R117" s="37">
        <v>1</v>
      </c>
      <c r="S117" s="12"/>
      <c r="T117" s="35"/>
      <c r="U117" s="35">
        <v>1</v>
      </c>
      <c r="V117" s="35">
        <v>1</v>
      </c>
      <c r="W117" s="35"/>
      <c r="X117" s="12"/>
      <c r="Y117" s="35">
        <v>1</v>
      </c>
      <c r="Z117" s="12"/>
      <c r="AA117" s="35"/>
      <c r="AB117" s="35"/>
      <c r="AC117" s="37"/>
      <c r="AD117" s="37"/>
      <c r="AE117" s="2"/>
      <c r="AF117" s="37"/>
      <c r="AG117" s="3"/>
      <c r="AH117" s="38">
        <f t="shared" si="6"/>
        <v>8</v>
      </c>
      <c r="AI117" s="39">
        <v>1000</v>
      </c>
      <c r="AJ117" s="40" t="str">
        <f t="shared" si="7"/>
        <v>容容</v>
      </c>
      <c r="AK117" s="42">
        <v>1000</v>
      </c>
    </row>
    <row r="118" spans="1:37" ht="18" customHeight="1">
      <c r="A118" s="35" t="s">
        <v>58</v>
      </c>
      <c r="B118" s="36" t="s">
        <v>117</v>
      </c>
      <c r="C118" s="2"/>
      <c r="D118" s="37">
        <v>1</v>
      </c>
      <c r="E118" s="2"/>
      <c r="F118" s="37"/>
      <c r="G118" s="37">
        <v>1</v>
      </c>
      <c r="H118" s="37"/>
      <c r="I118" s="37"/>
      <c r="J118" s="2"/>
      <c r="K118" s="37">
        <v>1</v>
      </c>
      <c r="L118" s="2"/>
      <c r="M118" s="37"/>
      <c r="N118" s="37"/>
      <c r="O118" s="37"/>
      <c r="P118" s="37"/>
      <c r="Q118" s="2"/>
      <c r="R118" s="37">
        <v>1</v>
      </c>
      <c r="S118" s="12"/>
      <c r="T118" s="35"/>
      <c r="U118" s="35"/>
      <c r="V118" s="35">
        <v>1</v>
      </c>
      <c r="W118" s="35"/>
      <c r="X118" s="12"/>
      <c r="Y118" s="35">
        <v>1</v>
      </c>
      <c r="Z118" s="12"/>
      <c r="AA118" s="35"/>
      <c r="AB118" s="35">
        <v>1</v>
      </c>
      <c r="AC118" s="37">
        <v>1</v>
      </c>
      <c r="AD118" s="37"/>
      <c r="AE118" s="2"/>
      <c r="AF118" s="37">
        <v>1</v>
      </c>
      <c r="AG118" s="3"/>
      <c r="AH118" s="38">
        <f t="shared" si="6"/>
        <v>9</v>
      </c>
      <c r="AI118" s="39">
        <v>1000</v>
      </c>
      <c r="AJ118" s="40" t="str">
        <f t="shared" si="7"/>
        <v>依凡</v>
      </c>
      <c r="AK118" s="42">
        <v>1000</v>
      </c>
    </row>
    <row r="119" spans="1:37" ht="18" customHeight="1">
      <c r="A119" s="35" t="s">
        <v>58</v>
      </c>
      <c r="B119" s="36" t="s">
        <v>122</v>
      </c>
      <c r="C119" s="2"/>
      <c r="D119" s="37"/>
      <c r="E119" s="2"/>
      <c r="F119" s="37">
        <v>1</v>
      </c>
      <c r="G119" s="37">
        <v>1</v>
      </c>
      <c r="H119" s="37"/>
      <c r="I119" s="37"/>
      <c r="J119" s="2"/>
      <c r="K119" s="37">
        <v>1</v>
      </c>
      <c r="L119" s="2"/>
      <c r="M119" s="37"/>
      <c r="N119" s="37"/>
      <c r="O119" s="37"/>
      <c r="P119" s="37"/>
      <c r="Q119" s="2"/>
      <c r="R119" s="37"/>
      <c r="S119" s="12"/>
      <c r="T119" s="35"/>
      <c r="U119" s="35">
        <v>1</v>
      </c>
      <c r="V119" s="35"/>
      <c r="W119" s="35"/>
      <c r="X119" s="12"/>
      <c r="Y119" s="35"/>
      <c r="Z119" s="12"/>
      <c r="AA119" s="35">
        <v>1</v>
      </c>
      <c r="AB119" s="35">
        <v>1</v>
      </c>
      <c r="AC119" s="37"/>
      <c r="AD119" s="37"/>
      <c r="AE119" s="2"/>
      <c r="AF119" s="37">
        <v>1</v>
      </c>
      <c r="AG119" s="3"/>
      <c r="AH119" s="38">
        <f t="shared" si="6"/>
        <v>7</v>
      </c>
      <c r="AI119" s="39">
        <v>1000</v>
      </c>
      <c r="AJ119" s="40" t="str">
        <f t="shared" si="7"/>
        <v>幸恩</v>
      </c>
      <c r="AK119" s="42">
        <v>1000</v>
      </c>
    </row>
    <row r="120" spans="1:37" ht="18" customHeight="1">
      <c r="A120" s="35" t="s">
        <v>58</v>
      </c>
      <c r="B120" s="36" t="s">
        <v>140</v>
      </c>
      <c r="C120" s="2"/>
      <c r="D120" s="37">
        <v>1</v>
      </c>
      <c r="E120" s="2"/>
      <c r="F120" s="37">
        <v>1</v>
      </c>
      <c r="G120" s="37">
        <v>1</v>
      </c>
      <c r="H120" s="37"/>
      <c r="I120" s="37"/>
      <c r="J120" s="2"/>
      <c r="K120" s="37"/>
      <c r="L120" s="2"/>
      <c r="M120" s="37"/>
      <c r="N120" s="37"/>
      <c r="O120" s="37"/>
      <c r="P120" s="37"/>
      <c r="Q120" s="2"/>
      <c r="R120" s="37">
        <v>1</v>
      </c>
      <c r="S120" s="12"/>
      <c r="T120" s="35"/>
      <c r="U120" s="35">
        <v>1</v>
      </c>
      <c r="V120" s="35"/>
      <c r="W120" s="35"/>
      <c r="X120" s="12"/>
      <c r="Y120" s="35"/>
      <c r="Z120" s="12"/>
      <c r="AA120" s="35"/>
      <c r="AB120" s="35">
        <v>1</v>
      </c>
      <c r="AC120" s="37"/>
      <c r="AD120" s="37"/>
      <c r="AE120" s="2"/>
      <c r="AF120" s="37">
        <v>1</v>
      </c>
      <c r="AG120" s="3"/>
      <c r="AH120" s="38">
        <f t="shared" si="6"/>
        <v>7</v>
      </c>
      <c r="AI120" s="39">
        <v>1000</v>
      </c>
      <c r="AJ120" s="40" t="str">
        <f t="shared" si="7"/>
        <v>芷琦</v>
      </c>
      <c r="AK120" s="42">
        <v>1000</v>
      </c>
    </row>
    <row r="121" spans="1:37" ht="18" customHeight="1">
      <c r="A121" s="35" t="s">
        <v>58</v>
      </c>
      <c r="B121" s="36" t="s">
        <v>106</v>
      </c>
      <c r="C121" s="2"/>
      <c r="D121" s="37">
        <v>1</v>
      </c>
      <c r="E121" s="2"/>
      <c r="F121" s="37">
        <v>1</v>
      </c>
      <c r="G121" s="37">
        <v>1</v>
      </c>
      <c r="H121" s="37"/>
      <c r="I121" s="37"/>
      <c r="J121" s="2"/>
      <c r="K121" s="37">
        <v>1</v>
      </c>
      <c r="L121" s="2"/>
      <c r="M121" s="37"/>
      <c r="N121" s="37"/>
      <c r="O121" s="37"/>
      <c r="P121" s="37"/>
      <c r="Q121" s="2"/>
      <c r="R121" s="37">
        <v>1</v>
      </c>
      <c r="S121" s="12"/>
      <c r="T121" s="35"/>
      <c r="U121" s="35"/>
      <c r="V121" s="35"/>
      <c r="W121" s="35"/>
      <c r="X121" s="12"/>
      <c r="Y121" s="35"/>
      <c r="Z121" s="12"/>
      <c r="AA121" s="35">
        <v>1</v>
      </c>
      <c r="AB121" s="35">
        <v>1</v>
      </c>
      <c r="AC121" s="37">
        <v>1</v>
      </c>
      <c r="AD121" s="37"/>
      <c r="AE121" s="2"/>
      <c r="AF121" s="37">
        <v>1</v>
      </c>
      <c r="AG121" s="3"/>
      <c r="AH121" s="38">
        <f t="shared" si="6"/>
        <v>9</v>
      </c>
      <c r="AI121" s="39">
        <v>1000</v>
      </c>
      <c r="AJ121" s="40" t="str">
        <f t="shared" si="7"/>
        <v>Nina</v>
      </c>
      <c r="AK121" s="42">
        <v>1000</v>
      </c>
    </row>
    <row r="122" spans="1:37" ht="18" customHeight="1">
      <c r="A122" s="35" t="s">
        <v>58</v>
      </c>
      <c r="B122" s="36" t="s">
        <v>198</v>
      </c>
      <c r="C122" s="2"/>
      <c r="D122" s="37">
        <v>1</v>
      </c>
      <c r="E122" s="2"/>
      <c r="F122" s="37">
        <v>1</v>
      </c>
      <c r="G122" s="37">
        <v>1</v>
      </c>
      <c r="H122" s="37"/>
      <c r="I122" s="37"/>
      <c r="J122" s="2"/>
      <c r="K122" s="37">
        <v>1</v>
      </c>
      <c r="L122" s="2"/>
      <c r="M122" s="37">
        <v>1</v>
      </c>
      <c r="N122" s="37"/>
      <c r="O122" s="37">
        <v>1</v>
      </c>
      <c r="P122" s="37"/>
      <c r="Q122" s="2"/>
      <c r="R122" s="37"/>
      <c r="S122" s="12"/>
      <c r="T122" s="35">
        <v>1</v>
      </c>
      <c r="U122" s="35"/>
      <c r="V122" s="35">
        <v>1</v>
      </c>
      <c r="W122" s="35"/>
      <c r="X122" s="12"/>
      <c r="Y122" s="35"/>
      <c r="Z122" s="12"/>
      <c r="AA122" s="35">
        <v>1</v>
      </c>
      <c r="AB122" s="35"/>
      <c r="AC122" s="37"/>
      <c r="AD122" s="37"/>
      <c r="AE122" s="2"/>
      <c r="AF122" s="37"/>
      <c r="AG122" s="3"/>
      <c r="AH122" s="38">
        <f t="shared" si="6"/>
        <v>9</v>
      </c>
      <c r="AI122" s="39">
        <v>1000</v>
      </c>
      <c r="AJ122" s="40" t="str">
        <f t="shared" si="7"/>
        <v>郁翔</v>
      </c>
      <c r="AK122" s="42">
        <v>1000</v>
      </c>
    </row>
    <row r="123" spans="1:37" ht="18" customHeight="1">
      <c r="A123" s="35" t="s">
        <v>58</v>
      </c>
      <c r="B123" s="36" t="s">
        <v>100</v>
      </c>
      <c r="C123" s="2"/>
      <c r="D123" s="37"/>
      <c r="E123" s="2"/>
      <c r="F123" s="37"/>
      <c r="G123" s="37">
        <v>1</v>
      </c>
      <c r="H123" s="37"/>
      <c r="I123" s="37"/>
      <c r="J123" s="2"/>
      <c r="K123" s="37"/>
      <c r="L123" s="2"/>
      <c r="M123" s="37">
        <v>1</v>
      </c>
      <c r="N123" s="37"/>
      <c r="O123" s="37">
        <v>1</v>
      </c>
      <c r="P123" s="37"/>
      <c r="Q123" s="2"/>
      <c r="R123" s="37"/>
      <c r="S123" s="12"/>
      <c r="T123" s="35">
        <v>1</v>
      </c>
      <c r="U123" s="35"/>
      <c r="V123" s="35"/>
      <c r="W123" s="35"/>
      <c r="X123" s="12"/>
      <c r="Y123" s="35"/>
      <c r="Z123" s="12"/>
      <c r="AA123" s="35">
        <v>1</v>
      </c>
      <c r="AB123" s="35"/>
      <c r="AC123" s="37"/>
      <c r="AD123" s="37"/>
      <c r="AE123" s="2"/>
      <c r="AF123" s="37">
        <v>1</v>
      </c>
      <c r="AG123" s="3"/>
      <c r="AH123" s="38">
        <f t="shared" si="6"/>
        <v>6</v>
      </c>
      <c r="AI123" s="39">
        <v>1000</v>
      </c>
      <c r="AJ123" s="40" t="str">
        <f t="shared" si="7"/>
        <v>餅餅</v>
      </c>
      <c r="AK123" s="42">
        <v>900</v>
      </c>
    </row>
    <row r="124" spans="1:37" ht="18" customHeight="1">
      <c r="A124" s="35" t="s">
        <v>58</v>
      </c>
      <c r="B124" s="36" t="s">
        <v>34</v>
      </c>
      <c r="C124" s="2"/>
      <c r="D124" s="37"/>
      <c r="E124" s="2"/>
      <c r="F124" s="37"/>
      <c r="G124" s="37">
        <v>1</v>
      </c>
      <c r="H124" s="37"/>
      <c r="I124" s="37"/>
      <c r="J124" s="2"/>
      <c r="K124" s="37"/>
      <c r="L124" s="2"/>
      <c r="M124" s="37">
        <v>1</v>
      </c>
      <c r="N124" s="37"/>
      <c r="O124" s="37"/>
      <c r="P124" s="37"/>
      <c r="Q124" s="2"/>
      <c r="R124" s="37"/>
      <c r="S124" s="12"/>
      <c r="T124" s="35"/>
      <c r="U124" s="35"/>
      <c r="V124" s="35"/>
      <c r="W124" s="35"/>
      <c r="X124" s="12"/>
      <c r="Y124" s="35"/>
      <c r="Z124" s="12"/>
      <c r="AA124" s="35">
        <v>1</v>
      </c>
      <c r="AB124" s="35"/>
      <c r="AC124" s="37"/>
      <c r="AD124" s="37"/>
      <c r="AE124" s="2"/>
      <c r="AF124" s="37"/>
      <c r="AG124" s="3"/>
      <c r="AH124" s="38">
        <f t="shared" si="6"/>
        <v>3</v>
      </c>
      <c r="AI124" s="39">
        <v>1000</v>
      </c>
      <c r="AJ124" s="40" t="str">
        <f t="shared" si="7"/>
        <v>雲翔</v>
      </c>
      <c r="AK124" s="42">
        <v>450</v>
      </c>
    </row>
    <row r="125" spans="1:37" ht="18" customHeight="1">
      <c r="A125" s="35" t="s">
        <v>58</v>
      </c>
      <c r="B125" s="36" t="s">
        <v>88</v>
      </c>
      <c r="C125" s="2"/>
      <c r="D125" s="37"/>
      <c r="E125" s="2"/>
      <c r="F125" s="37"/>
      <c r="G125" s="37">
        <v>1</v>
      </c>
      <c r="H125" s="37"/>
      <c r="I125" s="37"/>
      <c r="J125" s="2"/>
      <c r="K125" s="37">
        <v>1</v>
      </c>
      <c r="L125" s="2"/>
      <c r="M125" s="37">
        <v>1</v>
      </c>
      <c r="N125" s="37"/>
      <c r="O125" s="37">
        <v>1</v>
      </c>
      <c r="P125" s="37"/>
      <c r="Q125" s="2"/>
      <c r="R125" s="37"/>
      <c r="S125" s="12"/>
      <c r="T125" s="35"/>
      <c r="U125" s="35"/>
      <c r="V125" s="35"/>
      <c r="W125" s="35"/>
      <c r="X125" s="12"/>
      <c r="Y125" s="35"/>
      <c r="Z125" s="12"/>
      <c r="AA125" s="35">
        <v>1</v>
      </c>
      <c r="AB125" s="35"/>
      <c r="AC125" s="37"/>
      <c r="AD125" s="37"/>
      <c r="AE125" s="2"/>
      <c r="AF125" s="37">
        <v>1</v>
      </c>
      <c r="AG125" s="3"/>
      <c r="AH125" s="38">
        <f t="shared" si="6"/>
        <v>6</v>
      </c>
      <c r="AI125" s="39">
        <v>1000</v>
      </c>
      <c r="AJ125" s="40" t="str">
        <f t="shared" si="7"/>
        <v>皓皓</v>
      </c>
      <c r="AK125" s="42">
        <v>900</v>
      </c>
    </row>
    <row r="126" spans="1:37" ht="18" customHeight="1">
      <c r="A126" s="35" t="s">
        <v>58</v>
      </c>
      <c r="B126" s="36" t="s">
        <v>35</v>
      </c>
      <c r="C126" s="2"/>
      <c r="D126" s="37"/>
      <c r="E126" s="2"/>
      <c r="F126" s="37"/>
      <c r="G126" s="37">
        <v>1</v>
      </c>
      <c r="H126" s="37"/>
      <c r="I126" s="37"/>
      <c r="J126" s="2"/>
      <c r="K126" s="37"/>
      <c r="L126" s="2"/>
      <c r="M126" s="37">
        <v>1</v>
      </c>
      <c r="N126" s="37"/>
      <c r="O126" s="37">
        <v>1</v>
      </c>
      <c r="P126" s="37"/>
      <c r="Q126" s="2"/>
      <c r="R126" s="37"/>
      <c r="S126" s="12"/>
      <c r="T126" s="35"/>
      <c r="U126" s="35"/>
      <c r="V126" s="35"/>
      <c r="W126" s="35"/>
      <c r="X126" s="12"/>
      <c r="Y126" s="35"/>
      <c r="Z126" s="12"/>
      <c r="AA126" s="35">
        <v>1</v>
      </c>
      <c r="AB126" s="35"/>
      <c r="AC126" s="37"/>
      <c r="AD126" s="37"/>
      <c r="AE126" s="2"/>
      <c r="AF126" s="37">
        <v>1</v>
      </c>
      <c r="AG126" s="3"/>
      <c r="AH126" s="38">
        <f t="shared" si="6"/>
        <v>5</v>
      </c>
      <c r="AI126" s="39">
        <v>1000</v>
      </c>
      <c r="AJ126" s="40" t="str">
        <f t="shared" si="7"/>
        <v>阿戴</v>
      </c>
      <c r="AK126" s="42">
        <v>750</v>
      </c>
    </row>
    <row r="127" spans="1:37" ht="18" customHeight="1">
      <c r="A127" s="35" t="s">
        <v>58</v>
      </c>
      <c r="B127" s="36" t="s">
        <v>41</v>
      </c>
      <c r="C127" s="2"/>
      <c r="D127" s="37"/>
      <c r="E127" s="2"/>
      <c r="F127" s="37"/>
      <c r="G127" s="37"/>
      <c r="H127" s="37"/>
      <c r="I127" s="37"/>
      <c r="J127" s="2"/>
      <c r="K127" s="37"/>
      <c r="L127" s="2"/>
      <c r="M127" s="37"/>
      <c r="N127" s="37"/>
      <c r="O127" s="37"/>
      <c r="P127" s="37"/>
      <c r="Q127" s="2"/>
      <c r="R127" s="37"/>
      <c r="S127" s="12"/>
      <c r="T127" s="35"/>
      <c r="U127" s="35"/>
      <c r="V127" s="35"/>
      <c r="W127" s="35"/>
      <c r="X127" s="12"/>
      <c r="Y127" s="35"/>
      <c r="Z127" s="12"/>
      <c r="AA127" s="35"/>
      <c r="AB127" s="35"/>
      <c r="AC127" s="37"/>
      <c r="AD127" s="37"/>
      <c r="AE127" s="2"/>
      <c r="AF127" s="37"/>
      <c r="AG127" s="3"/>
      <c r="AH127" s="38">
        <f t="shared" si="6"/>
        <v>0</v>
      </c>
      <c r="AI127" s="39">
        <v>1000</v>
      </c>
      <c r="AJ127" s="40" t="str">
        <f t="shared" si="7"/>
        <v>軟軟</v>
      </c>
      <c r="AK127" s="42">
        <v>0</v>
      </c>
    </row>
    <row r="128" spans="1:37" ht="18" customHeight="1">
      <c r="A128" s="35" t="s">
        <v>58</v>
      </c>
      <c r="B128" s="36" t="s">
        <v>163</v>
      </c>
      <c r="C128" s="2"/>
      <c r="D128" s="37">
        <v>1</v>
      </c>
      <c r="E128" s="2"/>
      <c r="F128" s="37">
        <v>1</v>
      </c>
      <c r="G128" s="37"/>
      <c r="H128" s="37"/>
      <c r="I128" s="37"/>
      <c r="J128" s="2"/>
      <c r="K128" s="37">
        <v>1</v>
      </c>
      <c r="L128" s="2"/>
      <c r="M128" s="37">
        <v>1</v>
      </c>
      <c r="N128" s="37">
        <v>1</v>
      </c>
      <c r="O128" s="37"/>
      <c r="P128" s="37"/>
      <c r="Q128" s="2"/>
      <c r="R128" s="37"/>
      <c r="S128" s="12"/>
      <c r="T128" s="35">
        <v>1</v>
      </c>
      <c r="U128" s="35"/>
      <c r="V128" s="35"/>
      <c r="W128" s="35"/>
      <c r="X128" s="12"/>
      <c r="Y128" s="35">
        <v>1</v>
      </c>
      <c r="Z128" s="12"/>
      <c r="AA128" s="35"/>
      <c r="AB128" s="35"/>
      <c r="AC128" s="37"/>
      <c r="AD128" s="37"/>
      <c r="AE128" s="2"/>
      <c r="AF128" s="37"/>
      <c r="AG128" s="3"/>
      <c r="AH128" s="38">
        <f t="shared" si="6"/>
        <v>7</v>
      </c>
      <c r="AI128" s="39">
        <v>1000</v>
      </c>
      <c r="AJ128" s="40" t="str">
        <f t="shared" si="7"/>
        <v>小個</v>
      </c>
      <c r="AK128" s="42">
        <v>1000</v>
      </c>
    </row>
    <row r="129" spans="1:37" ht="18" customHeight="1">
      <c r="A129" s="35" t="s">
        <v>58</v>
      </c>
      <c r="B129" s="36" t="s">
        <v>36</v>
      </c>
      <c r="C129" s="2"/>
      <c r="D129" s="37"/>
      <c r="E129" s="2"/>
      <c r="F129" s="37">
        <v>1</v>
      </c>
      <c r="G129" s="37"/>
      <c r="H129" s="37"/>
      <c r="I129" s="37"/>
      <c r="J129" s="2"/>
      <c r="K129" s="37">
        <v>1</v>
      </c>
      <c r="L129" s="2"/>
      <c r="M129" s="37"/>
      <c r="N129" s="37"/>
      <c r="O129" s="37"/>
      <c r="P129" s="37"/>
      <c r="Q129" s="2"/>
      <c r="R129" s="37">
        <v>1</v>
      </c>
      <c r="S129" s="12"/>
      <c r="T129" s="35">
        <v>1</v>
      </c>
      <c r="U129" s="35"/>
      <c r="V129" s="35"/>
      <c r="W129" s="35"/>
      <c r="X129" s="12"/>
      <c r="Y129" s="35">
        <v>1</v>
      </c>
      <c r="Z129" s="12"/>
      <c r="AA129" s="35"/>
      <c r="AB129" s="35"/>
      <c r="AC129" s="37"/>
      <c r="AD129" s="37"/>
      <c r="AE129" s="2"/>
      <c r="AF129" s="37"/>
      <c r="AG129" s="3"/>
      <c r="AH129" s="38">
        <f t="shared" si="6"/>
        <v>5</v>
      </c>
      <c r="AI129" s="39">
        <v>1000</v>
      </c>
      <c r="AJ129" s="40" t="str">
        <f t="shared" si="7"/>
        <v>子澔</v>
      </c>
      <c r="AK129" s="42">
        <v>750</v>
      </c>
    </row>
  </sheetData>
  <mergeCells count="5">
    <mergeCell ref="AI1:AI3"/>
    <mergeCell ref="AJ1:AJ3"/>
    <mergeCell ref="AH1:AH3"/>
    <mergeCell ref="A1:B1"/>
    <mergeCell ref="AK1:AK2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A9999"/>
    <outlinePr summaryBelow="0" summaryRight="0"/>
  </sheetPr>
  <dimension ref="A1:AJ12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3" max="33" width="4.453125" customWidth="1"/>
    <col min="34" max="34" width="6" customWidth="1"/>
    <col min="35" max="35" width="6.1796875" customWidth="1"/>
    <col min="36" max="36" width="13.26953125" customWidth="1"/>
  </cols>
  <sheetData>
    <row r="1" spans="1:36" ht="18" customHeight="1">
      <c r="A1" s="279" t="s">
        <v>0</v>
      </c>
      <c r="B1" s="280"/>
      <c r="C1" s="1" t="s">
        <v>185</v>
      </c>
      <c r="D1" s="1" t="s">
        <v>186</v>
      </c>
      <c r="E1" s="1" t="s">
        <v>184</v>
      </c>
      <c r="F1" s="1"/>
      <c r="G1" s="2"/>
      <c r="H1" s="1" t="s">
        <v>183</v>
      </c>
      <c r="I1" s="2"/>
      <c r="J1" s="1" t="s">
        <v>185</v>
      </c>
      <c r="K1" s="1" t="s">
        <v>184</v>
      </c>
      <c r="L1" s="1" t="s">
        <v>186</v>
      </c>
      <c r="M1" s="1"/>
      <c r="N1" s="2"/>
      <c r="O1" s="1" t="s">
        <v>183</v>
      </c>
      <c r="P1" s="2"/>
      <c r="Q1" s="1" t="s">
        <v>185</v>
      </c>
      <c r="R1" s="1"/>
      <c r="S1" s="1" t="s">
        <v>186</v>
      </c>
      <c r="T1" s="1" t="s">
        <v>182</v>
      </c>
      <c r="U1" s="2"/>
      <c r="V1" s="1" t="s">
        <v>183</v>
      </c>
      <c r="W1" s="2"/>
      <c r="X1" s="1" t="s">
        <v>185</v>
      </c>
      <c r="Y1" s="1" t="s">
        <v>184</v>
      </c>
      <c r="Z1" s="1" t="s">
        <v>186</v>
      </c>
      <c r="AA1" s="1" t="s">
        <v>182</v>
      </c>
      <c r="AB1" s="2"/>
      <c r="AC1" s="1" t="s">
        <v>183</v>
      </c>
      <c r="AD1" s="2"/>
      <c r="AE1" s="1" t="s">
        <v>185</v>
      </c>
      <c r="AF1" s="1"/>
      <c r="AG1" s="281" t="s">
        <v>6</v>
      </c>
      <c r="AH1" s="276" t="s">
        <v>7</v>
      </c>
      <c r="AI1" s="271" t="s">
        <v>172</v>
      </c>
      <c r="AJ1" s="274" t="s">
        <v>200</v>
      </c>
    </row>
    <row r="2" spans="1:36" ht="18" customHeight="1">
      <c r="A2" s="4" t="s">
        <v>2</v>
      </c>
      <c r="B2" s="5" t="s">
        <v>3</v>
      </c>
      <c r="C2" s="7">
        <v>45170</v>
      </c>
      <c r="D2" s="7">
        <v>45171</v>
      </c>
      <c r="E2" s="7">
        <v>45172</v>
      </c>
      <c r="F2" s="7">
        <v>45173</v>
      </c>
      <c r="G2" s="6">
        <v>45174</v>
      </c>
      <c r="H2" s="7">
        <v>45175</v>
      </c>
      <c r="I2" s="6">
        <v>45176</v>
      </c>
      <c r="J2" s="7">
        <v>45177</v>
      </c>
      <c r="K2" s="7">
        <v>45178</v>
      </c>
      <c r="L2" s="7">
        <v>45179</v>
      </c>
      <c r="M2" s="7">
        <v>45180</v>
      </c>
      <c r="N2" s="6">
        <v>45181</v>
      </c>
      <c r="O2" s="7">
        <v>45182</v>
      </c>
      <c r="P2" s="6">
        <v>45183</v>
      </c>
      <c r="Q2" s="7">
        <v>45184</v>
      </c>
      <c r="R2" s="7">
        <v>45185</v>
      </c>
      <c r="S2" s="7">
        <v>45186</v>
      </c>
      <c r="T2" s="7">
        <v>45187</v>
      </c>
      <c r="U2" s="6">
        <v>45188</v>
      </c>
      <c r="V2" s="7">
        <v>45189</v>
      </c>
      <c r="W2" s="6">
        <v>45190</v>
      </c>
      <c r="X2" s="7">
        <v>45191</v>
      </c>
      <c r="Y2" s="7">
        <v>45192</v>
      </c>
      <c r="Z2" s="7">
        <v>45193</v>
      </c>
      <c r="AA2" s="7">
        <v>45194</v>
      </c>
      <c r="AB2" s="6">
        <v>45195</v>
      </c>
      <c r="AC2" s="7">
        <v>45196</v>
      </c>
      <c r="AD2" s="6">
        <v>45197</v>
      </c>
      <c r="AE2" s="7">
        <v>45198</v>
      </c>
      <c r="AF2" s="7">
        <v>45199</v>
      </c>
      <c r="AG2" s="282"/>
      <c r="AH2" s="277"/>
      <c r="AI2" s="272"/>
      <c r="AJ2" s="275"/>
    </row>
    <row r="3" spans="1:36" ht="18" customHeight="1">
      <c r="A3" s="4" t="s">
        <v>4</v>
      </c>
      <c r="B3" s="5" t="s">
        <v>5</v>
      </c>
      <c r="C3" s="1">
        <v>5</v>
      </c>
      <c r="D3" s="1">
        <v>6</v>
      </c>
      <c r="E3" s="1">
        <v>7</v>
      </c>
      <c r="F3" s="1">
        <v>1</v>
      </c>
      <c r="G3" s="2">
        <v>2</v>
      </c>
      <c r="H3" s="1">
        <v>3</v>
      </c>
      <c r="I3" s="2">
        <v>4</v>
      </c>
      <c r="J3" s="1">
        <v>5</v>
      </c>
      <c r="K3" s="1">
        <v>6</v>
      </c>
      <c r="L3" s="1">
        <v>7</v>
      </c>
      <c r="M3" s="1">
        <v>1</v>
      </c>
      <c r="N3" s="2">
        <v>2</v>
      </c>
      <c r="O3" s="1">
        <v>3</v>
      </c>
      <c r="P3" s="2">
        <v>4</v>
      </c>
      <c r="Q3" s="1">
        <v>5</v>
      </c>
      <c r="R3" s="1">
        <v>6</v>
      </c>
      <c r="S3" s="1">
        <v>7</v>
      </c>
      <c r="T3" s="1">
        <v>1</v>
      </c>
      <c r="U3" s="2">
        <v>2</v>
      </c>
      <c r="V3" s="1">
        <v>3</v>
      </c>
      <c r="W3" s="2">
        <v>4</v>
      </c>
      <c r="X3" s="1">
        <v>5</v>
      </c>
      <c r="Y3" s="1">
        <v>6</v>
      </c>
      <c r="Z3" s="1">
        <v>7</v>
      </c>
      <c r="AA3" s="1">
        <v>1</v>
      </c>
      <c r="AB3" s="2">
        <v>2</v>
      </c>
      <c r="AC3" s="1">
        <v>3</v>
      </c>
      <c r="AD3" s="2">
        <v>4</v>
      </c>
      <c r="AE3" s="1">
        <v>5</v>
      </c>
      <c r="AF3" s="1">
        <v>6</v>
      </c>
      <c r="AG3" s="283"/>
      <c r="AH3" s="278"/>
      <c r="AI3" s="273"/>
      <c r="AJ3" s="8" t="e">
        <f ca="1">SUM(AH4:AH130)</f>
        <v>#NAME?</v>
      </c>
    </row>
    <row r="4" spans="1:36" ht="18" customHeight="1">
      <c r="A4" s="9" t="s">
        <v>174</v>
      </c>
      <c r="B4" s="10" t="s">
        <v>10</v>
      </c>
      <c r="C4" s="11">
        <v>1</v>
      </c>
      <c r="D4" s="11"/>
      <c r="E4" s="11">
        <v>1</v>
      </c>
      <c r="F4" s="11"/>
      <c r="G4" s="2"/>
      <c r="H4" s="11">
        <v>1</v>
      </c>
      <c r="I4" s="2"/>
      <c r="J4" s="11"/>
      <c r="K4" s="11"/>
      <c r="L4" s="11"/>
      <c r="M4" s="11"/>
      <c r="N4" s="2"/>
      <c r="O4" s="11"/>
      <c r="P4" s="12"/>
      <c r="Q4" s="9"/>
      <c r="R4" s="9"/>
      <c r="S4" s="9">
        <v>1</v>
      </c>
      <c r="T4" s="9"/>
      <c r="U4" s="12"/>
      <c r="V4" s="9"/>
      <c r="W4" s="12"/>
      <c r="X4" s="9"/>
      <c r="Y4" s="9">
        <v>1</v>
      </c>
      <c r="Z4" s="11"/>
      <c r="AA4" s="11">
        <v>1</v>
      </c>
      <c r="AB4" s="2"/>
      <c r="AC4" s="11">
        <v>1</v>
      </c>
      <c r="AD4" s="3"/>
      <c r="AE4" s="11"/>
      <c r="AF4" s="11"/>
      <c r="AG4" s="13">
        <f t="shared" ref="AG4:AG35" si="0">COUNTA(C4:AF4)</f>
        <v>7</v>
      </c>
      <c r="AH4" s="14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15" t="str">
        <f t="shared" ref="AI4:AI35" si="1">B4</f>
        <v>阿發</v>
      </c>
      <c r="AJ4" s="43" t="s">
        <v>201</v>
      </c>
    </row>
    <row r="5" spans="1:36" ht="18" customHeight="1">
      <c r="A5" s="9" t="s">
        <v>174</v>
      </c>
      <c r="B5" s="10" t="s">
        <v>13</v>
      </c>
      <c r="C5" s="11">
        <v>1</v>
      </c>
      <c r="D5" s="11"/>
      <c r="E5" s="11">
        <v>1</v>
      </c>
      <c r="F5" s="11"/>
      <c r="G5" s="2"/>
      <c r="H5" s="11">
        <v>1</v>
      </c>
      <c r="I5" s="2"/>
      <c r="J5" s="11">
        <v>1</v>
      </c>
      <c r="K5" s="11"/>
      <c r="L5" s="11">
        <v>1</v>
      </c>
      <c r="M5" s="11"/>
      <c r="N5" s="2"/>
      <c r="O5" s="11">
        <v>1</v>
      </c>
      <c r="P5" s="12"/>
      <c r="Q5" s="9">
        <v>1</v>
      </c>
      <c r="R5" s="9"/>
      <c r="S5" s="9">
        <v>1</v>
      </c>
      <c r="T5" s="9">
        <v>1</v>
      </c>
      <c r="U5" s="12"/>
      <c r="V5" s="9">
        <v>1</v>
      </c>
      <c r="W5" s="12"/>
      <c r="X5" s="9">
        <v>1</v>
      </c>
      <c r="Y5" s="9"/>
      <c r="Z5" s="11">
        <v>1</v>
      </c>
      <c r="AA5" s="11">
        <v>1</v>
      </c>
      <c r="AB5" s="2"/>
      <c r="AC5" s="11">
        <v>1</v>
      </c>
      <c r="AD5" s="3"/>
      <c r="AE5" s="11">
        <v>1</v>
      </c>
      <c r="AF5" s="11"/>
      <c r="AG5" s="13">
        <f t="shared" si="0"/>
        <v>15</v>
      </c>
      <c r="AH5" s="14" t="e">
        <f ca="1">IF(A5="O", (VALUE(_xludf.IFS(AG5=0,"0",AG5=1,"150",AG5=2,"300",AG5=3,"450",AG5=4,"600",AG5=5,"750",AG5&gt;=6,"800"))),(VALUE(_xludf.IFS(AG5=0,"0",AG5=1,"150",AG5=2,"300",AG5=3,"450",AG5=4,"600",AG5=5,"750",AG5=6,"900",AG5&gt;=7,"1,000"))))</f>
        <v>#NAME?</v>
      </c>
      <c r="AI5" s="15" t="str">
        <f t="shared" si="1"/>
        <v>李洋</v>
      </c>
      <c r="AJ5" s="43" t="s">
        <v>201</v>
      </c>
    </row>
    <row r="6" spans="1:36" ht="18" customHeight="1">
      <c r="A6" s="9" t="s">
        <v>174</v>
      </c>
      <c r="B6" s="10" t="s">
        <v>11</v>
      </c>
      <c r="C6" s="11">
        <v>1</v>
      </c>
      <c r="D6" s="11"/>
      <c r="E6" s="11">
        <v>1</v>
      </c>
      <c r="F6" s="11"/>
      <c r="G6" s="2"/>
      <c r="H6" s="11">
        <v>1</v>
      </c>
      <c r="I6" s="2"/>
      <c r="J6" s="11">
        <v>1</v>
      </c>
      <c r="K6" s="11">
        <v>1</v>
      </c>
      <c r="L6" s="11">
        <v>1</v>
      </c>
      <c r="M6" s="11"/>
      <c r="N6" s="2"/>
      <c r="O6" s="11">
        <v>1</v>
      </c>
      <c r="P6" s="12"/>
      <c r="Q6" s="9">
        <v>1</v>
      </c>
      <c r="R6" s="9"/>
      <c r="S6" s="9">
        <v>1</v>
      </c>
      <c r="T6" s="9">
        <v>1</v>
      </c>
      <c r="U6" s="12"/>
      <c r="V6" s="9">
        <v>1</v>
      </c>
      <c r="W6" s="12"/>
      <c r="X6" s="9">
        <v>1</v>
      </c>
      <c r="Y6" s="9">
        <v>1</v>
      </c>
      <c r="Z6" s="11">
        <v>1</v>
      </c>
      <c r="AA6" s="11">
        <v>1</v>
      </c>
      <c r="AB6" s="2"/>
      <c r="AC6" s="11">
        <v>1</v>
      </c>
      <c r="AD6" s="3"/>
      <c r="AE6" s="11">
        <v>1</v>
      </c>
      <c r="AF6" s="11"/>
      <c r="AG6" s="13">
        <f t="shared" si="0"/>
        <v>17</v>
      </c>
      <c r="AH6" s="14" t="e">
        <f ca="1">IF(A6="O", (VALUE(_xludf.IFS(AG6=0,"0",AG6=1,"150",AG6=2,"300",AG6=3,"450",AG6=4,"600",AG6=5,"750",AG6&gt;=6,"800"))),(VALUE(_xludf.IFS(AG6=0,"0",AG6=1,"150",AG6=2,"300",AG6=3,"450",AG6=4,"600",AG6=5,"750",AG6=6,"900",AG6&gt;=7,"1,000"))))</f>
        <v>#NAME?</v>
      </c>
      <c r="AI6" s="15" t="str">
        <f t="shared" si="1"/>
        <v>捷升</v>
      </c>
      <c r="AJ6" s="43" t="s">
        <v>201</v>
      </c>
    </row>
    <row r="7" spans="1:36" ht="18" customHeight="1">
      <c r="A7" s="9" t="s">
        <v>174</v>
      </c>
      <c r="B7" s="10" t="s">
        <v>19</v>
      </c>
      <c r="C7" s="11">
        <v>1</v>
      </c>
      <c r="D7" s="11"/>
      <c r="E7" s="11">
        <v>1</v>
      </c>
      <c r="F7" s="11"/>
      <c r="G7" s="2"/>
      <c r="H7" s="11">
        <v>1</v>
      </c>
      <c r="I7" s="2"/>
      <c r="J7" s="11">
        <v>1</v>
      </c>
      <c r="K7" s="11"/>
      <c r="L7" s="11">
        <v>1</v>
      </c>
      <c r="M7" s="11"/>
      <c r="N7" s="2"/>
      <c r="O7" s="11">
        <v>1</v>
      </c>
      <c r="P7" s="12"/>
      <c r="Q7" s="9">
        <v>1</v>
      </c>
      <c r="R7" s="9"/>
      <c r="S7" s="9">
        <v>1</v>
      </c>
      <c r="T7" s="9">
        <v>1</v>
      </c>
      <c r="U7" s="12"/>
      <c r="V7" s="9">
        <v>1</v>
      </c>
      <c r="W7" s="12"/>
      <c r="X7" s="9">
        <v>1</v>
      </c>
      <c r="Y7" s="9"/>
      <c r="Z7" s="11">
        <v>1</v>
      </c>
      <c r="AA7" s="11">
        <v>1</v>
      </c>
      <c r="AB7" s="2"/>
      <c r="AC7" s="11">
        <v>1</v>
      </c>
      <c r="AD7" s="3"/>
      <c r="AE7" s="11">
        <v>1</v>
      </c>
      <c r="AF7" s="11"/>
      <c r="AG7" s="13">
        <f t="shared" si="0"/>
        <v>15</v>
      </c>
      <c r="AH7" s="14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15" t="str">
        <f t="shared" si="1"/>
        <v>青蛙</v>
      </c>
      <c r="AJ7" s="43" t="s">
        <v>201</v>
      </c>
    </row>
    <row r="8" spans="1:36" ht="18" customHeight="1">
      <c r="A8" s="9" t="s">
        <v>174</v>
      </c>
      <c r="B8" s="10" t="s">
        <v>14</v>
      </c>
      <c r="C8" s="11">
        <v>1</v>
      </c>
      <c r="D8" s="11"/>
      <c r="E8" s="11">
        <v>1</v>
      </c>
      <c r="F8" s="11"/>
      <c r="G8" s="2"/>
      <c r="H8" s="11">
        <v>1</v>
      </c>
      <c r="I8" s="2"/>
      <c r="J8" s="11">
        <v>1</v>
      </c>
      <c r="K8" s="11"/>
      <c r="L8" s="11">
        <v>1</v>
      </c>
      <c r="M8" s="11"/>
      <c r="N8" s="2"/>
      <c r="O8" s="11">
        <v>1</v>
      </c>
      <c r="P8" s="12"/>
      <c r="Q8" s="9">
        <v>1</v>
      </c>
      <c r="R8" s="9"/>
      <c r="S8" s="9">
        <v>1</v>
      </c>
      <c r="T8" s="9">
        <v>1</v>
      </c>
      <c r="U8" s="12"/>
      <c r="V8" s="9">
        <v>1</v>
      </c>
      <c r="W8" s="12"/>
      <c r="X8" s="9">
        <v>1</v>
      </c>
      <c r="Y8" s="9"/>
      <c r="Z8" s="11">
        <v>1</v>
      </c>
      <c r="AA8" s="11"/>
      <c r="AB8" s="2"/>
      <c r="AC8" s="11">
        <v>1</v>
      </c>
      <c r="AD8" s="3"/>
      <c r="AE8" s="11">
        <v>1</v>
      </c>
      <c r="AF8" s="11"/>
      <c r="AG8" s="13">
        <f t="shared" si="0"/>
        <v>14</v>
      </c>
      <c r="AH8" s="14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15" t="str">
        <f t="shared" si="1"/>
        <v>曉明</v>
      </c>
      <c r="AJ8" s="43" t="s">
        <v>201</v>
      </c>
    </row>
    <row r="9" spans="1:36" ht="18" customHeight="1">
      <c r="A9" s="9" t="s">
        <v>174</v>
      </c>
      <c r="B9" s="10" t="s">
        <v>18</v>
      </c>
      <c r="C9" s="11">
        <v>1</v>
      </c>
      <c r="D9" s="11"/>
      <c r="E9" s="11">
        <v>1</v>
      </c>
      <c r="F9" s="11"/>
      <c r="G9" s="2"/>
      <c r="H9" s="11">
        <v>1</v>
      </c>
      <c r="I9" s="2"/>
      <c r="J9" s="11">
        <v>1</v>
      </c>
      <c r="K9" s="11"/>
      <c r="L9" s="11">
        <v>1</v>
      </c>
      <c r="M9" s="11"/>
      <c r="N9" s="2"/>
      <c r="O9" s="11">
        <v>1</v>
      </c>
      <c r="P9" s="12"/>
      <c r="Q9" s="9">
        <v>1</v>
      </c>
      <c r="R9" s="9"/>
      <c r="S9" s="9">
        <v>1</v>
      </c>
      <c r="T9" s="9">
        <v>1</v>
      </c>
      <c r="U9" s="12"/>
      <c r="V9" s="9">
        <v>1</v>
      </c>
      <c r="W9" s="12"/>
      <c r="X9" s="9">
        <v>1</v>
      </c>
      <c r="Y9" s="9"/>
      <c r="Z9" s="11">
        <v>1</v>
      </c>
      <c r="AA9" s="11">
        <v>1</v>
      </c>
      <c r="AB9" s="2"/>
      <c r="AC9" s="11">
        <v>1</v>
      </c>
      <c r="AD9" s="3"/>
      <c r="AE9" s="11">
        <v>1</v>
      </c>
      <c r="AF9" s="11"/>
      <c r="AG9" s="13">
        <f t="shared" si="0"/>
        <v>15</v>
      </c>
      <c r="AH9" s="14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15" t="str">
        <f t="shared" si="1"/>
        <v>皓元</v>
      </c>
      <c r="AJ9" s="43" t="s">
        <v>201</v>
      </c>
    </row>
    <row r="10" spans="1:36" ht="18" customHeight="1">
      <c r="A10" s="9" t="s">
        <v>174</v>
      </c>
      <c r="B10" s="10" t="s">
        <v>21</v>
      </c>
      <c r="C10" s="11"/>
      <c r="D10" s="11"/>
      <c r="E10" s="11">
        <v>1</v>
      </c>
      <c r="F10" s="11"/>
      <c r="G10" s="2"/>
      <c r="H10" s="11"/>
      <c r="I10" s="2"/>
      <c r="J10" s="11">
        <v>1</v>
      </c>
      <c r="K10" s="11"/>
      <c r="L10" s="11">
        <v>1</v>
      </c>
      <c r="M10" s="11"/>
      <c r="N10" s="2"/>
      <c r="O10" s="11"/>
      <c r="P10" s="12"/>
      <c r="Q10" s="9">
        <v>1</v>
      </c>
      <c r="R10" s="9"/>
      <c r="S10" s="9">
        <v>1</v>
      </c>
      <c r="T10" s="9">
        <v>1</v>
      </c>
      <c r="U10" s="12"/>
      <c r="V10" s="9">
        <v>1</v>
      </c>
      <c r="W10" s="12"/>
      <c r="X10" s="9">
        <v>1</v>
      </c>
      <c r="Y10" s="9"/>
      <c r="Z10" s="11">
        <v>1</v>
      </c>
      <c r="AA10" s="11"/>
      <c r="AB10" s="2"/>
      <c r="AC10" s="11">
        <v>1</v>
      </c>
      <c r="AD10" s="3"/>
      <c r="AE10" s="11">
        <v>1</v>
      </c>
      <c r="AF10" s="11"/>
      <c r="AG10" s="13">
        <f t="shared" si="0"/>
        <v>11</v>
      </c>
      <c r="AH10" s="14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</f>
        <v>#NAME?</v>
      </c>
      <c r="AI10" s="15" t="str">
        <f t="shared" si="1"/>
        <v>晧全</v>
      </c>
      <c r="AJ10" s="43" t="s">
        <v>201</v>
      </c>
    </row>
    <row r="11" spans="1:36" ht="18" customHeight="1">
      <c r="A11" s="9" t="s">
        <v>174</v>
      </c>
      <c r="B11" s="10" t="s">
        <v>72</v>
      </c>
      <c r="C11" s="11">
        <v>1</v>
      </c>
      <c r="D11" s="11"/>
      <c r="E11" s="11">
        <v>1</v>
      </c>
      <c r="F11" s="11"/>
      <c r="G11" s="2"/>
      <c r="H11" s="11">
        <v>1</v>
      </c>
      <c r="I11" s="2"/>
      <c r="J11" s="11">
        <v>1</v>
      </c>
      <c r="K11" s="11"/>
      <c r="L11" s="11">
        <v>1</v>
      </c>
      <c r="M11" s="11"/>
      <c r="N11" s="2"/>
      <c r="O11" s="11">
        <v>1</v>
      </c>
      <c r="P11" s="12"/>
      <c r="Q11" s="9">
        <v>1</v>
      </c>
      <c r="R11" s="9"/>
      <c r="S11" s="9"/>
      <c r="T11" s="9"/>
      <c r="U11" s="12"/>
      <c r="V11" s="9">
        <v>1</v>
      </c>
      <c r="W11" s="12"/>
      <c r="X11" s="9">
        <v>1</v>
      </c>
      <c r="Y11" s="9"/>
      <c r="Z11" s="11">
        <v>1</v>
      </c>
      <c r="AA11" s="11"/>
      <c r="AB11" s="2"/>
      <c r="AC11" s="11">
        <v>1</v>
      </c>
      <c r="AD11" s="3"/>
      <c r="AE11" s="11">
        <v>1</v>
      </c>
      <c r="AF11" s="11"/>
      <c r="AG11" s="13">
        <f t="shared" si="0"/>
        <v>12</v>
      </c>
      <c r="AH11" s="14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15" t="str">
        <f t="shared" si="1"/>
        <v>八卦</v>
      </c>
      <c r="AJ11" s="43" t="s">
        <v>201</v>
      </c>
    </row>
    <row r="12" spans="1:36" ht="18" customHeight="1">
      <c r="A12" s="9" t="s">
        <v>174</v>
      </c>
      <c r="B12" s="10" t="s">
        <v>175</v>
      </c>
      <c r="C12" s="11"/>
      <c r="D12" s="11"/>
      <c r="E12" s="11">
        <v>1</v>
      </c>
      <c r="F12" s="11"/>
      <c r="G12" s="2"/>
      <c r="H12" s="11">
        <v>1</v>
      </c>
      <c r="I12" s="2"/>
      <c r="J12" s="11">
        <v>1</v>
      </c>
      <c r="K12" s="11"/>
      <c r="L12" s="11">
        <v>1</v>
      </c>
      <c r="M12" s="11"/>
      <c r="N12" s="2"/>
      <c r="O12" s="11">
        <v>1</v>
      </c>
      <c r="P12" s="12"/>
      <c r="Q12" s="9">
        <v>1</v>
      </c>
      <c r="R12" s="9"/>
      <c r="S12" s="9">
        <v>1</v>
      </c>
      <c r="T12" s="9"/>
      <c r="U12" s="12"/>
      <c r="V12" s="9">
        <v>1</v>
      </c>
      <c r="W12" s="12"/>
      <c r="X12" s="9">
        <v>1</v>
      </c>
      <c r="Y12" s="9"/>
      <c r="Z12" s="11">
        <v>1</v>
      </c>
      <c r="AA12" s="11"/>
      <c r="AB12" s="2"/>
      <c r="AC12" s="11">
        <v>1</v>
      </c>
      <c r="AD12" s="3"/>
      <c r="AE12" s="11">
        <v>1</v>
      </c>
      <c r="AF12" s="11"/>
      <c r="AG12" s="13">
        <f t="shared" si="0"/>
        <v>12</v>
      </c>
      <c r="AH12" s="14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15" t="str">
        <f t="shared" si="1"/>
        <v>咪咪</v>
      </c>
      <c r="AJ12" s="43" t="s">
        <v>201</v>
      </c>
    </row>
    <row r="13" spans="1:36" ht="18" customHeight="1">
      <c r="A13" s="9" t="s">
        <v>174</v>
      </c>
      <c r="B13" s="10" t="s">
        <v>17</v>
      </c>
      <c r="C13" s="11"/>
      <c r="D13" s="11"/>
      <c r="E13" s="11"/>
      <c r="F13" s="11"/>
      <c r="G13" s="2"/>
      <c r="H13" s="11"/>
      <c r="I13" s="2"/>
      <c r="J13" s="11"/>
      <c r="K13" s="11"/>
      <c r="L13" s="11"/>
      <c r="M13" s="11"/>
      <c r="N13" s="2"/>
      <c r="O13" s="11"/>
      <c r="P13" s="12"/>
      <c r="Q13" s="9"/>
      <c r="R13" s="9"/>
      <c r="S13" s="9"/>
      <c r="T13" s="9"/>
      <c r="U13" s="12"/>
      <c r="V13" s="9"/>
      <c r="W13" s="12"/>
      <c r="X13" s="9"/>
      <c r="Y13" s="9"/>
      <c r="Z13" s="11"/>
      <c r="AA13" s="11"/>
      <c r="AB13" s="2"/>
      <c r="AC13" s="11"/>
      <c r="AD13" s="3"/>
      <c r="AE13" s="11"/>
      <c r="AF13" s="11"/>
      <c r="AG13" s="13">
        <f t="shared" si="0"/>
        <v>0</v>
      </c>
      <c r="AH13" s="14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15" t="str">
        <f t="shared" si="1"/>
        <v>光曜</v>
      </c>
      <c r="AJ13" s="16"/>
    </row>
    <row r="14" spans="1:36" ht="18" customHeight="1">
      <c r="A14" s="9" t="s">
        <v>174</v>
      </c>
      <c r="B14" s="10" t="s">
        <v>15</v>
      </c>
      <c r="C14" s="11">
        <v>1</v>
      </c>
      <c r="D14" s="11"/>
      <c r="E14" s="11">
        <v>1</v>
      </c>
      <c r="F14" s="11"/>
      <c r="G14" s="2"/>
      <c r="H14" s="11">
        <v>1</v>
      </c>
      <c r="I14" s="2"/>
      <c r="J14" s="11">
        <v>1</v>
      </c>
      <c r="K14" s="11"/>
      <c r="L14" s="11">
        <v>1</v>
      </c>
      <c r="M14" s="11"/>
      <c r="N14" s="2"/>
      <c r="O14" s="11">
        <v>1</v>
      </c>
      <c r="P14" s="12"/>
      <c r="Q14" s="9">
        <v>1</v>
      </c>
      <c r="R14" s="9"/>
      <c r="S14" s="9">
        <v>1</v>
      </c>
      <c r="T14" s="9"/>
      <c r="U14" s="12"/>
      <c r="V14" s="9">
        <v>1</v>
      </c>
      <c r="W14" s="12"/>
      <c r="X14" s="9">
        <v>1</v>
      </c>
      <c r="Y14" s="9"/>
      <c r="Z14" s="11">
        <v>1</v>
      </c>
      <c r="AA14" s="11"/>
      <c r="AB14" s="2"/>
      <c r="AC14" s="11">
        <v>1</v>
      </c>
      <c r="AD14" s="3"/>
      <c r="AE14" s="11">
        <v>1</v>
      </c>
      <c r="AF14" s="11"/>
      <c r="AG14" s="13">
        <f t="shared" si="0"/>
        <v>13</v>
      </c>
      <c r="AH14" s="14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15" t="str">
        <f t="shared" si="1"/>
        <v>大支</v>
      </c>
      <c r="AJ14" s="43" t="s">
        <v>201</v>
      </c>
    </row>
    <row r="15" spans="1:36" ht="18" customHeight="1">
      <c r="A15" s="9" t="s">
        <v>174</v>
      </c>
      <c r="B15" s="10" t="s">
        <v>61</v>
      </c>
      <c r="C15" s="11"/>
      <c r="D15" s="11"/>
      <c r="E15" s="11"/>
      <c r="F15" s="11"/>
      <c r="G15" s="2"/>
      <c r="H15" s="11"/>
      <c r="I15" s="2"/>
      <c r="J15" s="11"/>
      <c r="K15" s="11"/>
      <c r="L15" s="11"/>
      <c r="M15" s="11"/>
      <c r="N15" s="2"/>
      <c r="O15" s="11"/>
      <c r="P15" s="12"/>
      <c r="Q15" s="9"/>
      <c r="R15" s="9"/>
      <c r="S15" s="9"/>
      <c r="T15" s="9"/>
      <c r="U15" s="12"/>
      <c r="V15" s="9"/>
      <c r="W15" s="12"/>
      <c r="X15" s="9"/>
      <c r="Y15" s="9"/>
      <c r="Z15" s="11"/>
      <c r="AA15" s="11"/>
      <c r="AB15" s="2"/>
      <c r="AC15" s="11"/>
      <c r="AD15" s="3"/>
      <c r="AE15" s="11"/>
      <c r="AF15" s="11"/>
      <c r="AG15" s="13">
        <f t="shared" si="0"/>
        <v>0</v>
      </c>
      <c r="AH15" s="14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15" t="str">
        <f t="shared" si="1"/>
        <v>韋融</v>
      </c>
      <c r="AJ15" s="16"/>
    </row>
    <row r="16" spans="1:36" ht="18" customHeight="1">
      <c r="A16" s="9" t="s">
        <v>174</v>
      </c>
      <c r="B16" s="10" t="s">
        <v>20</v>
      </c>
      <c r="C16" s="11"/>
      <c r="D16" s="11"/>
      <c r="E16" s="11"/>
      <c r="F16" s="11"/>
      <c r="G16" s="2"/>
      <c r="H16" s="11">
        <v>1</v>
      </c>
      <c r="I16" s="2"/>
      <c r="J16" s="11">
        <v>1</v>
      </c>
      <c r="K16" s="11"/>
      <c r="L16" s="11"/>
      <c r="M16" s="11"/>
      <c r="N16" s="2"/>
      <c r="O16" s="11"/>
      <c r="P16" s="12"/>
      <c r="Q16" s="9"/>
      <c r="R16" s="9"/>
      <c r="S16" s="9"/>
      <c r="T16" s="9">
        <v>1</v>
      </c>
      <c r="U16" s="12"/>
      <c r="V16" s="9"/>
      <c r="W16" s="12"/>
      <c r="X16" s="9"/>
      <c r="Y16" s="9"/>
      <c r="Z16" s="11">
        <v>1</v>
      </c>
      <c r="AA16" s="11">
        <v>1</v>
      </c>
      <c r="AB16" s="2"/>
      <c r="AC16" s="11">
        <v>1</v>
      </c>
      <c r="AD16" s="3"/>
      <c r="AE16" s="11">
        <v>1</v>
      </c>
      <c r="AF16" s="11"/>
      <c r="AG16" s="13">
        <f t="shared" si="0"/>
        <v>7</v>
      </c>
      <c r="AH16" s="14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15" t="str">
        <f t="shared" si="1"/>
        <v>港弟</v>
      </c>
      <c r="AJ16" s="43" t="s">
        <v>201</v>
      </c>
    </row>
    <row r="17" spans="1:36" ht="18" customHeight="1">
      <c r="A17" s="9" t="s">
        <v>174</v>
      </c>
      <c r="B17" s="10" t="s">
        <v>16</v>
      </c>
      <c r="C17" s="11">
        <v>1</v>
      </c>
      <c r="D17" s="11"/>
      <c r="E17" s="11">
        <v>1</v>
      </c>
      <c r="F17" s="11"/>
      <c r="G17" s="2"/>
      <c r="H17" s="11">
        <v>1</v>
      </c>
      <c r="I17" s="2"/>
      <c r="J17" s="11">
        <v>1</v>
      </c>
      <c r="K17" s="11"/>
      <c r="L17" s="11">
        <v>1</v>
      </c>
      <c r="M17" s="11"/>
      <c r="N17" s="2"/>
      <c r="O17" s="11">
        <v>1</v>
      </c>
      <c r="P17" s="12"/>
      <c r="Q17" s="9">
        <v>1</v>
      </c>
      <c r="R17" s="9"/>
      <c r="S17" s="9">
        <v>1</v>
      </c>
      <c r="T17" s="9">
        <v>1</v>
      </c>
      <c r="U17" s="12"/>
      <c r="V17" s="9">
        <v>1</v>
      </c>
      <c r="W17" s="12"/>
      <c r="X17" s="9">
        <v>1</v>
      </c>
      <c r="Y17" s="9"/>
      <c r="Z17" s="11"/>
      <c r="AA17" s="11">
        <v>1</v>
      </c>
      <c r="AB17" s="2"/>
      <c r="AC17" s="11">
        <v>1</v>
      </c>
      <c r="AD17" s="3"/>
      <c r="AE17" s="11">
        <v>1</v>
      </c>
      <c r="AF17" s="11"/>
      <c r="AG17" s="13">
        <f t="shared" si="0"/>
        <v>14</v>
      </c>
      <c r="AH17" s="14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15" t="str">
        <f t="shared" si="1"/>
        <v>弼善</v>
      </c>
      <c r="AJ17" s="43" t="s">
        <v>201</v>
      </c>
    </row>
    <row r="18" spans="1:36" ht="18" customHeight="1">
      <c r="A18" s="9" t="s">
        <v>174</v>
      </c>
      <c r="B18" s="10" t="s">
        <v>62</v>
      </c>
      <c r="C18" s="11"/>
      <c r="D18" s="11"/>
      <c r="E18" s="11">
        <v>1</v>
      </c>
      <c r="F18" s="11"/>
      <c r="G18" s="2"/>
      <c r="H18" s="11"/>
      <c r="I18" s="2"/>
      <c r="J18" s="11">
        <v>1</v>
      </c>
      <c r="K18" s="11"/>
      <c r="L18" s="11"/>
      <c r="M18" s="11"/>
      <c r="N18" s="2"/>
      <c r="O18" s="11"/>
      <c r="P18" s="12"/>
      <c r="Q18" s="9">
        <v>1</v>
      </c>
      <c r="R18" s="9"/>
      <c r="S18" s="9">
        <v>1</v>
      </c>
      <c r="T18" s="9">
        <v>1</v>
      </c>
      <c r="U18" s="12"/>
      <c r="V18" s="9"/>
      <c r="W18" s="12"/>
      <c r="X18" s="9"/>
      <c r="Y18" s="9"/>
      <c r="Z18" s="11"/>
      <c r="AA18" s="11"/>
      <c r="AB18" s="2"/>
      <c r="AC18" s="11"/>
      <c r="AD18" s="3"/>
      <c r="AE18" s="11"/>
      <c r="AF18" s="11"/>
      <c r="AG18" s="13">
        <f t="shared" si="0"/>
        <v>5</v>
      </c>
      <c r="AH18" s="14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15" t="str">
        <f t="shared" si="1"/>
        <v>國源</v>
      </c>
      <c r="AJ18" s="17"/>
    </row>
    <row r="19" spans="1:36" ht="18" customHeight="1">
      <c r="A19" s="18" t="s">
        <v>174</v>
      </c>
      <c r="B19" s="19" t="s">
        <v>89</v>
      </c>
      <c r="C19" s="20"/>
      <c r="D19" s="20"/>
      <c r="E19" s="20">
        <v>1</v>
      </c>
      <c r="F19" s="20"/>
      <c r="G19" s="2"/>
      <c r="H19" s="20">
        <v>1</v>
      </c>
      <c r="I19" s="2"/>
      <c r="J19" s="20"/>
      <c r="K19" s="20"/>
      <c r="L19" s="20">
        <v>1</v>
      </c>
      <c r="M19" s="20"/>
      <c r="N19" s="2"/>
      <c r="O19" s="20">
        <v>1</v>
      </c>
      <c r="P19" s="12"/>
      <c r="Q19" s="18">
        <v>1</v>
      </c>
      <c r="R19" s="18"/>
      <c r="S19" s="18">
        <v>1</v>
      </c>
      <c r="T19" s="18">
        <v>1</v>
      </c>
      <c r="U19" s="12"/>
      <c r="V19" s="18">
        <v>1</v>
      </c>
      <c r="W19" s="12"/>
      <c r="X19" s="18">
        <v>1</v>
      </c>
      <c r="Y19" s="18">
        <v>1</v>
      </c>
      <c r="Z19" s="20">
        <v>1</v>
      </c>
      <c r="AA19" s="20">
        <v>1</v>
      </c>
      <c r="AB19" s="2"/>
      <c r="AC19" s="20">
        <v>1</v>
      </c>
      <c r="AD19" s="3"/>
      <c r="AE19" s="20">
        <v>1</v>
      </c>
      <c r="AF19" s="20"/>
      <c r="AG19" s="21">
        <f t="shared" si="0"/>
        <v>14</v>
      </c>
      <c r="AH19" s="22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23" t="str">
        <f t="shared" si="1"/>
        <v>泡芙</v>
      </c>
      <c r="AJ19" s="24" t="s">
        <v>201</v>
      </c>
    </row>
    <row r="20" spans="1:36" ht="18" customHeight="1">
      <c r="A20" s="18" t="s">
        <v>174</v>
      </c>
      <c r="B20" s="19" t="s">
        <v>90</v>
      </c>
      <c r="C20" s="20"/>
      <c r="D20" s="20"/>
      <c r="E20" s="20"/>
      <c r="F20" s="20"/>
      <c r="G20" s="2"/>
      <c r="H20" s="20">
        <v>1</v>
      </c>
      <c r="I20" s="2"/>
      <c r="J20" s="20">
        <v>1</v>
      </c>
      <c r="K20" s="20"/>
      <c r="L20" s="20">
        <v>1</v>
      </c>
      <c r="M20" s="20"/>
      <c r="N20" s="2"/>
      <c r="O20" s="20">
        <v>1</v>
      </c>
      <c r="P20" s="12"/>
      <c r="Q20" s="18">
        <v>1</v>
      </c>
      <c r="R20" s="18"/>
      <c r="S20" s="18">
        <v>1</v>
      </c>
      <c r="T20" s="18">
        <v>1</v>
      </c>
      <c r="U20" s="12"/>
      <c r="V20" s="18">
        <v>1</v>
      </c>
      <c r="W20" s="12"/>
      <c r="X20" s="18">
        <v>1</v>
      </c>
      <c r="Y20" s="18"/>
      <c r="Z20" s="20">
        <v>1</v>
      </c>
      <c r="AA20" s="20"/>
      <c r="AB20" s="2"/>
      <c r="AC20" s="20">
        <v>1</v>
      </c>
      <c r="AD20" s="3"/>
      <c r="AE20" s="20">
        <v>1</v>
      </c>
      <c r="AF20" s="20"/>
      <c r="AG20" s="21">
        <f t="shared" si="0"/>
        <v>12</v>
      </c>
      <c r="AH20" s="22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23" t="str">
        <f t="shared" si="1"/>
        <v>蓓蓓</v>
      </c>
      <c r="AJ20" s="24" t="s">
        <v>201</v>
      </c>
    </row>
    <row r="21" spans="1:36" ht="18" customHeight="1">
      <c r="A21" s="18" t="s">
        <v>174</v>
      </c>
      <c r="B21" s="19" t="s">
        <v>150</v>
      </c>
      <c r="C21" s="20">
        <v>1</v>
      </c>
      <c r="D21" s="20"/>
      <c r="E21" s="20">
        <v>1</v>
      </c>
      <c r="F21" s="20"/>
      <c r="G21" s="2"/>
      <c r="H21" s="20">
        <v>1</v>
      </c>
      <c r="I21" s="2"/>
      <c r="J21" s="20">
        <v>1</v>
      </c>
      <c r="K21" s="20"/>
      <c r="L21" s="20">
        <v>1</v>
      </c>
      <c r="M21" s="20"/>
      <c r="N21" s="2"/>
      <c r="O21" s="20">
        <v>1</v>
      </c>
      <c r="P21" s="12"/>
      <c r="Q21" s="18">
        <v>1</v>
      </c>
      <c r="R21" s="18"/>
      <c r="S21" s="18">
        <v>1</v>
      </c>
      <c r="T21" s="18"/>
      <c r="U21" s="12"/>
      <c r="V21" s="18">
        <v>1</v>
      </c>
      <c r="W21" s="12"/>
      <c r="X21" s="18">
        <v>1</v>
      </c>
      <c r="Y21" s="18">
        <v>1</v>
      </c>
      <c r="Z21" s="20"/>
      <c r="AA21" s="20"/>
      <c r="AB21" s="2"/>
      <c r="AC21" s="20"/>
      <c r="AD21" s="3"/>
      <c r="AE21" s="20">
        <v>1</v>
      </c>
      <c r="AF21" s="20"/>
      <c r="AG21" s="21">
        <f t="shared" si="0"/>
        <v>12</v>
      </c>
      <c r="AH21" s="22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23" t="str">
        <f t="shared" si="1"/>
        <v>高麗菜</v>
      </c>
      <c r="AJ21" s="24" t="s">
        <v>201</v>
      </c>
    </row>
    <row r="22" spans="1:36" ht="18" customHeight="1">
      <c r="A22" s="18" t="s">
        <v>174</v>
      </c>
      <c r="B22" s="19" t="s">
        <v>164</v>
      </c>
      <c r="C22" s="20"/>
      <c r="D22" s="20"/>
      <c r="E22" s="20"/>
      <c r="F22" s="20"/>
      <c r="G22" s="2"/>
      <c r="H22" s="20"/>
      <c r="I22" s="2"/>
      <c r="J22" s="20"/>
      <c r="K22" s="20"/>
      <c r="L22" s="20"/>
      <c r="M22" s="20"/>
      <c r="N22" s="2"/>
      <c r="O22" s="20"/>
      <c r="P22" s="12"/>
      <c r="Q22" s="18"/>
      <c r="R22" s="18"/>
      <c r="S22" s="18"/>
      <c r="T22" s="18"/>
      <c r="U22" s="12"/>
      <c r="V22" s="18"/>
      <c r="W22" s="12"/>
      <c r="X22" s="18"/>
      <c r="Y22" s="18"/>
      <c r="Z22" s="20"/>
      <c r="AA22" s="20"/>
      <c r="AB22" s="2"/>
      <c r="AC22" s="20"/>
      <c r="AD22" s="3"/>
      <c r="AE22" s="20"/>
      <c r="AF22" s="20"/>
      <c r="AG22" s="21">
        <f t="shared" si="0"/>
        <v>0</v>
      </c>
      <c r="AH22" s="22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23" t="str">
        <f t="shared" si="1"/>
        <v>小菜</v>
      </c>
      <c r="AJ22" s="25"/>
    </row>
    <row r="23" spans="1:36" ht="18" customHeight="1">
      <c r="A23" s="18" t="s">
        <v>174</v>
      </c>
      <c r="B23" s="19" t="s">
        <v>94</v>
      </c>
      <c r="C23" s="20"/>
      <c r="D23" s="20"/>
      <c r="E23" s="20"/>
      <c r="F23" s="20"/>
      <c r="G23" s="2"/>
      <c r="H23" s="20">
        <v>1</v>
      </c>
      <c r="I23" s="2"/>
      <c r="J23" s="20">
        <v>1</v>
      </c>
      <c r="K23" s="20"/>
      <c r="L23" s="20">
        <v>1</v>
      </c>
      <c r="M23" s="20"/>
      <c r="N23" s="2"/>
      <c r="O23" s="20">
        <v>1</v>
      </c>
      <c r="P23" s="12"/>
      <c r="Q23" s="18">
        <v>1</v>
      </c>
      <c r="R23" s="18"/>
      <c r="S23" s="18"/>
      <c r="T23" s="18"/>
      <c r="U23" s="12"/>
      <c r="V23" s="18">
        <v>1</v>
      </c>
      <c r="W23" s="12"/>
      <c r="X23" s="18">
        <v>1</v>
      </c>
      <c r="Y23" s="18"/>
      <c r="Z23" s="20">
        <v>1</v>
      </c>
      <c r="AA23" s="20"/>
      <c r="AB23" s="2"/>
      <c r="AC23" s="20">
        <v>1</v>
      </c>
      <c r="AD23" s="3"/>
      <c r="AE23" s="20">
        <v>1</v>
      </c>
      <c r="AF23" s="20"/>
      <c r="AG23" s="21">
        <f t="shared" si="0"/>
        <v>10</v>
      </c>
      <c r="AH23" s="22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23" t="str">
        <f t="shared" si="1"/>
        <v>小花</v>
      </c>
      <c r="AJ23" s="44" t="s">
        <v>201</v>
      </c>
    </row>
    <row r="24" spans="1:36" ht="18" customHeight="1">
      <c r="A24" s="18" t="s">
        <v>174</v>
      </c>
      <c r="B24" s="19" t="s">
        <v>102</v>
      </c>
      <c r="C24" s="20"/>
      <c r="D24" s="20"/>
      <c r="E24" s="20"/>
      <c r="F24" s="20"/>
      <c r="G24" s="2"/>
      <c r="H24" s="20"/>
      <c r="I24" s="2"/>
      <c r="J24" s="20"/>
      <c r="K24" s="20"/>
      <c r="L24" s="20"/>
      <c r="M24" s="20"/>
      <c r="N24" s="2"/>
      <c r="O24" s="20"/>
      <c r="P24" s="12"/>
      <c r="Q24" s="18"/>
      <c r="R24" s="18"/>
      <c r="S24" s="18"/>
      <c r="T24" s="18"/>
      <c r="U24" s="12"/>
      <c r="V24" s="18"/>
      <c r="W24" s="12"/>
      <c r="X24" s="18"/>
      <c r="Y24" s="18"/>
      <c r="Z24" s="20"/>
      <c r="AA24" s="20"/>
      <c r="AB24" s="2"/>
      <c r="AC24" s="20"/>
      <c r="AD24" s="3"/>
      <c r="AE24" s="20"/>
      <c r="AF24" s="20"/>
      <c r="AG24" s="21">
        <f t="shared" si="0"/>
        <v>0</v>
      </c>
      <c r="AH24" s="22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23" t="str">
        <f t="shared" si="1"/>
        <v>妮妮</v>
      </c>
      <c r="AJ24" s="24"/>
    </row>
    <row r="25" spans="1:36" ht="18" customHeight="1">
      <c r="A25" s="18" t="s">
        <v>174</v>
      </c>
      <c r="B25" s="19" t="s">
        <v>165</v>
      </c>
      <c r="C25" s="20">
        <v>1</v>
      </c>
      <c r="D25" s="20"/>
      <c r="E25" s="20">
        <v>1</v>
      </c>
      <c r="F25" s="20"/>
      <c r="G25" s="2"/>
      <c r="H25" s="20">
        <v>1</v>
      </c>
      <c r="I25" s="2"/>
      <c r="J25" s="20">
        <v>1</v>
      </c>
      <c r="K25" s="20"/>
      <c r="L25" s="20">
        <v>1</v>
      </c>
      <c r="M25" s="20"/>
      <c r="N25" s="2"/>
      <c r="O25" s="20">
        <v>1</v>
      </c>
      <c r="P25" s="12"/>
      <c r="Q25" s="18">
        <v>1</v>
      </c>
      <c r="R25" s="18"/>
      <c r="S25" s="18">
        <v>1</v>
      </c>
      <c r="T25" s="18">
        <v>1</v>
      </c>
      <c r="U25" s="12"/>
      <c r="V25" s="18">
        <v>1</v>
      </c>
      <c r="W25" s="12"/>
      <c r="X25" s="18">
        <v>1</v>
      </c>
      <c r="Y25" s="18"/>
      <c r="Z25" s="20">
        <v>1</v>
      </c>
      <c r="AA25" s="20"/>
      <c r="AB25" s="2"/>
      <c r="AC25" s="20">
        <v>1</v>
      </c>
      <c r="AD25" s="3"/>
      <c r="AE25" s="20">
        <v>1</v>
      </c>
      <c r="AF25" s="20"/>
      <c r="AG25" s="21">
        <f t="shared" si="0"/>
        <v>14</v>
      </c>
      <c r="AH25" s="22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23" t="str">
        <f t="shared" si="1"/>
        <v>小貓</v>
      </c>
      <c r="AJ25" s="44" t="s">
        <v>201</v>
      </c>
    </row>
    <row r="26" spans="1:36" ht="18" customHeight="1">
      <c r="A26" s="18" t="s">
        <v>174</v>
      </c>
      <c r="B26" s="19" t="s">
        <v>166</v>
      </c>
      <c r="C26" s="20"/>
      <c r="D26" s="20"/>
      <c r="E26" s="20"/>
      <c r="F26" s="20"/>
      <c r="G26" s="2"/>
      <c r="H26" s="20"/>
      <c r="I26" s="2"/>
      <c r="J26" s="20"/>
      <c r="K26" s="20"/>
      <c r="L26" s="20"/>
      <c r="M26" s="20"/>
      <c r="N26" s="2"/>
      <c r="O26" s="20"/>
      <c r="P26" s="12"/>
      <c r="Q26" s="18"/>
      <c r="R26" s="18"/>
      <c r="S26" s="18"/>
      <c r="T26" s="18"/>
      <c r="U26" s="12"/>
      <c r="V26" s="18"/>
      <c r="W26" s="12"/>
      <c r="X26" s="18"/>
      <c r="Y26" s="18"/>
      <c r="Z26" s="20"/>
      <c r="AA26" s="20"/>
      <c r="AB26" s="2"/>
      <c r="AC26" s="20"/>
      <c r="AD26" s="3"/>
      <c r="AE26" s="20"/>
      <c r="AF26" s="20"/>
      <c r="AG26" s="21">
        <f t="shared" si="0"/>
        <v>0</v>
      </c>
      <c r="AH26" s="22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23" t="str">
        <f t="shared" si="1"/>
        <v>哈比</v>
      </c>
      <c r="AJ26" s="24"/>
    </row>
    <row r="27" spans="1:36" ht="18" customHeight="1">
      <c r="A27" s="18" t="s">
        <v>174</v>
      </c>
      <c r="B27" s="19" t="s">
        <v>91</v>
      </c>
      <c r="C27" s="20"/>
      <c r="D27" s="20">
        <v>1</v>
      </c>
      <c r="E27" s="20">
        <v>1</v>
      </c>
      <c r="F27" s="20"/>
      <c r="G27" s="2"/>
      <c r="H27" s="20">
        <v>1</v>
      </c>
      <c r="I27" s="2"/>
      <c r="J27" s="20">
        <v>1</v>
      </c>
      <c r="K27" s="20">
        <v>1</v>
      </c>
      <c r="L27" s="20">
        <v>1</v>
      </c>
      <c r="M27" s="20"/>
      <c r="N27" s="2"/>
      <c r="O27" s="20">
        <v>1</v>
      </c>
      <c r="P27" s="12"/>
      <c r="Q27" s="18">
        <v>1</v>
      </c>
      <c r="R27" s="18"/>
      <c r="S27" s="18">
        <v>1</v>
      </c>
      <c r="T27" s="18"/>
      <c r="U27" s="12"/>
      <c r="V27" s="18">
        <v>1</v>
      </c>
      <c r="W27" s="12"/>
      <c r="X27" s="18"/>
      <c r="Y27" s="18"/>
      <c r="Z27" s="20"/>
      <c r="AA27" s="20">
        <v>1</v>
      </c>
      <c r="AB27" s="2"/>
      <c r="AC27" s="20">
        <v>1</v>
      </c>
      <c r="AD27" s="3"/>
      <c r="AE27" s="20">
        <v>1</v>
      </c>
      <c r="AF27" s="20"/>
      <c r="AG27" s="21">
        <f t="shared" si="0"/>
        <v>13</v>
      </c>
      <c r="AH27" s="22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23" t="str">
        <f t="shared" si="1"/>
        <v>柔柔</v>
      </c>
      <c r="AJ27" s="24"/>
    </row>
    <row r="28" spans="1:36" ht="18" customHeight="1">
      <c r="A28" s="18" t="s">
        <v>174</v>
      </c>
      <c r="B28" s="19" t="s">
        <v>176</v>
      </c>
      <c r="C28" s="20"/>
      <c r="D28" s="20"/>
      <c r="E28" s="20"/>
      <c r="F28" s="20"/>
      <c r="G28" s="2"/>
      <c r="H28" s="20"/>
      <c r="I28" s="2"/>
      <c r="J28" s="20"/>
      <c r="K28" s="20"/>
      <c r="L28" s="20"/>
      <c r="M28" s="20"/>
      <c r="N28" s="2"/>
      <c r="O28" s="20"/>
      <c r="P28" s="12"/>
      <c r="Q28" s="18"/>
      <c r="R28" s="18"/>
      <c r="S28" s="18"/>
      <c r="T28" s="18"/>
      <c r="U28" s="12"/>
      <c r="V28" s="18"/>
      <c r="W28" s="12"/>
      <c r="X28" s="18"/>
      <c r="Y28" s="18"/>
      <c r="Z28" s="20"/>
      <c r="AA28" s="20"/>
      <c r="AB28" s="2"/>
      <c r="AC28" s="20"/>
      <c r="AD28" s="3"/>
      <c r="AE28" s="20"/>
      <c r="AF28" s="20"/>
      <c r="AG28" s="21">
        <f t="shared" si="0"/>
        <v>0</v>
      </c>
      <c r="AH28" s="22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23" t="str">
        <f t="shared" si="1"/>
        <v>芮芮</v>
      </c>
      <c r="AJ28" s="25"/>
    </row>
    <row r="29" spans="1:36" ht="18" customHeight="1">
      <c r="A29" s="18" t="s">
        <v>174</v>
      </c>
      <c r="B29" s="19" t="s">
        <v>123</v>
      </c>
      <c r="C29" s="20"/>
      <c r="D29" s="20">
        <v>1</v>
      </c>
      <c r="E29" s="20"/>
      <c r="F29" s="20"/>
      <c r="G29" s="2"/>
      <c r="H29" s="20">
        <v>1</v>
      </c>
      <c r="I29" s="2"/>
      <c r="J29" s="20"/>
      <c r="K29" s="20">
        <v>1</v>
      </c>
      <c r="L29" s="20"/>
      <c r="M29" s="20"/>
      <c r="N29" s="2"/>
      <c r="O29" s="20">
        <v>1</v>
      </c>
      <c r="P29" s="12"/>
      <c r="Q29" s="18"/>
      <c r="R29" s="18"/>
      <c r="S29" s="18"/>
      <c r="T29" s="18"/>
      <c r="U29" s="12"/>
      <c r="V29" s="18">
        <v>1</v>
      </c>
      <c r="W29" s="12"/>
      <c r="X29" s="18"/>
      <c r="Y29" s="18">
        <v>1</v>
      </c>
      <c r="Z29" s="20"/>
      <c r="AA29" s="20"/>
      <c r="AB29" s="2"/>
      <c r="AC29" s="20">
        <v>1</v>
      </c>
      <c r="AD29" s="3"/>
      <c r="AE29" s="20"/>
      <c r="AF29" s="20"/>
      <c r="AG29" s="21">
        <f t="shared" si="0"/>
        <v>7</v>
      </c>
      <c r="AH29" s="22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23" t="str">
        <f t="shared" si="1"/>
        <v>瑤瑤</v>
      </c>
      <c r="AJ29" s="24"/>
    </row>
    <row r="30" spans="1:36" ht="18" customHeight="1">
      <c r="A30" s="18" t="s">
        <v>174</v>
      </c>
      <c r="B30" s="19" t="s">
        <v>147</v>
      </c>
      <c r="C30" s="20">
        <v>1</v>
      </c>
      <c r="D30" s="20"/>
      <c r="E30" s="20">
        <v>1</v>
      </c>
      <c r="F30" s="20"/>
      <c r="G30" s="2"/>
      <c r="H30" s="20">
        <v>1</v>
      </c>
      <c r="I30" s="2"/>
      <c r="J30" s="20">
        <v>1</v>
      </c>
      <c r="K30" s="20">
        <v>1</v>
      </c>
      <c r="L30" s="20"/>
      <c r="M30" s="20"/>
      <c r="N30" s="2"/>
      <c r="O30" s="20">
        <v>1</v>
      </c>
      <c r="P30" s="12"/>
      <c r="Q30" s="18">
        <v>1</v>
      </c>
      <c r="R30" s="18"/>
      <c r="S30" s="18">
        <v>1</v>
      </c>
      <c r="T30" s="18">
        <v>1</v>
      </c>
      <c r="U30" s="12"/>
      <c r="V30" s="18">
        <v>1</v>
      </c>
      <c r="W30" s="12"/>
      <c r="X30" s="18">
        <v>1</v>
      </c>
      <c r="Y30" s="18">
        <v>1</v>
      </c>
      <c r="Z30" s="20">
        <v>1</v>
      </c>
      <c r="AA30" s="20">
        <v>1</v>
      </c>
      <c r="AB30" s="2"/>
      <c r="AC30" s="20"/>
      <c r="AD30" s="3"/>
      <c r="AE30" s="20"/>
      <c r="AF30" s="20"/>
      <c r="AG30" s="21">
        <f t="shared" si="0"/>
        <v>14</v>
      </c>
      <c r="AH30" s="22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23" t="str">
        <f t="shared" si="1"/>
        <v>湘苡</v>
      </c>
      <c r="AJ30" s="44" t="s">
        <v>201</v>
      </c>
    </row>
    <row r="31" spans="1:36" ht="18" customHeight="1">
      <c r="A31" s="18" t="s">
        <v>174</v>
      </c>
      <c r="B31" s="19" t="s">
        <v>93</v>
      </c>
      <c r="C31" s="20"/>
      <c r="D31" s="20"/>
      <c r="E31" s="20"/>
      <c r="F31" s="20"/>
      <c r="G31" s="2"/>
      <c r="H31" s="20"/>
      <c r="I31" s="2"/>
      <c r="J31" s="20"/>
      <c r="K31" s="20"/>
      <c r="L31" s="20"/>
      <c r="M31" s="20"/>
      <c r="N31" s="2"/>
      <c r="O31" s="20"/>
      <c r="P31" s="12"/>
      <c r="Q31" s="18"/>
      <c r="R31" s="18"/>
      <c r="S31" s="18"/>
      <c r="T31" s="18"/>
      <c r="U31" s="12"/>
      <c r="V31" s="18"/>
      <c r="W31" s="12"/>
      <c r="X31" s="18"/>
      <c r="Y31" s="18"/>
      <c r="Z31" s="20"/>
      <c r="AA31" s="20"/>
      <c r="AB31" s="2"/>
      <c r="AC31" s="20"/>
      <c r="AD31" s="3"/>
      <c r="AE31" s="20"/>
      <c r="AF31" s="20"/>
      <c r="AG31" s="21">
        <f t="shared" si="0"/>
        <v>0</v>
      </c>
      <c r="AH31" s="22">
        <v>800</v>
      </c>
      <c r="AI31" s="23" t="str">
        <f t="shared" si="1"/>
        <v>冠婷</v>
      </c>
      <c r="AJ31" s="24" t="s">
        <v>201</v>
      </c>
    </row>
    <row r="32" spans="1:36" ht="18" customHeight="1">
      <c r="A32" s="18" t="s">
        <v>174</v>
      </c>
      <c r="B32" s="19" t="s">
        <v>149</v>
      </c>
      <c r="C32" s="20">
        <v>1</v>
      </c>
      <c r="D32" s="20"/>
      <c r="E32" s="20"/>
      <c r="F32" s="20"/>
      <c r="G32" s="2"/>
      <c r="H32" s="20"/>
      <c r="I32" s="2"/>
      <c r="J32" s="20"/>
      <c r="K32" s="20"/>
      <c r="L32" s="20"/>
      <c r="M32" s="20"/>
      <c r="N32" s="2"/>
      <c r="O32" s="20">
        <v>1</v>
      </c>
      <c r="P32" s="12"/>
      <c r="Q32" s="18"/>
      <c r="R32" s="18"/>
      <c r="S32" s="18"/>
      <c r="T32" s="18"/>
      <c r="U32" s="12"/>
      <c r="V32" s="18"/>
      <c r="W32" s="12"/>
      <c r="X32" s="18"/>
      <c r="Y32" s="18"/>
      <c r="Z32" s="20"/>
      <c r="AA32" s="20"/>
      <c r="AB32" s="2"/>
      <c r="AC32" s="20">
        <v>1</v>
      </c>
      <c r="AD32" s="3"/>
      <c r="AE32" s="20"/>
      <c r="AF32" s="20"/>
      <c r="AG32" s="21">
        <f t="shared" si="0"/>
        <v>3</v>
      </c>
      <c r="AH32" s="22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23" t="str">
        <f t="shared" si="1"/>
        <v>晏寧</v>
      </c>
      <c r="AJ32" s="24"/>
    </row>
    <row r="33" spans="1:36" ht="18" customHeight="1">
      <c r="A33" s="18" t="s">
        <v>174</v>
      </c>
      <c r="B33" s="19" t="s">
        <v>146</v>
      </c>
      <c r="C33" s="20"/>
      <c r="D33" s="20"/>
      <c r="E33" s="20"/>
      <c r="F33" s="20"/>
      <c r="G33" s="2"/>
      <c r="H33" s="20"/>
      <c r="I33" s="2"/>
      <c r="J33" s="20"/>
      <c r="K33" s="20"/>
      <c r="L33" s="20">
        <v>1</v>
      </c>
      <c r="M33" s="20"/>
      <c r="N33" s="2"/>
      <c r="O33" s="20">
        <v>1</v>
      </c>
      <c r="P33" s="12"/>
      <c r="Q33" s="18"/>
      <c r="R33" s="18"/>
      <c r="S33" s="18"/>
      <c r="T33" s="18">
        <v>1</v>
      </c>
      <c r="U33" s="12"/>
      <c r="V33" s="18"/>
      <c r="W33" s="12"/>
      <c r="X33" s="18"/>
      <c r="Y33" s="18">
        <v>1</v>
      </c>
      <c r="Z33" s="20">
        <v>1</v>
      </c>
      <c r="AA33" s="20"/>
      <c r="AB33" s="2"/>
      <c r="AC33" s="20">
        <v>1</v>
      </c>
      <c r="AD33" s="3"/>
      <c r="AE33" s="20"/>
      <c r="AF33" s="20"/>
      <c r="AG33" s="21">
        <f t="shared" si="0"/>
        <v>6</v>
      </c>
      <c r="AH33" s="22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23" t="str">
        <f t="shared" si="1"/>
        <v>飛飛</v>
      </c>
      <c r="AJ33" s="24"/>
    </row>
    <row r="34" spans="1:36" ht="18" customHeight="1">
      <c r="A34" s="26" t="s">
        <v>174</v>
      </c>
      <c r="B34" s="27" t="s">
        <v>116</v>
      </c>
      <c r="C34" s="28">
        <v>1</v>
      </c>
      <c r="D34" s="28"/>
      <c r="E34" s="28">
        <v>1</v>
      </c>
      <c r="F34" s="28"/>
      <c r="G34" s="2"/>
      <c r="H34" s="28">
        <v>1</v>
      </c>
      <c r="I34" s="2"/>
      <c r="J34" s="28"/>
      <c r="K34" s="28">
        <v>1</v>
      </c>
      <c r="L34" s="28">
        <v>1</v>
      </c>
      <c r="M34" s="28"/>
      <c r="N34" s="2"/>
      <c r="O34" s="28">
        <v>1</v>
      </c>
      <c r="P34" s="12"/>
      <c r="Q34" s="26"/>
      <c r="R34" s="26"/>
      <c r="S34" s="26">
        <v>1</v>
      </c>
      <c r="T34" s="26">
        <v>1</v>
      </c>
      <c r="U34" s="12"/>
      <c r="V34" s="26">
        <v>1</v>
      </c>
      <c r="W34" s="12"/>
      <c r="X34" s="26">
        <v>1</v>
      </c>
      <c r="Y34" s="26">
        <v>1</v>
      </c>
      <c r="Z34" s="28">
        <v>1</v>
      </c>
      <c r="AA34" s="28"/>
      <c r="AB34" s="2"/>
      <c r="AC34" s="28">
        <v>1</v>
      </c>
      <c r="AD34" s="3"/>
      <c r="AE34" s="28">
        <v>1</v>
      </c>
      <c r="AF34" s="28"/>
      <c r="AG34" s="29">
        <f t="shared" si="0"/>
        <v>14</v>
      </c>
      <c r="AH34" s="30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31" t="str">
        <f t="shared" si="1"/>
        <v>大汪</v>
      </c>
      <c r="AJ34" s="32"/>
    </row>
    <row r="35" spans="1:36" ht="18" customHeight="1">
      <c r="A35" s="26" t="s">
        <v>174</v>
      </c>
      <c r="B35" s="27" t="s">
        <v>118</v>
      </c>
      <c r="C35" s="28"/>
      <c r="D35" s="28">
        <v>1</v>
      </c>
      <c r="E35" s="28"/>
      <c r="F35" s="28"/>
      <c r="G35" s="2"/>
      <c r="H35" s="28"/>
      <c r="I35" s="2"/>
      <c r="J35" s="28"/>
      <c r="K35" s="28"/>
      <c r="L35" s="28"/>
      <c r="M35" s="28"/>
      <c r="N35" s="2"/>
      <c r="O35" s="28">
        <v>1</v>
      </c>
      <c r="P35" s="12"/>
      <c r="Q35" s="26"/>
      <c r="R35" s="26"/>
      <c r="S35" s="26"/>
      <c r="T35" s="26"/>
      <c r="U35" s="12"/>
      <c r="V35" s="26">
        <v>1</v>
      </c>
      <c r="W35" s="12"/>
      <c r="X35" s="26">
        <v>1</v>
      </c>
      <c r="Y35" s="26">
        <v>1</v>
      </c>
      <c r="Z35" s="28"/>
      <c r="AA35" s="28"/>
      <c r="AB35" s="2"/>
      <c r="AC35" s="28">
        <v>1</v>
      </c>
      <c r="AD35" s="3"/>
      <c r="AE35" s="28"/>
      <c r="AF35" s="28"/>
      <c r="AG35" s="29">
        <f t="shared" si="0"/>
        <v>6</v>
      </c>
      <c r="AH35" s="30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31" t="str">
        <f t="shared" si="1"/>
        <v>雅筑</v>
      </c>
      <c r="AJ35" s="32"/>
    </row>
    <row r="36" spans="1:36" ht="18" customHeight="1">
      <c r="A36" s="26" t="s">
        <v>174</v>
      </c>
      <c r="B36" s="27" t="s">
        <v>141</v>
      </c>
      <c r="C36" s="28"/>
      <c r="D36" s="28"/>
      <c r="E36" s="28"/>
      <c r="F36" s="28"/>
      <c r="G36" s="2"/>
      <c r="H36" s="28"/>
      <c r="I36" s="2"/>
      <c r="J36" s="28"/>
      <c r="K36" s="28"/>
      <c r="L36" s="28"/>
      <c r="M36" s="28"/>
      <c r="N36" s="2"/>
      <c r="O36" s="28"/>
      <c r="P36" s="12"/>
      <c r="Q36" s="26"/>
      <c r="R36" s="26"/>
      <c r="S36" s="26"/>
      <c r="T36" s="26"/>
      <c r="U36" s="12"/>
      <c r="V36" s="26"/>
      <c r="W36" s="12"/>
      <c r="X36" s="26"/>
      <c r="Y36" s="26"/>
      <c r="Z36" s="28"/>
      <c r="AA36" s="28"/>
      <c r="AB36" s="2"/>
      <c r="AC36" s="28"/>
      <c r="AD36" s="3"/>
      <c r="AE36" s="28"/>
      <c r="AF36" s="28"/>
      <c r="AG36" s="29">
        <f t="shared" ref="AG36:AG67" si="2">COUNTA(C36:AF36)</f>
        <v>0</v>
      </c>
      <c r="AH36" s="30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31" t="str">
        <f t="shared" ref="AI36:AI67" si="3">B36</f>
        <v>Cindy</v>
      </c>
      <c r="AJ36" s="32"/>
    </row>
    <row r="37" spans="1:36" ht="18" customHeight="1">
      <c r="A37" s="26" t="s">
        <v>174</v>
      </c>
      <c r="B37" s="27" t="s">
        <v>103</v>
      </c>
      <c r="C37" s="28"/>
      <c r="D37" s="28">
        <v>1</v>
      </c>
      <c r="E37" s="28">
        <v>1</v>
      </c>
      <c r="F37" s="28"/>
      <c r="G37" s="2"/>
      <c r="H37" s="28"/>
      <c r="I37" s="2"/>
      <c r="J37" s="28"/>
      <c r="K37" s="28">
        <v>1</v>
      </c>
      <c r="L37" s="28">
        <v>1</v>
      </c>
      <c r="M37" s="28"/>
      <c r="N37" s="2"/>
      <c r="O37" s="28">
        <v>1</v>
      </c>
      <c r="P37" s="12"/>
      <c r="Q37" s="26"/>
      <c r="R37" s="26"/>
      <c r="S37" s="26">
        <v>1</v>
      </c>
      <c r="T37" s="26"/>
      <c r="U37" s="12"/>
      <c r="V37" s="26">
        <v>1</v>
      </c>
      <c r="W37" s="12"/>
      <c r="X37" s="26"/>
      <c r="Y37" s="26">
        <v>1</v>
      </c>
      <c r="Z37" s="28"/>
      <c r="AA37" s="28"/>
      <c r="AB37" s="2"/>
      <c r="AC37" s="28">
        <v>1</v>
      </c>
      <c r="AD37" s="3"/>
      <c r="AE37" s="28">
        <v>1</v>
      </c>
      <c r="AF37" s="28"/>
      <c r="AG37" s="29">
        <f t="shared" si="2"/>
        <v>10</v>
      </c>
      <c r="AH37" s="30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31" t="str">
        <f t="shared" si="3"/>
        <v>圈圈</v>
      </c>
      <c r="AJ37" s="33"/>
    </row>
    <row r="38" spans="1:36" ht="18" customHeight="1">
      <c r="A38" s="26" t="s">
        <v>174</v>
      </c>
      <c r="B38" s="27" t="s">
        <v>120</v>
      </c>
      <c r="C38" s="28"/>
      <c r="D38" s="28">
        <v>1</v>
      </c>
      <c r="E38" s="28"/>
      <c r="F38" s="28"/>
      <c r="G38" s="2"/>
      <c r="H38" s="28">
        <v>1</v>
      </c>
      <c r="I38" s="2"/>
      <c r="J38" s="28">
        <v>1</v>
      </c>
      <c r="K38" s="28">
        <v>1</v>
      </c>
      <c r="L38" s="28"/>
      <c r="M38" s="28"/>
      <c r="N38" s="2"/>
      <c r="O38" s="28">
        <v>1</v>
      </c>
      <c r="P38" s="12"/>
      <c r="Q38" s="26">
        <v>1</v>
      </c>
      <c r="R38" s="26"/>
      <c r="S38" s="26"/>
      <c r="T38" s="26"/>
      <c r="U38" s="12"/>
      <c r="V38" s="26">
        <v>1</v>
      </c>
      <c r="W38" s="12"/>
      <c r="X38" s="26"/>
      <c r="Y38" s="26">
        <v>1</v>
      </c>
      <c r="Z38" s="28"/>
      <c r="AA38" s="28"/>
      <c r="AB38" s="2"/>
      <c r="AC38" s="28">
        <v>1</v>
      </c>
      <c r="AD38" s="3"/>
      <c r="AE38" s="28"/>
      <c r="AF38" s="28"/>
      <c r="AG38" s="29">
        <f t="shared" si="2"/>
        <v>9</v>
      </c>
      <c r="AH38" s="30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31" t="str">
        <f t="shared" si="3"/>
        <v>品君</v>
      </c>
      <c r="AJ38" s="33"/>
    </row>
    <row r="39" spans="1:36" ht="18" customHeight="1">
      <c r="A39" s="26" t="s">
        <v>174</v>
      </c>
      <c r="B39" s="27" t="s">
        <v>142</v>
      </c>
      <c r="C39" s="28"/>
      <c r="D39" s="28"/>
      <c r="E39" s="28"/>
      <c r="F39" s="28"/>
      <c r="G39" s="2"/>
      <c r="H39" s="28"/>
      <c r="I39" s="2"/>
      <c r="J39" s="28"/>
      <c r="K39" s="28"/>
      <c r="L39" s="28"/>
      <c r="M39" s="28"/>
      <c r="N39" s="2"/>
      <c r="O39" s="28">
        <v>1</v>
      </c>
      <c r="P39" s="12"/>
      <c r="Q39" s="26"/>
      <c r="R39" s="26"/>
      <c r="S39" s="26"/>
      <c r="T39" s="26"/>
      <c r="U39" s="12"/>
      <c r="V39" s="26">
        <v>1</v>
      </c>
      <c r="W39" s="12"/>
      <c r="X39" s="26"/>
      <c r="Y39" s="26"/>
      <c r="Z39" s="28"/>
      <c r="AA39" s="28"/>
      <c r="AB39" s="2"/>
      <c r="AC39" s="28">
        <v>1</v>
      </c>
      <c r="AD39" s="3"/>
      <c r="AE39" s="28"/>
      <c r="AF39" s="28"/>
      <c r="AG39" s="29">
        <f t="shared" si="2"/>
        <v>3</v>
      </c>
      <c r="AH39" s="30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31" t="str">
        <f t="shared" si="3"/>
        <v>如靜</v>
      </c>
      <c r="AJ39" s="33"/>
    </row>
    <row r="40" spans="1:36" ht="18" customHeight="1">
      <c r="A40" s="26" t="s">
        <v>174</v>
      </c>
      <c r="B40" s="27" t="s">
        <v>143</v>
      </c>
      <c r="C40" s="28"/>
      <c r="D40" s="28"/>
      <c r="E40" s="28">
        <v>1</v>
      </c>
      <c r="F40" s="28"/>
      <c r="G40" s="2"/>
      <c r="H40" s="28"/>
      <c r="I40" s="2"/>
      <c r="J40" s="28"/>
      <c r="K40" s="28"/>
      <c r="L40" s="28"/>
      <c r="M40" s="28"/>
      <c r="N40" s="2"/>
      <c r="O40" s="28">
        <v>1</v>
      </c>
      <c r="P40" s="12"/>
      <c r="Q40" s="26"/>
      <c r="R40" s="26"/>
      <c r="S40" s="26"/>
      <c r="T40" s="26"/>
      <c r="U40" s="12"/>
      <c r="V40" s="26"/>
      <c r="W40" s="12"/>
      <c r="X40" s="26"/>
      <c r="Y40" s="26"/>
      <c r="Z40" s="28"/>
      <c r="AA40" s="28"/>
      <c r="AB40" s="2"/>
      <c r="AC40" s="28"/>
      <c r="AD40" s="3"/>
      <c r="AE40" s="28"/>
      <c r="AF40" s="28"/>
      <c r="AG40" s="29">
        <f t="shared" si="2"/>
        <v>2</v>
      </c>
      <c r="AH40" s="30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31" t="str">
        <f t="shared" si="3"/>
        <v>毓玫</v>
      </c>
      <c r="AJ40" s="33"/>
    </row>
    <row r="41" spans="1:36" ht="18" customHeight="1">
      <c r="A41" s="26" t="s">
        <v>174</v>
      </c>
      <c r="B41" s="27" t="s">
        <v>144</v>
      </c>
      <c r="C41" s="28"/>
      <c r="D41" s="28">
        <v>1</v>
      </c>
      <c r="E41" s="28"/>
      <c r="F41" s="28"/>
      <c r="G41" s="2"/>
      <c r="H41" s="28"/>
      <c r="I41" s="2"/>
      <c r="J41" s="28"/>
      <c r="K41" s="28">
        <v>1</v>
      </c>
      <c r="L41" s="28"/>
      <c r="M41" s="28"/>
      <c r="N41" s="2"/>
      <c r="O41" s="28">
        <v>1</v>
      </c>
      <c r="P41" s="12"/>
      <c r="Q41" s="26"/>
      <c r="R41" s="26"/>
      <c r="S41" s="26"/>
      <c r="T41" s="26"/>
      <c r="U41" s="12"/>
      <c r="V41" s="26">
        <v>1</v>
      </c>
      <c r="W41" s="12"/>
      <c r="X41" s="26"/>
      <c r="Y41" s="26"/>
      <c r="Z41" s="28"/>
      <c r="AA41" s="28"/>
      <c r="AB41" s="2"/>
      <c r="AC41" s="28">
        <v>1</v>
      </c>
      <c r="AD41" s="3"/>
      <c r="AE41" s="28"/>
      <c r="AF41" s="28"/>
      <c r="AG41" s="29">
        <f t="shared" si="2"/>
        <v>5</v>
      </c>
      <c r="AH41" s="30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31" t="str">
        <f t="shared" si="3"/>
        <v>美枝</v>
      </c>
      <c r="AJ41" s="32"/>
    </row>
    <row r="42" spans="1:36" ht="18" customHeight="1">
      <c r="A42" s="26" t="s">
        <v>174</v>
      </c>
      <c r="B42" s="27" t="s">
        <v>145</v>
      </c>
      <c r="C42" s="28"/>
      <c r="D42" s="28">
        <v>1</v>
      </c>
      <c r="E42" s="28"/>
      <c r="F42" s="28"/>
      <c r="G42" s="2"/>
      <c r="H42" s="28"/>
      <c r="I42" s="2"/>
      <c r="J42" s="28"/>
      <c r="K42" s="28">
        <v>1</v>
      </c>
      <c r="L42" s="28"/>
      <c r="M42" s="28"/>
      <c r="N42" s="2"/>
      <c r="O42" s="28">
        <v>1</v>
      </c>
      <c r="P42" s="12"/>
      <c r="Q42" s="26"/>
      <c r="R42" s="26"/>
      <c r="S42" s="26"/>
      <c r="T42" s="26"/>
      <c r="U42" s="12"/>
      <c r="V42" s="26">
        <v>1</v>
      </c>
      <c r="W42" s="12"/>
      <c r="X42" s="26"/>
      <c r="Y42" s="26"/>
      <c r="Z42" s="28"/>
      <c r="AA42" s="28"/>
      <c r="AB42" s="2"/>
      <c r="AC42" s="28">
        <v>1</v>
      </c>
      <c r="AD42" s="3"/>
      <c r="AE42" s="28"/>
      <c r="AF42" s="28"/>
      <c r="AG42" s="29">
        <f t="shared" si="2"/>
        <v>5</v>
      </c>
      <c r="AH42" s="30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31" t="str">
        <f t="shared" si="3"/>
        <v>魯魯咪</v>
      </c>
      <c r="AJ42" s="34"/>
    </row>
    <row r="43" spans="1:36" ht="18" customHeight="1">
      <c r="A43" s="9" t="s">
        <v>58</v>
      </c>
      <c r="B43" s="10" t="s">
        <v>23</v>
      </c>
      <c r="C43" s="11"/>
      <c r="D43" s="11"/>
      <c r="E43" s="11">
        <v>1</v>
      </c>
      <c r="F43" s="11"/>
      <c r="G43" s="2"/>
      <c r="H43" s="11">
        <v>1</v>
      </c>
      <c r="I43" s="2"/>
      <c r="J43" s="11">
        <v>1</v>
      </c>
      <c r="K43" s="11">
        <v>1</v>
      </c>
      <c r="L43" s="11">
        <v>1</v>
      </c>
      <c r="M43" s="11"/>
      <c r="N43" s="2"/>
      <c r="O43" s="11">
        <v>1</v>
      </c>
      <c r="P43" s="12"/>
      <c r="Q43" s="9">
        <v>1</v>
      </c>
      <c r="R43" s="9"/>
      <c r="S43" s="9">
        <v>1</v>
      </c>
      <c r="T43" s="9"/>
      <c r="U43" s="12"/>
      <c r="V43" s="9">
        <v>1</v>
      </c>
      <c r="W43" s="12"/>
      <c r="X43" s="9">
        <v>1</v>
      </c>
      <c r="Y43" s="9">
        <v>1</v>
      </c>
      <c r="Z43" s="11">
        <v>1</v>
      </c>
      <c r="AA43" s="11">
        <v>1</v>
      </c>
      <c r="AB43" s="2"/>
      <c r="AC43" s="11">
        <v>1</v>
      </c>
      <c r="AD43" s="3"/>
      <c r="AE43" s="11">
        <v>1</v>
      </c>
      <c r="AF43" s="11"/>
      <c r="AG43" s="13">
        <f t="shared" si="2"/>
        <v>15</v>
      </c>
      <c r="AH43" s="14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15" t="str">
        <f t="shared" si="3"/>
        <v>ㄈㄈ</v>
      </c>
      <c r="AJ43" s="17"/>
    </row>
    <row r="44" spans="1:36" ht="18" customHeight="1">
      <c r="A44" s="9" t="s">
        <v>58</v>
      </c>
      <c r="B44" s="10" t="s">
        <v>24</v>
      </c>
      <c r="C44" s="11">
        <v>1</v>
      </c>
      <c r="D44" s="11"/>
      <c r="E44" s="11">
        <v>1</v>
      </c>
      <c r="F44" s="11"/>
      <c r="G44" s="2"/>
      <c r="H44" s="11">
        <v>1</v>
      </c>
      <c r="I44" s="2"/>
      <c r="J44" s="11">
        <v>1</v>
      </c>
      <c r="K44" s="11"/>
      <c r="L44" s="11">
        <v>1</v>
      </c>
      <c r="M44" s="11"/>
      <c r="N44" s="2"/>
      <c r="O44" s="11">
        <v>1</v>
      </c>
      <c r="P44" s="12"/>
      <c r="Q44" s="9">
        <v>1</v>
      </c>
      <c r="R44" s="9"/>
      <c r="S44" s="9">
        <v>1</v>
      </c>
      <c r="T44" s="9">
        <v>1</v>
      </c>
      <c r="U44" s="12"/>
      <c r="V44" s="9">
        <v>1</v>
      </c>
      <c r="W44" s="12"/>
      <c r="X44" s="9">
        <v>1</v>
      </c>
      <c r="Y44" s="9">
        <v>1</v>
      </c>
      <c r="Z44" s="11">
        <v>1</v>
      </c>
      <c r="AA44" s="11">
        <v>1</v>
      </c>
      <c r="AB44" s="2"/>
      <c r="AC44" s="11">
        <v>1</v>
      </c>
      <c r="AD44" s="3"/>
      <c r="AE44" s="11">
        <v>1</v>
      </c>
      <c r="AF44" s="11"/>
      <c r="AG44" s="13">
        <f t="shared" si="2"/>
        <v>16</v>
      </c>
      <c r="AH44" s="14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15" t="str">
        <f t="shared" si="3"/>
        <v>大熊</v>
      </c>
      <c r="AJ44" s="17" t="s">
        <v>201</v>
      </c>
    </row>
    <row r="45" spans="1:36" ht="18" customHeight="1">
      <c r="A45" s="9" t="s">
        <v>58</v>
      </c>
      <c r="B45" s="10" t="s">
        <v>64</v>
      </c>
      <c r="C45" s="11">
        <v>1</v>
      </c>
      <c r="D45" s="11"/>
      <c r="E45" s="11">
        <v>1</v>
      </c>
      <c r="F45" s="11"/>
      <c r="G45" s="2"/>
      <c r="H45" s="11">
        <v>1</v>
      </c>
      <c r="I45" s="2"/>
      <c r="J45" s="11"/>
      <c r="K45" s="11"/>
      <c r="L45" s="11">
        <v>1</v>
      </c>
      <c r="M45" s="11"/>
      <c r="N45" s="2"/>
      <c r="O45" s="11">
        <v>1</v>
      </c>
      <c r="P45" s="12"/>
      <c r="Q45" s="9">
        <v>1</v>
      </c>
      <c r="R45" s="9"/>
      <c r="S45" s="9">
        <v>1</v>
      </c>
      <c r="T45" s="9">
        <v>1</v>
      </c>
      <c r="U45" s="12"/>
      <c r="V45" s="9">
        <v>1</v>
      </c>
      <c r="W45" s="12"/>
      <c r="X45" s="9">
        <v>1</v>
      </c>
      <c r="Y45" s="9">
        <v>1</v>
      </c>
      <c r="Z45" s="11">
        <v>1</v>
      </c>
      <c r="AA45" s="11">
        <v>1</v>
      </c>
      <c r="AB45" s="2"/>
      <c r="AC45" s="11">
        <v>1</v>
      </c>
      <c r="AD45" s="3"/>
      <c r="AE45" s="11">
        <v>1</v>
      </c>
      <c r="AF45" s="11"/>
      <c r="AG45" s="13">
        <f t="shared" si="2"/>
        <v>15</v>
      </c>
      <c r="AH45" s="14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15" t="str">
        <f t="shared" si="3"/>
        <v>園棠</v>
      </c>
      <c r="AJ45" s="17" t="s">
        <v>201</v>
      </c>
    </row>
    <row r="46" spans="1:36" ht="18" customHeight="1">
      <c r="A46" s="9" t="s">
        <v>58</v>
      </c>
      <c r="B46" s="10" t="s">
        <v>178</v>
      </c>
      <c r="C46" s="11">
        <v>1</v>
      </c>
      <c r="D46" s="11"/>
      <c r="E46" s="11">
        <v>1</v>
      </c>
      <c r="F46" s="11"/>
      <c r="G46" s="2"/>
      <c r="H46" s="11">
        <v>1</v>
      </c>
      <c r="I46" s="2"/>
      <c r="J46" s="11">
        <v>1</v>
      </c>
      <c r="K46" s="11">
        <v>1</v>
      </c>
      <c r="L46" s="11">
        <v>1</v>
      </c>
      <c r="M46" s="11"/>
      <c r="N46" s="2"/>
      <c r="O46" s="11">
        <v>1</v>
      </c>
      <c r="P46" s="12"/>
      <c r="Q46" s="9">
        <v>1</v>
      </c>
      <c r="R46" s="9"/>
      <c r="S46" s="9">
        <v>1</v>
      </c>
      <c r="T46" s="9">
        <v>1</v>
      </c>
      <c r="U46" s="12"/>
      <c r="V46" s="9">
        <v>1</v>
      </c>
      <c r="W46" s="12"/>
      <c r="X46" s="9">
        <v>1</v>
      </c>
      <c r="Y46" s="9"/>
      <c r="Z46" s="11">
        <v>1</v>
      </c>
      <c r="AA46" s="11"/>
      <c r="AB46" s="2"/>
      <c r="AC46" s="11">
        <v>1</v>
      </c>
      <c r="AD46" s="3"/>
      <c r="AE46" s="11">
        <v>1</v>
      </c>
      <c r="AF46" s="11"/>
      <c r="AG46" s="13">
        <f t="shared" si="2"/>
        <v>15</v>
      </c>
      <c r="AH46" s="14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15" t="str">
        <f t="shared" si="3"/>
        <v>Fish</v>
      </c>
      <c r="AJ46" s="17"/>
    </row>
    <row r="47" spans="1:36" ht="18" customHeight="1">
      <c r="A47" s="9" t="s">
        <v>58</v>
      </c>
      <c r="B47" s="10" t="s">
        <v>25</v>
      </c>
      <c r="C47" s="11">
        <v>1</v>
      </c>
      <c r="D47" s="11"/>
      <c r="E47" s="11">
        <v>1</v>
      </c>
      <c r="F47" s="11"/>
      <c r="G47" s="2"/>
      <c r="H47" s="11">
        <v>1</v>
      </c>
      <c r="I47" s="2"/>
      <c r="J47" s="11">
        <v>1</v>
      </c>
      <c r="K47" s="11"/>
      <c r="L47" s="11">
        <v>1</v>
      </c>
      <c r="M47" s="11"/>
      <c r="N47" s="2"/>
      <c r="O47" s="11">
        <v>1</v>
      </c>
      <c r="P47" s="12"/>
      <c r="Q47" s="9">
        <v>1</v>
      </c>
      <c r="R47" s="9"/>
      <c r="S47" s="9">
        <v>1</v>
      </c>
      <c r="T47" s="9"/>
      <c r="U47" s="12"/>
      <c r="V47" s="9">
        <v>1</v>
      </c>
      <c r="W47" s="12"/>
      <c r="X47" s="9">
        <v>1</v>
      </c>
      <c r="Y47" s="9"/>
      <c r="Z47" s="11">
        <v>1</v>
      </c>
      <c r="AA47" s="11"/>
      <c r="AB47" s="2"/>
      <c r="AC47" s="11">
        <v>1</v>
      </c>
      <c r="AD47" s="3"/>
      <c r="AE47" s="11"/>
      <c r="AF47" s="11"/>
      <c r="AG47" s="13">
        <f t="shared" si="2"/>
        <v>12</v>
      </c>
      <c r="AH47" s="14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15" t="str">
        <f t="shared" si="3"/>
        <v>潘潘</v>
      </c>
      <c r="AJ47" s="17"/>
    </row>
    <row r="48" spans="1:36" ht="18" customHeight="1">
      <c r="A48" s="9" t="s">
        <v>58</v>
      </c>
      <c r="B48" s="10" t="s">
        <v>63</v>
      </c>
      <c r="C48" s="11"/>
      <c r="D48" s="11"/>
      <c r="E48" s="11"/>
      <c r="F48" s="11"/>
      <c r="G48" s="2"/>
      <c r="H48" s="11"/>
      <c r="I48" s="2"/>
      <c r="J48" s="11">
        <v>1</v>
      </c>
      <c r="K48" s="11"/>
      <c r="L48" s="11">
        <v>1</v>
      </c>
      <c r="M48" s="11"/>
      <c r="N48" s="2"/>
      <c r="O48" s="11"/>
      <c r="P48" s="12"/>
      <c r="Q48" s="9">
        <v>1</v>
      </c>
      <c r="R48" s="9"/>
      <c r="S48" s="9">
        <v>1</v>
      </c>
      <c r="T48" s="9"/>
      <c r="U48" s="12"/>
      <c r="V48" s="9">
        <v>1</v>
      </c>
      <c r="W48" s="12"/>
      <c r="X48" s="9">
        <v>1</v>
      </c>
      <c r="Y48" s="9"/>
      <c r="Z48" s="11">
        <v>1</v>
      </c>
      <c r="AA48" s="11"/>
      <c r="AB48" s="2"/>
      <c r="AC48" s="11"/>
      <c r="AD48" s="3"/>
      <c r="AE48" s="11"/>
      <c r="AF48" s="11"/>
      <c r="AG48" s="13">
        <f t="shared" si="2"/>
        <v>7</v>
      </c>
      <c r="AH48" s="14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15" t="str">
        <f t="shared" si="3"/>
        <v>芒果</v>
      </c>
      <c r="AJ48" s="17"/>
    </row>
    <row r="49" spans="1:36" ht="18" customHeight="1">
      <c r="A49" s="9" t="s">
        <v>58</v>
      </c>
      <c r="B49" s="10" t="s">
        <v>22</v>
      </c>
      <c r="C49" s="11">
        <v>1</v>
      </c>
      <c r="D49" s="11">
        <v>1</v>
      </c>
      <c r="E49" s="11">
        <v>1</v>
      </c>
      <c r="F49" s="11"/>
      <c r="G49" s="2"/>
      <c r="H49" s="11">
        <v>1</v>
      </c>
      <c r="I49" s="2"/>
      <c r="J49" s="11">
        <v>1</v>
      </c>
      <c r="K49" s="11">
        <v>1</v>
      </c>
      <c r="L49" s="11">
        <v>1</v>
      </c>
      <c r="M49" s="11"/>
      <c r="N49" s="2"/>
      <c r="O49" s="11">
        <v>1</v>
      </c>
      <c r="P49" s="12"/>
      <c r="Q49" s="9">
        <v>1</v>
      </c>
      <c r="R49" s="9"/>
      <c r="S49" s="9">
        <v>1</v>
      </c>
      <c r="T49" s="9">
        <v>1</v>
      </c>
      <c r="U49" s="12"/>
      <c r="V49" s="9">
        <v>1</v>
      </c>
      <c r="W49" s="12"/>
      <c r="X49" s="9">
        <v>1</v>
      </c>
      <c r="Y49" s="9">
        <v>1</v>
      </c>
      <c r="Z49" s="11">
        <v>1</v>
      </c>
      <c r="AA49" s="11"/>
      <c r="AB49" s="2"/>
      <c r="AC49" s="11">
        <v>1</v>
      </c>
      <c r="AD49" s="3"/>
      <c r="AE49" s="11">
        <v>1</v>
      </c>
      <c r="AF49" s="11"/>
      <c r="AG49" s="13">
        <f t="shared" si="2"/>
        <v>17</v>
      </c>
      <c r="AH49" s="14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15" t="str">
        <f t="shared" si="3"/>
        <v>Mars</v>
      </c>
      <c r="AJ49" s="17"/>
    </row>
    <row r="50" spans="1:36" ht="18" customHeight="1">
      <c r="A50" s="9" t="s">
        <v>58</v>
      </c>
      <c r="B50" s="10" t="s">
        <v>59</v>
      </c>
      <c r="C50" s="11"/>
      <c r="D50" s="11"/>
      <c r="E50" s="11"/>
      <c r="F50" s="11"/>
      <c r="G50" s="2"/>
      <c r="H50" s="11"/>
      <c r="I50" s="2"/>
      <c r="J50" s="11"/>
      <c r="K50" s="11"/>
      <c r="L50" s="11"/>
      <c r="M50" s="11"/>
      <c r="N50" s="2"/>
      <c r="O50" s="11"/>
      <c r="P50" s="12"/>
      <c r="Q50" s="9"/>
      <c r="R50" s="9"/>
      <c r="S50" s="9"/>
      <c r="T50" s="9"/>
      <c r="U50" s="12"/>
      <c r="V50" s="9"/>
      <c r="W50" s="12"/>
      <c r="X50" s="9"/>
      <c r="Y50" s="9"/>
      <c r="Z50" s="11"/>
      <c r="AA50" s="11"/>
      <c r="AB50" s="2"/>
      <c r="AC50" s="11"/>
      <c r="AD50" s="3"/>
      <c r="AE50" s="11"/>
      <c r="AF50" s="11"/>
      <c r="AG50" s="13">
        <f t="shared" si="2"/>
        <v>0</v>
      </c>
      <c r="AH50" s="14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15" t="str">
        <f t="shared" si="3"/>
        <v>阿幹</v>
      </c>
      <c r="AJ50" s="17"/>
    </row>
    <row r="51" spans="1:36" ht="18" customHeight="1">
      <c r="A51" s="9" t="s">
        <v>58</v>
      </c>
      <c r="B51" s="10" t="s">
        <v>27</v>
      </c>
      <c r="C51" s="11"/>
      <c r="D51" s="11"/>
      <c r="E51" s="11"/>
      <c r="F51" s="11"/>
      <c r="G51" s="2"/>
      <c r="H51" s="11">
        <v>1</v>
      </c>
      <c r="I51" s="2"/>
      <c r="J51" s="11"/>
      <c r="K51" s="11"/>
      <c r="L51" s="11"/>
      <c r="M51" s="11"/>
      <c r="N51" s="2"/>
      <c r="O51" s="11"/>
      <c r="P51" s="12"/>
      <c r="Q51" s="9"/>
      <c r="R51" s="9"/>
      <c r="S51" s="9"/>
      <c r="T51" s="9"/>
      <c r="U51" s="12"/>
      <c r="V51" s="9">
        <v>1</v>
      </c>
      <c r="W51" s="12"/>
      <c r="X51" s="9"/>
      <c r="Y51" s="9"/>
      <c r="Z51" s="11"/>
      <c r="AA51" s="11"/>
      <c r="AB51" s="2"/>
      <c r="AC51" s="11">
        <v>1</v>
      </c>
      <c r="AD51" s="3"/>
      <c r="AE51" s="11"/>
      <c r="AF51" s="11"/>
      <c r="AG51" s="13">
        <f t="shared" si="2"/>
        <v>3</v>
      </c>
      <c r="AH51" s="14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15" t="str">
        <f t="shared" si="3"/>
        <v>芋圓</v>
      </c>
      <c r="AJ51" s="17"/>
    </row>
    <row r="52" spans="1:36" ht="18" customHeight="1">
      <c r="A52" s="9" t="s">
        <v>58</v>
      </c>
      <c r="B52" s="10" t="s">
        <v>28</v>
      </c>
      <c r="C52" s="11"/>
      <c r="D52" s="11"/>
      <c r="E52" s="11"/>
      <c r="F52" s="11"/>
      <c r="G52" s="2"/>
      <c r="H52" s="11"/>
      <c r="I52" s="2"/>
      <c r="J52" s="11"/>
      <c r="K52" s="11"/>
      <c r="L52" s="11"/>
      <c r="M52" s="11"/>
      <c r="N52" s="2"/>
      <c r="O52" s="11"/>
      <c r="P52" s="12"/>
      <c r="Q52" s="9"/>
      <c r="R52" s="9"/>
      <c r="S52" s="9"/>
      <c r="T52" s="9"/>
      <c r="U52" s="12"/>
      <c r="V52" s="9"/>
      <c r="W52" s="12"/>
      <c r="X52" s="9"/>
      <c r="Y52" s="9"/>
      <c r="Z52" s="11"/>
      <c r="AA52" s="11"/>
      <c r="AB52" s="2"/>
      <c r="AC52" s="11"/>
      <c r="AD52" s="3"/>
      <c r="AE52" s="11"/>
      <c r="AF52" s="11"/>
      <c r="AG52" s="13">
        <f t="shared" si="2"/>
        <v>0</v>
      </c>
      <c r="AH52" s="14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15" t="str">
        <f t="shared" si="3"/>
        <v>克勤</v>
      </c>
      <c r="AJ52" s="17"/>
    </row>
    <row r="53" spans="1:36" ht="18" customHeight="1">
      <c r="A53" s="9" t="s">
        <v>58</v>
      </c>
      <c r="B53" s="10" t="s">
        <v>29</v>
      </c>
      <c r="C53" s="11">
        <v>1</v>
      </c>
      <c r="D53" s="11"/>
      <c r="E53" s="11"/>
      <c r="F53" s="11"/>
      <c r="G53" s="2"/>
      <c r="H53" s="11"/>
      <c r="I53" s="2"/>
      <c r="J53" s="11"/>
      <c r="K53" s="11"/>
      <c r="L53" s="11"/>
      <c r="M53" s="11"/>
      <c r="N53" s="2"/>
      <c r="O53" s="11"/>
      <c r="P53" s="12"/>
      <c r="Q53" s="9">
        <v>1</v>
      </c>
      <c r="R53" s="9"/>
      <c r="S53" s="9"/>
      <c r="T53" s="9">
        <v>1</v>
      </c>
      <c r="U53" s="12"/>
      <c r="V53" s="9"/>
      <c r="W53" s="12"/>
      <c r="X53" s="9"/>
      <c r="Y53" s="9"/>
      <c r="Z53" s="11"/>
      <c r="AA53" s="11">
        <v>1</v>
      </c>
      <c r="AB53" s="2"/>
      <c r="AC53" s="11"/>
      <c r="AD53" s="3"/>
      <c r="AE53" s="11"/>
      <c r="AF53" s="11"/>
      <c r="AG53" s="13">
        <f t="shared" si="2"/>
        <v>4</v>
      </c>
      <c r="AH53" s="14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15" t="str">
        <f t="shared" si="3"/>
        <v>大頭</v>
      </c>
      <c r="AJ53" s="17"/>
    </row>
    <row r="54" spans="1:36" ht="18" customHeight="1">
      <c r="A54" s="9" t="s">
        <v>58</v>
      </c>
      <c r="B54" s="10" t="s">
        <v>66</v>
      </c>
      <c r="C54" s="11">
        <v>1</v>
      </c>
      <c r="D54" s="11"/>
      <c r="E54" s="11"/>
      <c r="F54" s="11"/>
      <c r="G54" s="2"/>
      <c r="H54" s="11"/>
      <c r="I54" s="2"/>
      <c r="J54" s="11">
        <v>1</v>
      </c>
      <c r="K54" s="11"/>
      <c r="L54" s="11"/>
      <c r="M54" s="11"/>
      <c r="N54" s="2"/>
      <c r="O54" s="11"/>
      <c r="P54" s="12"/>
      <c r="Q54" s="9">
        <v>1</v>
      </c>
      <c r="R54" s="9"/>
      <c r="S54" s="9"/>
      <c r="T54" s="9"/>
      <c r="U54" s="12"/>
      <c r="V54" s="9"/>
      <c r="W54" s="12"/>
      <c r="X54" s="9"/>
      <c r="Y54" s="9">
        <v>1</v>
      </c>
      <c r="Z54" s="11">
        <v>1</v>
      </c>
      <c r="AA54" s="11"/>
      <c r="AB54" s="2"/>
      <c r="AC54" s="11"/>
      <c r="AD54" s="3"/>
      <c r="AE54" s="11"/>
      <c r="AF54" s="11"/>
      <c r="AG54" s="13">
        <f t="shared" si="2"/>
        <v>5</v>
      </c>
      <c r="AH54" s="14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15" t="str">
        <f t="shared" si="3"/>
        <v>昆佑</v>
      </c>
      <c r="AJ54" s="17"/>
    </row>
    <row r="55" spans="1:36" ht="18" customHeight="1">
      <c r="A55" s="9" t="s">
        <v>58</v>
      </c>
      <c r="B55" s="10" t="s">
        <v>68</v>
      </c>
      <c r="C55" s="11"/>
      <c r="D55" s="11"/>
      <c r="E55" s="11"/>
      <c r="F55" s="11"/>
      <c r="G55" s="2"/>
      <c r="H55" s="11"/>
      <c r="I55" s="2"/>
      <c r="J55" s="11"/>
      <c r="K55" s="11"/>
      <c r="L55" s="11"/>
      <c r="M55" s="11"/>
      <c r="N55" s="2"/>
      <c r="O55" s="11"/>
      <c r="P55" s="12"/>
      <c r="Q55" s="9"/>
      <c r="R55" s="9"/>
      <c r="S55" s="9"/>
      <c r="T55" s="9"/>
      <c r="U55" s="12"/>
      <c r="V55" s="9"/>
      <c r="W55" s="12"/>
      <c r="X55" s="9"/>
      <c r="Y55" s="9"/>
      <c r="Z55" s="11"/>
      <c r="AA55" s="11"/>
      <c r="AB55" s="2"/>
      <c r="AC55" s="11"/>
      <c r="AD55" s="3"/>
      <c r="AE55" s="11"/>
      <c r="AF55" s="11"/>
      <c r="AG55" s="13">
        <f t="shared" si="2"/>
        <v>0</v>
      </c>
      <c r="AH55" s="14">
        <v>1000</v>
      </c>
      <c r="AI55" s="15" t="str">
        <f t="shared" si="3"/>
        <v>兔子</v>
      </c>
      <c r="AJ55" s="17" t="s">
        <v>201</v>
      </c>
    </row>
    <row r="56" spans="1:36" ht="18" customHeight="1">
      <c r="A56" s="9" t="s">
        <v>58</v>
      </c>
      <c r="B56" s="10" t="s">
        <v>69</v>
      </c>
      <c r="C56" s="11"/>
      <c r="D56" s="11"/>
      <c r="E56" s="11"/>
      <c r="F56" s="11"/>
      <c r="G56" s="2"/>
      <c r="H56" s="11"/>
      <c r="I56" s="2"/>
      <c r="J56" s="11"/>
      <c r="K56" s="11"/>
      <c r="L56" s="11"/>
      <c r="M56" s="11"/>
      <c r="N56" s="2"/>
      <c r="O56" s="11"/>
      <c r="P56" s="12"/>
      <c r="Q56" s="9"/>
      <c r="R56" s="9"/>
      <c r="S56" s="9"/>
      <c r="T56" s="9"/>
      <c r="U56" s="12"/>
      <c r="V56" s="9"/>
      <c r="W56" s="12"/>
      <c r="X56" s="9"/>
      <c r="Y56" s="9"/>
      <c r="Z56" s="11"/>
      <c r="AA56" s="11"/>
      <c r="AB56" s="2"/>
      <c r="AC56" s="11"/>
      <c r="AD56" s="3"/>
      <c r="AE56" s="11"/>
      <c r="AF56" s="11"/>
      <c r="AG56" s="13">
        <f t="shared" si="2"/>
        <v>0</v>
      </c>
      <c r="AH56" s="14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15" t="str">
        <f t="shared" si="3"/>
        <v>小馬</v>
      </c>
      <c r="AJ56" s="17"/>
    </row>
    <row r="57" spans="1:36" ht="18" customHeight="1">
      <c r="A57" s="9" t="s">
        <v>58</v>
      </c>
      <c r="B57" s="10" t="s">
        <v>70</v>
      </c>
      <c r="C57" s="11"/>
      <c r="D57" s="11"/>
      <c r="E57" s="11"/>
      <c r="F57" s="11"/>
      <c r="G57" s="2"/>
      <c r="H57" s="11"/>
      <c r="I57" s="2"/>
      <c r="J57" s="11"/>
      <c r="K57" s="11"/>
      <c r="L57" s="11"/>
      <c r="M57" s="11"/>
      <c r="N57" s="2"/>
      <c r="O57" s="11"/>
      <c r="P57" s="12"/>
      <c r="Q57" s="9"/>
      <c r="R57" s="9"/>
      <c r="S57" s="9"/>
      <c r="T57" s="9"/>
      <c r="U57" s="12"/>
      <c r="V57" s="9"/>
      <c r="W57" s="12"/>
      <c r="X57" s="9"/>
      <c r="Y57" s="9"/>
      <c r="Z57" s="11"/>
      <c r="AA57" s="11"/>
      <c r="AB57" s="2"/>
      <c r="AC57" s="11"/>
      <c r="AD57" s="3"/>
      <c r="AE57" s="11"/>
      <c r="AF57" s="11"/>
      <c r="AG57" s="13">
        <f t="shared" si="2"/>
        <v>0</v>
      </c>
      <c r="AH57" s="14">
        <v>1000</v>
      </c>
      <c r="AI57" s="15" t="str">
        <f t="shared" si="3"/>
        <v>Allen</v>
      </c>
      <c r="AJ57" s="17" t="s">
        <v>201</v>
      </c>
    </row>
    <row r="58" spans="1:36" ht="18" customHeight="1">
      <c r="A58" s="9" t="s">
        <v>58</v>
      </c>
      <c r="B58" s="10" t="s">
        <v>71</v>
      </c>
      <c r="C58" s="11"/>
      <c r="D58" s="11"/>
      <c r="E58" s="11"/>
      <c r="F58" s="11"/>
      <c r="G58" s="2"/>
      <c r="H58" s="11"/>
      <c r="I58" s="2"/>
      <c r="J58" s="11"/>
      <c r="K58" s="11"/>
      <c r="L58" s="11"/>
      <c r="M58" s="11"/>
      <c r="N58" s="2"/>
      <c r="O58" s="11"/>
      <c r="P58" s="12"/>
      <c r="Q58" s="9"/>
      <c r="R58" s="9"/>
      <c r="S58" s="9"/>
      <c r="T58" s="9"/>
      <c r="U58" s="12"/>
      <c r="V58" s="9"/>
      <c r="W58" s="12"/>
      <c r="X58" s="9"/>
      <c r="Y58" s="9"/>
      <c r="Z58" s="11"/>
      <c r="AA58" s="11"/>
      <c r="AB58" s="2"/>
      <c r="AC58" s="11"/>
      <c r="AD58" s="3"/>
      <c r="AE58" s="11"/>
      <c r="AF58" s="11"/>
      <c r="AG58" s="13">
        <f t="shared" si="2"/>
        <v>0</v>
      </c>
      <c r="AH58" s="14">
        <v>1000</v>
      </c>
      <c r="AI58" s="15" t="str">
        <f t="shared" si="3"/>
        <v>嘴嘴</v>
      </c>
      <c r="AJ58" s="17" t="s">
        <v>201</v>
      </c>
    </row>
    <row r="59" spans="1:36" ht="18" customHeight="1">
      <c r="A59" s="9" t="s">
        <v>58</v>
      </c>
      <c r="B59" s="10" t="s">
        <v>74</v>
      </c>
      <c r="C59" s="11"/>
      <c r="D59" s="11"/>
      <c r="E59" s="11"/>
      <c r="F59" s="11"/>
      <c r="G59" s="2"/>
      <c r="H59" s="11"/>
      <c r="I59" s="2"/>
      <c r="J59" s="11"/>
      <c r="K59" s="11"/>
      <c r="L59" s="11"/>
      <c r="M59" s="11"/>
      <c r="N59" s="2"/>
      <c r="O59" s="11"/>
      <c r="P59" s="12"/>
      <c r="Q59" s="9"/>
      <c r="R59" s="9"/>
      <c r="S59" s="9"/>
      <c r="T59" s="9"/>
      <c r="U59" s="12"/>
      <c r="V59" s="9"/>
      <c r="W59" s="12"/>
      <c r="X59" s="9"/>
      <c r="Y59" s="9"/>
      <c r="Z59" s="11">
        <v>1</v>
      </c>
      <c r="AA59" s="11"/>
      <c r="AB59" s="2"/>
      <c r="AC59" s="11"/>
      <c r="AD59" s="3"/>
      <c r="AE59" s="11"/>
      <c r="AF59" s="11"/>
      <c r="AG59" s="13">
        <f t="shared" si="2"/>
        <v>1</v>
      </c>
      <c r="AH59" s="14">
        <v>1000</v>
      </c>
      <c r="AI59" s="15" t="str">
        <f t="shared" si="3"/>
        <v>蘆葦</v>
      </c>
      <c r="AJ59" s="17" t="s">
        <v>201</v>
      </c>
    </row>
    <row r="60" spans="1:36" ht="18" customHeight="1">
      <c r="A60" s="9" t="s">
        <v>58</v>
      </c>
      <c r="B60" s="10" t="s">
        <v>30</v>
      </c>
      <c r="C60" s="11"/>
      <c r="D60" s="11"/>
      <c r="E60" s="11"/>
      <c r="F60" s="11"/>
      <c r="G60" s="2"/>
      <c r="H60" s="11"/>
      <c r="I60" s="2"/>
      <c r="J60" s="11"/>
      <c r="K60" s="11"/>
      <c r="L60" s="11"/>
      <c r="M60" s="11"/>
      <c r="N60" s="2"/>
      <c r="O60" s="11"/>
      <c r="P60" s="12"/>
      <c r="Q60" s="9">
        <v>1</v>
      </c>
      <c r="R60" s="9"/>
      <c r="S60" s="9"/>
      <c r="T60" s="9"/>
      <c r="U60" s="12"/>
      <c r="V60" s="9"/>
      <c r="W60" s="12"/>
      <c r="X60" s="9"/>
      <c r="Y60" s="9"/>
      <c r="Z60" s="11"/>
      <c r="AA60" s="11"/>
      <c r="AB60" s="2"/>
      <c r="AC60" s="11"/>
      <c r="AD60" s="3"/>
      <c r="AE60" s="11"/>
      <c r="AF60" s="11"/>
      <c r="AG60" s="13">
        <f t="shared" si="2"/>
        <v>1</v>
      </c>
      <c r="AH60" s="14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15" t="str">
        <f t="shared" si="3"/>
        <v>鯰魚</v>
      </c>
      <c r="AJ60" s="17"/>
    </row>
    <row r="61" spans="1:36" ht="18" customHeight="1">
      <c r="A61" s="9" t="s">
        <v>58</v>
      </c>
      <c r="B61" s="10" t="s">
        <v>31</v>
      </c>
      <c r="C61" s="11"/>
      <c r="D61" s="11"/>
      <c r="E61" s="11"/>
      <c r="F61" s="11"/>
      <c r="G61" s="2"/>
      <c r="H61" s="11">
        <v>1</v>
      </c>
      <c r="I61" s="2"/>
      <c r="J61" s="11"/>
      <c r="K61" s="11"/>
      <c r="L61" s="11"/>
      <c r="M61" s="11"/>
      <c r="N61" s="2"/>
      <c r="O61" s="11"/>
      <c r="P61" s="12"/>
      <c r="Q61" s="9"/>
      <c r="R61" s="9"/>
      <c r="S61" s="9"/>
      <c r="T61" s="9"/>
      <c r="U61" s="12"/>
      <c r="V61" s="9"/>
      <c r="W61" s="12"/>
      <c r="X61" s="9"/>
      <c r="Y61" s="9"/>
      <c r="Z61" s="11"/>
      <c r="AA61" s="11"/>
      <c r="AB61" s="2"/>
      <c r="AC61" s="11"/>
      <c r="AD61" s="3"/>
      <c r="AE61" s="11"/>
      <c r="AF61" s="11"/>
      <c r="AG61" s="13">
        <f t="shared" si="2"/>
        <v>1</v>
      </c>
      <c r="AH61" s="14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15" t="str">
        <f t="shared" si="3"/>
        <v>阿美</v>
      </c>
      <c r="AJ61" s="17"/>
    </row>
    <row r="62" spans="1:36" ht="18" customHeight="1">
      <c r="A62" s="9" t="s">
        <v>58</v>
      </c>
      <c r="B62" s="10" t="s">
        <v>73</v>
      </c>
      <c r="C62" s="11"/>
      <c r="D62" s="11"/>
      <c r="E62" s="11"/>
      <c r="F62" s="11"/>
      <c r="G62" s="2"/>
      <c r="H62" s="11"/>
      <c r="I62" s="2"/>
      <c r="J62" s="11"/>
      <c r="K62" s="11"/>
      <c r="L62" s="11"/>
      <c r="M62" s="11"/>
      <c r="N62" s="2"/>
      <c r="O62" s="11"/>
      <c r="P62" s="12"/>
      <c r="Q62" s="9"/>
      <c r="R62" s="9"/>
      <c r="S62" s="9"/>
      <c r="T62" s="9"/>
      <c r="U62" s="12"/>
      <c r="V62" s="9"/>
      <c r="W62" s="12"/>
      <c r="X62" s="9"/>
      <c r="Y62" s="9"/>
      <c r="Z62" s="11"/>
      <c r="AA62" s="11"/>
      <c r="AB62" s="2"/>
      <c r="AC62" s="11"/>
      <c r="AD62" s="3"/>
      <c r="AE62" s="11"/>
      <c r="AF62" s="11"/>
      <c r="AG62" s="13">
        <f t="shared" si="2"/>
        <v>0</v>
      </c>
      <c r="AH62" s="14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15" t="str">
        <f t="shared" si="3"/>
        <v>冠軍</v>
      </c>
      <c r="AJ62" s="17"/>
    </row>
    <row r="63" spans="1:36" ht="18" customHeight="1">
      <c r="A63" s="9" t="s">
        <v>58</v>
      </c>
      <c r="B63" s="10" t="s">
        <v>26</v>
      </c>
      <c r="C63" s="11"/>
      <c r="D63" s="11"/>
      <c r="E63" s="11"/>
      <c r="F63" s="11"/>
      <c r="G63" s="2"/>
      <c r="H63" s="11"/>
      <c r="I63" s="2"/>
      <c r="J63" s="11"/>
      <c r="K63" s="11"/>
      <c r="L63" s="11"/>
      <c r="M63" s="11"/>
      <c r="N63" s="2"/>
      <c r="O63" s="11"/>
      <c r="P63" s="12"/>
      <c r="Q63" s="9"/>
      <c r="R63" s="9"/>
      <c r="S63" s="9"/>
      <c r="T63" s="9"/>
      <c r="U63" s="12"/>
      <c r="V63" s="9"/>
      <c r="W63" s="12"/>
      <c r="X63" s="9"/>
      <c r="Y63" s="9"/>
      <c r="Z63" s="11"/>
      <c r="AA63" s="11"/>
      <c r="AB63" s="2"/>
      <c r="AC63" s="11"/>
      <c r="AD63" s="3"/>
      <c r="AE63" s="11"/>
      <c r="AF63" s="11"/>
      <c r="AG63" s="13">
        <f t="shared" si="2"/>
        <v>0</v>
      </c>
      <c r="AH63" s="14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15" t="str">
        <f t="shared" si="3"/>
        <v>曉強</v>
      </c>
      <c r="AJ63" s="17"/>
    </row>
    <row r="64" spans="1:36" ht="18" customHeight="1">
      <c r="A64" s="9" t="s">
        <v>58</v>
      </c>
      <c r="B64" s="10" t="s">
        <v>198</v>
      </c>
      <c r="C64" s="11">
        <v>1</v>
      </c>
      <c r="D64" s="11"/>
      <c r="E64" s="11">
        <v>1</v>
      </c>
      <c r="F64" s="11"/>
      <c r="G64" s="2"/>
      <c r="H64" s="11"/>
      <c r="I64" s="2"/>
      <c r="J64" s="11"/>
      <c r="K64" s="11"/>
      <c r="L64" s="11"/>
      <c r="M64" s="11"/>
      <c r="N64" s="2"/>
      <c r="O64" s="11"/>
      <c r="P64" s="12"/>
      <c r="Q64" s="9"/>
      <c r="R64" s="9"/>
      <c r="S64" s="9"/>
      <c r="T64" s="9"/>
      <c r="U64" s="12"/>
      <c r="V64" s="9">
        <v>1</v>
      </c>
      <c r="W64" s="12"/>
      <c r="X64" s="9"/>
      <c r="Y64" s="9"/>
      <c r="Z64" s="11"/>
      <c r="AA64" s="11"/>
      <c r="AB64" s="2"/>
      <c r="AC64" s="11"/>
      <c r="AD64" s="3"/>
      <c r="AE64" s="11"/>
      <c r="AF64" s="11"/>
      <c r="AG64" s="13">
        <f t="shared" si="2"/>
        <v>3</v>
      </c>
      <c r="AH64" s="14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15" t="str">
        <f t="shared" si="3"/>
        <v>郁翔</v>
      </c>
      <c r="AJ64" s="17"/>
    </row>
    <row r="65" spans="1:36" ht="18" customHeight="1">
      <c r="A65" s="9" t="s">
        <v>58</v>
      </c>
      <c r="B65" s="10" t="s">
        <v>67</v>
      </c>
      <c r="C65" s="11"/>
      <c r="D65" s="11"/>
      <c r="E65" s="11"/>
      <c r="F65" s="11"/>
      <c r="G65" s="2"/>
      <c r="H65" s="11"/>
      <c r="I65" s="2"/>
      <c r="J65" s="11"/>
      <c r="K65" s="11"/>
      <c r="L65" s="11"/>
      <c r="M65" s="11"/>
      <c r="N65" s="2"/>
      <c r="O65" s="11"/>
      <c r="P65" s="12"/>
      <c r="Q65" s="9"/>
      <c r="R65" s="9"/>
      <c r="S65" s="9"/>
      <c r="T65" s="9"/>
      <c r="U65" s="12"/>
      <c r="V65" s="9"/>
      <c r="W65" s="12"/>
      <c r="X65" s="9"/>
      <c r="Y65" s="9"/>
      <c r="Z65" s="11"/>
      <c r="AA65" s="11"/>
      <c r="AB65" s="2"/>
      <c r="AC65" s="11"/>
      <c r="AD65" s="3"/>
      <c r="AE65" s="11"/>
      <c r="AF65" s="11"/>
      <c r="AG65" s="13">
        <f t="shared" si="2"/>
        <v>0</v>
      </c>
      <c r="AH65" s="14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15" t="str">
        <f t="shared" si="3"/>
        <v>歐吉</v>
      </c>
      <c r="AJ65" s="17"/>
    </row>
    <row r="66" spans="1:36" ht="18" customHeight="1">
      <c r="A66" s="9" t="s">
        <v>58</v>
      </c>
      <c r="B66" s="10" t="s">
        <v>65</v>
      </c>
      <c r="C66" s="11">
        <v>1</v>
      </c>
      <c r="D66" s="11"/>
      <c r="E66" s="11"/>
      <c r="F66" s="11"/>
      <c r="G66" s="2"/>
      <c r="H66" s="11"/>
      <c r="I66" s="2"/>
      <c r="J66" s="11"/>
      <c r="K66" s="11"/>
      <c r="L66" s="11"/>
      <c r="M66" s="11"/>
      <c r="N66" s="2"/>
      <c r="O66" s="11">
        <v>1</v>
      </c>
      <c r="P66" s="12"/>
      <c r="Q66" s="9"/>
      <c r="R66" s="9"/>
      <c r="S66" s="9">
        <v>1</v>
      </c>
      <c r="T66" s="9">
        <v>1</v>
      </c>
      <c r="U66" s="12"/>
      <c r="V66" s="9">
        <v>1</v>
      </c>
      <c r="W66" s="12"/>
      <c r="X66" s="9"/>
      <c r="Y66" s="9"/>
      <c r="Z66" s="11">
        <v>1</v>
      </c>
      <c r="AA66" s="11">
        <v>1</v>
      </c>
      <c r="AB66" s="2"/>
      <c r="AC66" s="11">
        <v>1</v>
      </c>
      <c r="AD66" s="3"/>
      <c r="AE66" s="11"/>
      <c r="AF66" s="11"/>
      <c r="AG66" s="13">
        <f t="shared" si="2"/>
        <v>8</v>
      </c>
      <c r="AH66" s="14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15" t="str">
        <f t="shared" si="3"/>
        <v>文淵</v>
      </c>
      <c r="AJ66" s="17"/>
    </row>
    <row r="67" spans="1:36" ht="18" customHeight="1">
      <c r="A67" s="9" t="s">
        <v>58</v>
      </c>
      <c r="B67" s="10" t="s">
        <v>75</v>
      </c>
      <c r="C67" s="11"/>
      <c r="D67" s="11"/>
      <c r="E67" s="11"/>
      <c r="F67" s="11"/>
      <c r="G67" s="2"/>
      <c r="H67" s="11"/>
      <c r="I67" s="2"/>
      <c r="J67" s="11"/>
      <c r="K67" s="11"/>
      <c r="L67" s="11"/>
      <c r="M67" s="11"/>
      <c r="N67" s="2"/>
      <c r="O67" s="11"/>
      <c r="P67" s="12"/>
      <c r="Q67" s="9"/>
      <c r="R67" s="9"/>
      <c r="S67" s="9"/>
      <c r="T67" s="9">
        <v>1</v>
      </c>
      <c r="U67" s="12"/>
      <c r="V67" s="9"/>
      <c r="W67" s="12"/>
      <c r="X67" s="9"/>
      <c r="Y67" s="9"/>
      <c r="Z67" s="11"/>
      <c r="AA67" s="11"/>
      <c r="AB67" s="2"/>
      <c r="AC67" s="11"/>
      <c r="AD67" s="3"/>
      <c r="AE67" s="11"/>
      <c r="AF67" s="11"/>
      <c r="AG67" s="13">
        <f t="shared" si="2"/>
        <v>1</v>
      </c>
      <c r="AH67" s="14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15" t="str">
        <f t="shared" si="3"/>
        <v>叮噹</v>
      </c>
      <c r="AJ67" s="17"/>
    </row>
    <row r="68" spans="1:36" ht="18" customHeight="1">
      <c r="A68" s="9" t="s">
        <v>58</v>
      </c>
      <c r="B68" s="10" t="s">
        <v>76</v>
      </c>
      <c r="C68" s="11"/>
      <c r="D68" s="11"/>
      <c r="E68" s="11"/>
      <c r="F68" s="11"/>
      <c r="G68" s="2"/>
      <c r="H68" s="11"/>
      <c r="I68" s="2"/>
      <c r="J68" s="11"/>
      <c r="K68" s="11">
        <v>1</v>
      </c>
      <c r="L68" s="11"/>
      <c r="M68" s="11"/>
      <c r="N68" s="2"/>
      <c r="O68" s="11"/>
      <c r="P68" s="12"/>
      <c r="Q68" s="9"/>
      <c r="R68" s="9"/>
      <c r="S68" s="9"/>
      <c r="T68" s="9"/>
      <c r="U68" s="12"/>
      <c r="V68" s="9"/>
      <c r="W68" s="12"/>
      <c r="X68" s="9"/>
      <c r="Y68" s="9"/>
      <c r="Z68" s="11"/>
      <c r="AA68" s="11"/>
      <c r="AB68" s="2"/>
      <c r="AC68" s="11"/>
      <c r="AD68" s="3"/>
      <c r="AE68" s="11"/>
      <c r="AF68" s="11"/>
      <c r="AG68" s="13">
        <f t="shared" ref="AG68:AG99" si="4">COUNTA(C68:AF68)</f>
        <v>1</v>
      </c>
      <c r="AH68" s="14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15" t="str">
        <f t="shared" ref="AI68:AI99" si="5">B68</f>
        <v>肥肥</v>
      </c>
      <c r="AJ68" s="17"/>
    </row>
    <row r="69" spans="1:36" ht="18" customHeight="1">
      <c r="A69" s="9" t="s">
        <v>58</v>
      </c>
      <c r="B69" s="10" t="s">
        <v>77</v>
      </c>
      <c r="C69" s="11"/>
      <c r="D69" s="11"/>
      <c r="E69" s="11"/>
      <c r="F69" s="11"/>
      <c r="G69" s="2"/>
      <c r="H69" s="11"/>
      <c r="I69" s="2"/>
      <c r="J69" s="11"/>
      <c r="K69" s="11"/>
      <c r="L69" s="11"/>
      <c r="M69" s="11"/>
      <c r="N69" s="2"/>
      <c r="O69" s="11"/>
      <c r="P69" s="12"/>
      <c r="Q69" s="9"/>
      <c r="R69" s="9"/>
      <c r="S69" s="9"/>
      <c r="T69" s="9"/>
      <c r="U69" s="12"/>
      <c r="V69" s="9"/>
      <c r="W69" s="12"/>
      <c r="X69" s="9"/>
      <c r="Y69" s="9"/>
      <c r="Z69" s="11"/>
      <c r="AA69" s="11"/>
      <c r="AB69" s="2"/>
      <c r="AC69" s="11"/>
      <c r="AD69" s="3"/>
      <c r="AE69" s="11"/>
      <c r="AF69" s="11"/>
      <c r="AG69" s="13">
        <f t="shared" si="4"/>
        <v>0</v>
      </c>
      <c r="AH69" s="14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15" t="str">
        <f t="shared" si="5"/>
        <v>小夫</v>
      </c>
      <c r="AJ69" s="17"/>
    </row>
    <row r="70" spans="1:36" ht="18" customHeight="1">
      <c r="A70" s="9" t="s">
        <v>58</v>
      </c>
      <c r="B70" s="10" t="s">
        <v>78</v>
      </c>
      <c r="C70" s="11"/>
      <c r="D70" s="11"/>
      <c r="E70" s="11"/>
      <c r="F70" s="11"/>
      <c r="G70" s="2"/>
      <c r="H70" s="11"/>
      <c r="I70" s="2"/>
      <c r="J70" s="11"/>
      <c r="K70" s="11"/>
      <c r="L70" s="11"/>
      <c r="M70" s="11"/>
      <c r="N70" s="2"/>
      <c r="O70" s="11"/>
      <c r="P70" s="12"/>
      <c r="Q70" s="9"/>
      <c r="R70" s="9"/>
      <c r="S70" s="9"/>
      <c r="T70" s="9"/>
      <c r="U70" s="12"/>
      <c r="V70" s="9"/>
      <c r="W70" s="12"/>
      <c r="X70" s="9"/>
      <c r="Y70" s="9"/>
      <c r="Z70" s="11"/>
      <c r="AA70" s="11"/>
      <c r="AB70" s="2"/>
      <c r="AC70" s="11"/>
      <c r="AD70" s="3"/>
      <c r="AE70" s="11"/>
      <c r="AF70" s="11"/>
      <c r="AG70" s="13">
        <f t="shared" si="4"/>
        <v>0</v>
      </c>
      <c r="AH70" s="14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15" t="str">
        <f t="shared" si="5"/>
        <v>小邱</v>
      </c>
      <c r="AJ70" s="17"/>
    </row>
    <row r="71" spans="1:36" ht="18" customHeight="1">
      <c r="A71" s="9" t="s">
        <v>58</v>
      </c>
      <c r="B71" s="10" t="s">
        <v>79</v>
      </c>
      <c r="C71" s="11"/>
      <c r="D71" s="11"/>
      <c r="E71" s="11"/>
      <c r="F71" s="11"/>
      <c r="G71" s="2"/>
      <c r="H71" s="11"/>
      <c r="I71" s="2"/>
      <c r="J71" s="11"/>
      <c r="K71" s="11"/>
      <c r="L71" s="11"/>
      <c r="M71" s="11"/>
      <c r="N71" s="2"/>
      <c r="O71" s="11"/>
      <c r="P71" s="12"/>
      <c r="Q71" s="9"/>
      <c r="R71" s="9"/>
      <c r="S71" s="9"/>
      <c r="T71" s="9"/>
      <c r="U71" s="12"/>
      <c r="V71" s="9"/>
      <c r="W71" s="12"/>
      <c r="X71" s="9"/>
      <c r="Y71" s="9"/>
      <c r="Z71" s="11"/>
      <c r="AA71" s="11"/>
      <c r="AB71" s="2"/>
      <c r="AC71" s="11"/>
      <c r="AD71" s="3"/>
      <c r="AE71" s="11"/>
      <c r="AF71" s="11"/>
      <c r="AG71" s="13">
        <f t="shared" si="4"/>
        <v>0</v>
      </c>
      <c r="AH71" s="14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15" t="str">
        <f t="shared" si="5"/>
        <v>淳淳</v>
      </c>
      <c r="AJ71" s="17"/>
    </row>
    <row r="72" spans="1:36" ht="18" customHeight="1">
      <c r="A72" s="9" t="s">
        <v>58</v>
      </c>
      <c r="B72" s="10" t="s">
        <v>80</v>
      </c>
      <c r="C72" s="11"/>
      <c r="D72" s="11"/>
      <c r="E72" s="11"/>
      <c r="F72" s="11"/>
      <c r="G72" s="2"/>
      <c r="H72" s="11"/>
      <c r="I72" s="2"/>
      <c r="J72" s="11"/>
      <c r="K72" s="11"/>
      <c r="L72" s="11"/>
      <c r="M72" s="11"/>
      <c r="N72" s="2"/>
      <c r="O72" s="11"/>
      <c r="P72" s="12"/>
      <c r="Q72" s="9"/>
      <c r="R72" s="9"/>
      <c r="S72" s="9"/>
      <c r="T72" s="9"/>
      <c r="U72" s="12"/>
      <c r="V72" s="9"/>
      <c r="W72" s="12"/>
      <c r="X72" s="9"/>
      <c r="Y72" s="9"/>
      <c r="Z72" s="11"/>
      <c r="AA72" s="11"/>
      <c r="AB72" s="2"/>
      <c r="AC72" s="11"/>
      <c r="AD72" s="3"/>
      <c r="AE72" s="11"/>
      <c r="AF72" s="11"/>
      <c r="AG72" s="13">
        <f t="shared" si="4"/>
        <v>0</v>
      </c>
      <c r="AH72" s="14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15" t="str">
        <f t="shared" si="5"/>
        <v>禿鷹</v>
      </c>
      <c r="AJ72" s="17"/>
    </row>
    <row r="73" spans="1:36" ht="18" customHeight="1">
      <c r="A73" s="9" t="s">
        <v>58</v>
      </c>
      <c r="B73" s="10" t="s">
        <v>81</v>
      </c>
      <c r="C73" s="11"/>
      <c r="D73" s="11"/>
      <c r="E73" s="11"/>
      <c r="F73" s="11"/>
      <c r="G73" s="2"/>
      <c r="H73" s="11"/>
      <c r="I73" s="2"/>
      <c r="J73" s="11"/>
      <c r="K73" s="11"/>
      <c r="L73" s="11"/>
      <c r="M73" s="11"/>
      <c r="N73" s="2"/>
      <c r="O73" s="11"/>
      <c r="P73" s="12"/>
      <c r="Q73" s="9"/>
      <c r="R73" s="9"/>
      <c r="S73" s="9"/>
      <c r="T73" s="9"/>
      <c r="U73" s="12"/>
      <c r="V73" s="9"/>
      <c r="W73" s="12"/>
      <c r="X73" s="9"/>
      <c r="Y73" s="9"/>
      <c r="Z73" s="11"/>
      <c r="AA73" s="11"/>
      <c r="AB73" s="2"/>
      <c r="AC73" s="11"/>
      <c r="AD73" s="3"/>
      <c r="AE73" s="11"/>
      <c r="AF73" s="11"/>
      <c r="AG73" s="13">
        <f t="shared" si="4"/>
        <v>0</v>
      </c>
      <c r="AH73" s="14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15" t="str">
        <f t="shared" si="5"/>
        <v>王宏</v>
      </c>
      <c r="AJ73" s="17"/>
    </row>
    <row r="74" spans="1:36" ht="18" customHeight="1">
      <c r="A74" s="9" t="s">
        <v>58</v>
      </c>
      <c r="B74" s="10" t="s">
        <v>82</v>
      </c>
      <c r="C74" s="11"/>
      <c r="D74" s="11"/>
      <c r="E74" s="11"/>
      <c r="F74" s="11"/>
      <c r="G74" s="2"/>
      <c r="H74" s="11"/>
      <c r="I74" s="2"/>
      <c r="J74" s="11"/>
      <c r="K74" s="11"/>
      <c r="L74" s="11"/>
      <c r="M74" s="11"/>
      <c r="N74" s="2"/>
      <c r="O74" s="11"/>
      <c r="P74" s="12"/>
      <c r="Q74" s="9"/>
      <c r="R74" s="9"/>
      <c r="S74" s="9"/>
      <c r="T74" s="9"/>
      <c r="U74" s="12"/>
      <c r="V74" s="9"/>
      <c r="W74" s="12"/>
      <c r="X74" s="9"/>
      <c r="Y74" s="9"/>
      <c r="Z74" s="11"/>
      <c r="AA74" s="11"/>
      <c r="AB74" s="2"/>
      <c r="AC74" s="11"/>
      <c r="AD74" s="3"/>
      <c r="AE74" s="11"/>
      <c r="AF74" s="11"/>
      <c r="AG74" s="13">
        <f t="shared" si="4"/>
        <v>0</v>
      </c>
      <c r="AH74" s="14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15" t="str">
        <f t="shared" si="5"/>
        <v>犀牛</v>
      </c>
      <c r="AJ74" s="17"/>
    </row>
    <row r="75" spans="1:36" ht="18" customHeight="1">
      <c r="A75" s="9" t="s">
        <v>58</v>
      </c>
      <c r="B75" s="10" t="s">
        <v>83</v>
      </c>
      <c r="C75" s="11"/>
      <c r="D75" s="11"/>
      <c r="E75" s="11"/>
      <c r="F75" s="11"/>
      <c r="G75" s="2"/>
      <c r="H75" s="11"/>
      <c r="I75" s="2"/>
      <c r="J75" s="11"/>
      <c r="K75" s="11"/>
      <c r="L75" s="11"/>
      <c r="M75" s="11"/>
      <c r="N75" s="2"/>
      <c r="O75" s="11"/>
      <c r="P75" s="12"/>
      <c r="Q75" s="9"/>
      <c r="R75" s="9"/>
      <c r="S75" s="9"/>
      <c r="T75" s="9"/>
      <c r="U75" s="12"/>
      <c r="V75" s="9"/>
      <c r="W75" s="12"/>
      <c r="X75" s="9"/>
      <c r="Y75" s="9"/>
      <c r="Z75" s="11"/>
      <c r="AA75" s="11"/>
      <c r="AB75" s="2"/>
      <c r="AC75" s="11"/>
      <c r="AD75" s="3"/>
      <c r="AE75" s="11"/>
      <c r="AF75" s="11"/>
      <c r="AG75" s="13">
        <f t="shared" si="4"/>
        <v>0</v>
      </c>
      <c r="AH75" s="14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15" t="str">
        <f t="shared" si="5"/>
        <v>來福</v>
      </c>
      <c r="AJ75" s="17"/>
    </row>
    <row r="76" spans="1:36" ht="18" customHeight="1">
      <c r="A76" s="9" t="s">
        <v>58</v>
      </c>
      <c r="B76" s="10" t="s">
        <v>84</v>
      </c>
      <c r="C76" s="11"/>
      <c r="D76" s="11"/>
      <c r="E76" s="11"/>
      <c r="F76" s="11"/>
      <c r="G76" s="2"/>
      <c r="H76" s="11"/>
      <c r="I76" s="2"/>
      <c r="J76" s="11"/>
      <c r="K76" s="11"/>
      <c r="L76" s="11"/>
      <c r="M76" s="11"/>
      <c r="N76" s="2"/>
      <c r="O76" s="11"/>
      <c r="P76" s="12"/>
      <c r="Q76" s="9"/>
      <c r="R76" s="9"/>
      <c r="S76" s="9"/>
      <c r="T76" s="9"/>
      <c r="U76" s="12"/>
      <c r="V76" s="9"/>
      <c r="W76" s="12"/>
      <c r="X76" s="9"/>
      <c r="Y76" s="9"/>
      <c r="Z76" s="11"/>
      <c r="AA76" s="11"/>
      <c r="AB76" s="2"/>
      <c r="AC76" s="11"/>
      <c r="AD76" s="3"/>
      <c r="AE76" s="11"/>
      <c r="AF76" s="11"/>
      <c r="AG76" s="13">
        <f t="shared" si="4"/>
        <v>0</v>
      </c>
      <c r="AH76" s="14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15" t="str">
        <f t="shared" si="5"/>
        <v>誌誌</v>
      </c>
      <c r="AJ76" s="17"/>
    </row>
    <row r="77" spans="1:36" ht="18" customHeight="1">
      <c r="A77" s="9" t="s">
        <v>58</v>
      </c>
      <c r="B77" s="10" t="s">
        <v>86</v>
      </c>
      <c r="C77" s="11"/>
      <c r="D77" s="11"/>
      <c r="E77" s="11"/>
      <c r="F77" s="11"/>
      <c r="G77" s="2"/>
      <c r="H77" s="11"/>
      <c r="I77" s="2"/>
      <c r="J77" s="11"/>
      <c r="K77" s="11"/>
      <c r="L77" s="11"/>
      <c r="M77" s="11"/>
      <c r="N77" s="2"/>
      <c r="O77" s="11"/>
      <c r="P77" s="12"/>
      <c r="Q77" s="9"/>
      <c r="R77" s="9"/>
      <c r="S77" s="9"/>
      <c r="T77" s="9"/>
      <c r="U77" s="12"/>
      <c r="V77" s="9"/>
      <c r="W77" s="12"/>
      <c r="X77" s="9"/>
      <c r="Y77" s="9"/>
      <c r="Z77" s="11"/>
      <c r="AA77" s="11"/>
      <c r="AB77" s="2"/>
      <c r="AC77" s="11"/>
      <c r="AD77" s="3"/>
      <c r="AE77" s="11"/>
      <c r="AF77" s="11"/>
      <c r="AG77" s="13">
        <f t="shared" si="4"/>
        <v>0</v>
      </c>
      <c r="AH77" s="14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15" t="str">
        <f t="shared" si="5"/>
        <v>正誼</v>
      </c>
      <c r="AJ77" s="17"/>
    </row>
    <row r="78" spans="1:36" ht="18" customHeight="1">
      <c r="A78" s="9" t="s">
        <v>58</v>
      </c>
      <c r="B78" s="10" t="s">
        <v>32</v>
      </c>
      <c r="C78" s="11"/>
      <c r="D78" s="11"/>
      <c r="E78" s="11"/>
      <c r="F78" s="11"/>
      <c r="G78" s="2"/>
      <c r="H78" s="11"/>
      <c r="I78" s="2"/>
      <c r="J78" s="11"/>
      <c r="K78" s="11"/>
      <c r="L78" s="11"/>
      <c r="M78" s="11"/>
      <c r="N78" s="2"/>
      <c r="O78" s="11"/>
      <c r="P78" s="12"/>
      <c r="Q78" s="9"/>
      <c r="R78" s="9"/>
      <c r="S78" s="9"/>
      <c r="T78" s="9"/>
      <c r="U78" s="12"/>
      <c r="V78" s="9"/>
      <c r="W78" s="12"/>
      <c r="X78" s="9"/>
      <c r="Y78" s="9"/>
      <c r="Z78" s="11"/>
      <c r="AA78" s="11"/>
      <c r="AB78" s="2"/>
      <c r="AC78" s="11"/>
      <c r="AD78" s="3"/>
      <c r="AE78" s="11"/>
      <c r="AF78" s="11"/>
      <c r="AG78" s="13">
        <f t="shared" si="4"/>
        <v>0</v>
      </c>
      <c r="AH78" s="14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15" t="str">
        <f t="shared" si="5"/>
        <v>小翔</v>
      </c>
      <c r="AJ78" s="17"/>
    </row>
    <row r="79" spans="1:36" ht="18" customHeight="1">
      <c r="A79" s="9" t="s">
        <v>58</v>
      </c>
      <c r="B79" s="10" t="s">
        <v>179</v>
      </c>
      <c r="C79" s="11"/>
      <c r="D79" s="11"/>
      <c r="E79" s="11"/>
      <c r="F79" s="11"/>
      <c r="G79" s="2"/>
      <c r="H79" s="11"/>
      <c r="I79" s="2"/>
      <c r="J79" s="11"/>
      <c r="K79" s="11"/>
      <c r="L79" s="11"/>
      <c r="M79" s="11"/>
      <c r="N79" s="2"/>
      <c r="O79" s="11"/>
      <c r="P79" s="12"/>
      <c r="Q79" s="9"/>
      <c r="R79" s="9"/>
      <c r="S79" s="9"/>
      <c r="T79" s="9"/>
      <c r="U79" s="12"/>
      <c r="V79" s="9"/>
      <c r="W79" s="12"/>
      <c r="X79" s="9"/>
      <c r="Y79" s="9"/>
      <c r="Z79" s="11"/>
      <c r="AA79" s="11"/>
      <c r="AB79" s="2"/>
      <c r="AC79" s="11"/>
      <c r="AD79" s="3"/>
      <c r="AE79" s="11"/>
      <c r="AF79" s="11"/>
      <c r="AG79" s="13">
        <f t="shared" si="4"/>
        <v>0</v>
      </c>
      <c r="AH79" s="14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15" t="str">
        <f t="shared" si="5"/>
        <v>玹玹</v>
      </c>
      <c r="AJ79" s="17"/>
    </row>
    <row r="80" spans="1:36" ht="18" customHeight="1">
      <c r="A80" s="9" t="s">
        <v>58</v>
      </c>
      <c r="B80" s="10" t="s">
        <v>85</v>
      </c>
      <c r="C80" s="11"/>
      <c r="D80" s="11"/>
      <c r="E80" s="11"/>
      <c r="F80" s="11"/>
      <c r="G80" s="2"/>
      <c r="H80" s="11"/>
      <c r="I80" s="2"/>
      <c r="J80" s="11"/>
      <c r="K80" s="11"/>
      <c r="L80" s="11"/>
      <c r="M80" s="11"/>
      <c r="N80" s="2"/>
      <c r="O80" s="11"/>
      <c r="P80" s="12"/>
      <c r="Q80" s="9"/>
      <c r="R80" s="9"/>
      <c r="S80" s="9"/>
      <c r="T80" s="9"/>
      <c r="U80" s="12"/>
      <c r="V80" s="9"/>
      <c r="W80" s="12"/>
      <c r="X80" s="9"/>
      <c r="Y80" s="9"/>
      <c r="Z80" s="11"/>
      <c r="AA80" s="11"/>
      <c r="AB80" s="2"/>
      <c r="AC80" s="11"/>
      <c r="AD80" s="3"/>
      <c r="AE80" s="11"/>
      <c r="AF80" s="11"/>
      <c r="AG80" s="13">
        <f t="shared" si="4"/>
        <v>0</v>
      </c>
      <c r="AH80" s="14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15" t="str">
        <f t="shared" si="5"/>
        <v>阿璽</v>
      </c>
      <c r="AJ80" s="17"/>
    </row>
    <row r="81" spans="1:36" ht="18" customHeight="1">
      <c r="A81" s="9" t="s">
        <v>58</v>
      </c>
      <c r="B81" s="10" t="s">
        <v>33</v>
      </c>
      <c r="C81" s="11"/>
      <c r="D81" s="11"/>
      <c r="E81" s="11"/>
      <c r="F81" s="11"/>
      <c r="G81" s="2"/>
      <c r="H81" s="11"/>
      <c r="I81" s="2"/>
      <c r="J81" s="11"/>
      <c r="K81" s="11"/>
      <c r="L81" s="11"/>
      <c r="M81" s="11"/>
      <c r="N81" s="2"/>
      <c r="O81" s="11"/>
      <c r="P81" s="12"/>
      <c r="Q81" s="9"/>
      <c r="R81" s="9"/>
      <c r="S81" s="9"/>
      <c r="T81" s="9"/>
      <c r="U81" s="12"/>
      <c r="V81" s="9"/>
      <c r="W81" s="12"/>
      <c r="X81" s="9"/>
      <c r="Y81" s="9"/>
      <c r="Z81" s="11"/>
      <c r="AA81" s="11"/>
      <c r="AB81" s="2"/>
      <c r="AC81" s="11"/>
      <c r="AD81" s="3"/>
      <c r="AE81" s="11"/>
      <c r="AF81" s="11"/>
      <c r="AG81" s="13">
        <f t="shared" si="4"/>
        <v>0</v>
      </c>
      <c r="AH81" s="14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15" t="str">
        <f t="shared" si="5"/>
        <v>一飛</v>
      </c>
      <c r="AJ81" s="17"/>
    </row>
    <row r="82" spans="1:36" ht="18" customHeight="1">
      <c r="A82" s="18" t="s">
        <v>58</v>
      </c>
      <c r="B82" s="19" t="s">
        <v>151</v>
      </c>
      <c r="C82" s="20"/>
      <c r="D82" s="20"/>
      <c r="E82" s="20">
        <v>1</v>
      </c>
      <c r="F82" s="20"/>
      <c r="G82" s="2"/>
      <c r="H82" s="20">
        <v>1</v>
      </c>
      <c r="I82" s="2"/>
      <c r="J82" s="20">
        <v>1</v>
      </c>
      <c r="K82" s="20"/>
      <c r="L82" s="20">
        <v>1</v>
      </c>
      <c r="M82" s="20"/>
      <c r="N82" s="2"/>
      <c r="O82" s="20">
        <v>1</v>
      </c>
      <c r="P82" s="12"/>
      <c r="Q82" s="18">
        <v>1</v>
      </c>
      <c r="R82" s="18"/>
      <c r="S82" s="18">
        <v>1</v>
      </c>
      <c r="T82" s="18"/>
      <c r="U82" s="12"/>
      <c r="V82" s="18">
        <v>1</v>
      </c>
      <c r="W82" s="12"/>
      <c r="X82" s="18">
        <v>1</v>
      </c>
      <c r="Y82" s="18"/>
      <c r="Z82" s="20">
        <v>1</v>
      </c>
      <c r="AA82" s="20"/>
      <c r="AB82" s="2"/>
      <c r="AC82" s="20">
        <v>1</v>
      </c>
      <c r="AD82" s="3"/>
      <c r="AE82" s="20">
        <v>1</v>
      </c>
      <c r="AF82" s="20"/>
      <c r="AG82" s="21">
        <f t="shared" si="4"/>
        <v>12</v>
      </c>
      <c r="AH82" s="22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23" t="str">
        <f t="shared" si="5"/>
        <v>宇嬅</v>
      </c>
      <c r="AJ82" s="44" t="s">
        <v>201</v>
      </c>
    </row>
    <row r="83" spans="1:36" ht="18" customHeight="1">
      <c r="A83" s="18" t="s">
        <v>58</v>
      </c>
      <c r="B83" s="19" t="s">
        <v>92</v>
      </c>
      <c r="C83" s="20">
        <v>1</v>
      </c>
      <c r="D83" s="20"/>
      <c r="E83" s="20">
        <v>1</v>
      </c>
      <c r="F83" s="20"/>
      <c r="G83" s="2"/>
      <c r="H83" s="20">
        <v>1</v>
      </c>
      <c r="I83" s="2"/>
      <c r="J83" s="20">
        <v>1</v>
      </c>
      <c r="K83" s="20"/>
      <c r="L83" s="20">
        <v>1</v>
      </c>
      <c r="M83" s="20"/>
      <c r="N83" s="2"/>
      <c r="O83" s="20">
        <v>1</v>
      </c>
      <c r="P83" s="12"/>
      <c r="Q83" s="18">
        <v>1</v>
      </c>
      <c r="R83" s="18"/>
      <c r="S83" s="18">
        <v>1</v>
      </c>
      <c r="T83" s="18"/>
      <c r="U83" s="12"/>
      <c r="V83" s="18">
        <v>1</v>
      </c>
      <c r="W83" s="12"/>
      <c r="X83" s="18">
        <v>1</v>
      </c>
      <c r="Y83" s="18"/>
      <c r="Z83" s="20">
        <v>1</v>
      </c>
      <c r="AA83" s="20"/>
      <c r="AB83" s="2"/>
      <c r="AC83" s="20">
        <v>1</v>
      </c>
      <c r="AD83" s="3"/>
      <c r="AE83" s="20">
        <v>1</v>
      </c>
      <c r="AF83" s="20"/>
      <c r="AG83" s="21">
        <f t="shared" si="4"/>
        <v>13</v>
      </c>
      <c r="AH83" s="22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23" t="str">
        <f t="shared" si="5"/>
        <v>婉晴</v>
      </c>
      <c r="AJ83" s="44" t="s">
        <v>201</v>
      </c>
    </row>
    <row r="84" spans="1:36" ht="18" customHeight="1">
      <c r="A84" s="18" t="s">
        <v>58</v>
      </c>
      <c r="B84" s="19" t="s">
        <v>152</v>
      </c>
      <c r="C84" s="20"/>
      <c r="D84" s="20"/>
      <c r="E84" s="20"/>
      <c r="F84" s="20"/>
      <c r="G84" s="2"/>
      <c r="H84" s="20"/>
      <c r="I84" s="2"/>
      <c r="J84" s="20"/>
      <c r="K84" s="20"/>
      <c r="L84" s="20"/>
      <c r="M84" s="20"/>
      <c r="N84" s="2"/>
      <c r="O84" s="20"/>
      <c r="P84" s="12"/>
      <c r="Q84" s="18"/>
      <c r="R84" s="18"/>
      <c r="S84" s="18"/>
      <c r="T84" s="18"/>
      <c r="U84" s="12"/>
      <c r="V84" s="18"/>
      <c r="W84" s="12"/>
      <c r="X84" s="18"/>
      <c r="Y84" s="18"/>
      <c r="Z84" s="20"/>
      <c r="AA84" s="20"/>
      <c r="AB84" s="2"/>
      <c r="AC84" s="20"/>
      <c r="AD84" s="3"/>
      <c r="AE84" s="20"/>
      <c r="AF84" s="20"/>
      <c r="AG84" s="21">
        <f t="shared" si="4"/>
        <v>0</v>
      </c>
      <c r="AH84" s="22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23" t="str">
        <f t="shared" si="5"/>
        <v>阿俗</v>
      </c>
      <c r="AJ84" s="25"/>
    </row>
    <row r="85" spans="1:36" ht="18" customHeight="1">
      <c r="A85" s="18" t="s">
        <v>58</v>
      </c>
      <c r="B85" s="19" t="s">
        <v>153</v>
      </c>
      <c r="C85" s="20"/>
      <c r="D85" s="20"/>
      <c r="E85" s="20"/>
      <c r="F85" s="20"/>
      <c r="G85" s="2"/>
      <c r="H85" s="20"/>
      <c r="I85" s="2"/>
      <c r="J85" s="20"/>
      <c r="K85" s="20"/>
      <c r="L85" s="20"/>
      <c r="M85" s="20"/>
      <c r="N85" s="2"/>
      <c r="O85" s="20"/>
      <c r="P85" s="12"/>
      <c r="Q85" s="18"/>
      <c r="R85" s="18"/>
      <c r="S85" s="18"/>
      <c r="T85" s="18">
        <v>1</v>
      </c>
      <c r="U85" s="12"/>
      <c r="V85" s="18"/>
      <c r="W85" s="12"/>
      <c r="X85" s="18"/>
      <c r="Y85" s="18"/>
      <c r="Z85" s="20"/>
      <c r="AA85" s="20"/>
      <c r="AB85" s="2"/>
      <c r="AC85" s="20"/>
      <c r="AD85" s="3"/>
      <c r="AE85" s="20"/>
      <c r="AF85" s="20"/>
      <c r="AG85" s="21">
        <f t="shared" si="4"/>
        <v>1</v>
      </c>
      <c r="AH85" s="22">
        <v>1000</v>
      </c>
      <c r="AI85" s="23" t="str">
        <f t="shared" si="5"/>
        <v>傻妹</v>
      </c>
      <c r="AJ85" s="44" t="s">
        <v>201</v>
      </c>
    </row>
    <row r="86" spans="1:36" ht="18" customHeight="1">
      <c r="A86" s="18" t="s">
        <v>58</v>
      </c>
      <c r="B86" s="19" t="s">
        <v>96</v>
      </c>
      <c r="C86" s="20"/>
      <c r="D86" s="20"/>
      <c r="E86" s="20"/>
      <c r="F86" s="20"/>
      <c r="G86" s="2"/>
      <c r="H86" s="20"/>
      <c r="I86" s="2"/>
      <c r="J86" s="20"/>
      <c r="K86" s="20"/>
      <c r="L86" s="20"/>
      <c r="M86" s="20"/>
      <c r="N86" s="2"/>
      <c r="O86" s="20"/>
      <c r="P86" s="12"/>
      <c r="Q86" s="18"/>
      <c r="R86" s="18"/>
      <c r="S86" s="18"/>
      <c r="T86" s="18"/>
      <c r="U86" s="12"/>
      <c r="V86" s="18"/>
      <c r="W86" s="12"/>
      <c r="X86" s="18"/>
      <c r="Y86" s="18"/>
      <c r="Z86" s="20"/>
      <c r="AA86" s="20"/>
      <c r="AB86" s="2"/>
      <c r="AC86" s="20"/>
      <c r="AD86" s="3"/>
      <c r="AE86" s="20"/>
      <c r="AF86" s="20"/>
      <c r="AG86" s="21">
        <f t="shared" si="4"/>
        <v>0</v>
      </c>
      <c r="AH86" s="22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23" t="str">
        <f t="shared" si="5"/>
        <v>靜婷</v>
      </c>
      <c r="AJ86" s="25"/>
    </row>
    <row r="87" spans="1:36" ht="18" customHeight="1">
      <c r="A87" s="18" t="s">
        <v>58</v>
      </c>
      <c r="B87" s="19" t="s">
        <v>197</v>
      </c>
      <c r="C87" s="20">
        <v>1</v>
      </c>
      <c r="D87" s="20">
        <v>1</v>
      </c>
      <c r="E87" s="20"/>
      <c r="F87" s="20"/>
      <c r="G87" s="2"/>
      <c r="H87" s="20">
        <v>1</v>
      </c>
      <c r="I87" s="2"/>
      <c r="J87" s="20">
        <v>1</v>
      </c>
      <c r="K87" s="20">
        <v>1</v>
      </c>
      <c r="L87" s="20"/>
      <c r="M87" s="20"/>
      <c r="N87" s="2"/>
      <c r="O87" s="20">
        <v>1</v>
      </c>
      <c r="P87" s="12"/>
      <c r="Q87" s="18"/>
      <c r="R87" s="18"/>
      <c r="S87" s="18"/>
      <c r="T87" s="18"/>
      <c r="U87" s="12"/>
      <c r="V87" s="18">
        <v>1</v>
      </c>
      <c r="W87" s="12"/>
      <c r="X87" s="18">
        <v>1</v>
      </c>
      <c r="Y87" s="18">
        <v>1</v>
      </c>
      <c r="Z87" s="20"/>
      <c r="AA87" s="20"/>
      <c r="AB87" s="2"/>
      <c r="AC87" s="20"/>
      <c r="AD87" s="3"/>
      <c r="AE87" s="20"/>
      <c r="AF87" s="20"/>
      <c r="AG87" s="21">
        <f t="shared" si="4"/>
        <v>9</v>
      </c>
      <c r="AH87" s="22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23" t="str">
        <f t="shared" si="5"/>
        <v>Abby</v>
      </c>
      <c r="AJ87" s="25"/>
    </row>
    <row r="88" spans="1:36" ht="18" customHeight="1">
      <c r="A88" s="18" t="s">
        <v>58</v>
      </c>
      <c r="B88" s="19" t="s">
        <v>95</v>
      </c>
      <c r="C88" s="20">
        <v>1</v>
      </c>
      <c r="D88" s="20">
        <v>1</v>
      </c>
      <c r="E88" s="20">
        <v>1</v>
      </c>
      <c r="F88" s="20"/>
      <c r="G88" s="2"/>
      <c r="H88" s="20">
        <v>1</v>
      </c>
      <c r="I88" s="2"/>
      <c r="J88" s="20"/>
      <c r="K88" s="20"/>
      <c r="L88" s="20">
        <v>1</v>
      </c>
      <c r="M88" s="20"/>
      <c r="N88" s="2"/>
      <c r="O88" s="20"/>
      <c r="P88" s="12"/>
      <c r="Q88" s="18">
        <v>1</v>
      </c>
      <c r="R88" s="18"/>
      <c r="S88" s="18">
        <v>1</v>
      </c>
      <c r="T88" s="18">
        <v>1</v>
      </c>
      <c r="U88" s="12"/>
      <c r="V88" s="18">
        <v>1</v>
      </c>
      <c r="W88" s="12"/>
      <c r="X88" s="18">
        <v>1</v>
      </c>
      <c r="Y88" s="18">
        <v>1</v>
      </c>
      <c r="Z88" s="20">
        <v>1</v>
      </c>
      <c r="AA88" s="20"/>
      <c r="AB88" s="2"/>
      <c r="AC88" s="20">
        <v>1</v>
      </c>
      <c r="AD88" s="3"/>
      <c r="AE88" s="20">
        <v>1</v>
      </c>
      <c r="AF88" s="20"/>
      <c r="AG88" s="21">
        <f t="shared" si="4"/>
        <v>14</v>
      </c>
      <c r="AH88" s="22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23" t="str">
        <f t="shared" si="5"/>
        <v>小吱</v>
      </c>
      <c r="AJ88" s="25"/>
    </row>
    <row r="89" spans="1:36" ht="18" customHeight="1">
      <c r="A89" s="18" t="s">
        <v>58</v>
      </c>
      <c r="B89" s="19" t="s">
        <v>148</v>
      </c>
      <c r="C89" s="20"/>
      <c r="D89" s="20"/>
      <c r="E89" s="20"/>
      <c r="F89" s="20"/>
      <c r="G89" s="2"/>
      <c r="H89" s="20">
        <v>1</v>
      </c>
      <c r="I89" s="2"/>
      <c r="J89" s="20"/>
      <c r="K89" s="20"/>
      <c r="L89" s="20"/>
      <c r="M89" s="20"/>
      <c r="N89" s="2"/>
      <c r="O89" s="20">
        <v>1</v>
      </c>
      <c r="P89" s="12"/>
      <c r="Q89" s="18"/>
      <c r="R89" s="18"/>
      <c r="S89" s="18"/>
      <c r="T89" s="18"/>
      <c r="U89" s="12"/>
      <c r="V89" s="18"/>
      <c r="W89" s="12"/>
      <c r="X89" s="18"/>
      <c r="Y89" s="18"/>
      <c r="Z89" s="20"/>
      <c r="AA89" s="20"/>
      <c r="AB89" s="2"/>
      <c r="AC89" s="20"/>
      <c r="AD89" s="3"/>
      <c r="AE89" s="20"/>
      <c r="AF89" s="20"/>
      <c r="AG89" s="21">
        <f t="shared" si="4"/>
        <v>2</v>
      </c>
      <c r="AH89" s="22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23" t="str">
        <f t="shared" si="5"/>
        <v>雅雅</v>
      </c>
      <c r="AJ89" s="25"/>
    </row>
    <row r="90" spans="1:36" ht="18" customHeight="1">
      <c r="A90" s="18" t="s">
        <v>58</v>
      </c>
      <c r="B90" s="19" t="s">
        <v>154</v>
      </c>
      <c r="C90" s="20"/>
      <c r="D90" s="20"/>
      <c r="E90" s="20"/>
      <c r="F90" s="20"/>
      <c r="G90" s="2"/>
      <c r="H90" s="20"/>
      <c r="I90" s="2"/>
      <c r="J90" s="20"/>
      <c r="K90" s="20"/>
      <c r="L90" s="20"/>
      <c r="M90" s="20"/>
      <c r="N90" s="2"/>
      <c r="O90" s="20"/>
      <c r="P90" s="12"/>
      <c r="Q90" s="18"/>
      <c r="R90" s="18"/>
      <c r="S90" s="18"/>
      <c r="T90" s="18"/>
      <c r="U90" s="12"/>
      <c r="V90" s="18"/>
      <c r="W90" s="12"/>
      <c r="X90" s="18"/>
      <c r="Y90" s="18"/>
      <c r="Z90" s="20"/>
      <c r="AA90" s="20"/>
      <c r="AB90" s="2"/>
      <c r="AC90" s="20"/>
      <c r="AD90" s="3"/>
      <c r="AE90" s="20"/>
      <c r="AF90" s="20"/>
      <c r="AG90" s="21">
        <f t="shared" si="4"/>
        <v>0</v>
      </c>
      <c r="AH90" s="22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23" t="str">
        <f t="shared" si="5"/>
        <v>筱攸</v>
      </c>
      <c r="AJ90" s="25"/>
    </row>
    <row r="91" spans="1:36" ht="18" customHeight="1">
      <c r="A91" s="18" t="s">
        <v>58</v>
      </c>
      <c r="B91" s="19" t="s">
        <v>155</v>
      </c>
      <c r="C91" s="20"/>
      <c r="D91" s="20"/>
      <c r="E91" s="20"/>
      <c r="F91" s="20"/>
      <c r="G91" s="2"/>
      <c r="H91" s="20"/>
      <c r="I91" s="2"/>
      <c r="J91" s="20"/>
      <c r="K91" s="20"/>
      <c r="L91" s="20"/>
      <c r="M91" s="20"/>
      <c r="N91" s="2"/>
      <c r="O91" s="20"/>
      <c r="P91" s="12"/>
      <c r="Q91" s="18"/>
      <c r="R91" s="18"/>
      <c r="S91" s="18"/>
      <c r="T91" s="18"/>
      <c r="U91" s="12"/>
      <c r="V91" s="18"/>
      <c r="W91" s="12"/>
      <c r="X91" s="18"/>
      <c r="Y91" s="18"/>
      <c r="Z91" s="20"/>
      <c r="AA91" s="20"/>
      <c r="AB91" s="2"/>
      <c r="AC91" s="20"/>
      <c r="AD91" s="3"/>
      <c r="AE91" s="20"/>
      <c r="AF91" s="20"/>
      <c r="AG91" s="21">
        <f t="shared" si="4"/>
        <v>0</v>
      </c>
      <c r="AH91" s="22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23" t="str">
        <f t="shared" si="5"/>
        <v>康康</v>
      </c>
      <c r="AJ91" s="25"/>
    </row>
    <row r="92" spans="1:36" ht="18" customHeight="1">
      <c r="A92" s="18" t="s">
        <v>58</v>
      </c>
      <c r="B92" s="19" t="s">
        <v>156</v>
      </c>
      <c r="C92" s="20"/>
      <c r="D92" s="20"/>
      <c r="E92" s="20"/>
      <c r="F92" s="20"/>
      <c r="G92" s="2"/>
      <c r="H92" s="20"/>
      <c r="I92" s="2"/>
      <c r="J92" s="20"/>
      <c r="K92" s="20"/>
      <c r="L92" s="20"/>
      <c r="M92" s="20"/>
      <c r="N92" s="2"/>
      <c r="O92" s="20"/>
      <c r="P92" s="12"/>
      <c r="Q92" s="18"/>
      <c r="R92" s="18"/>
      <c r="S92" s="18"/>
      <c r="T92" s="18">
        <v>1</v>
      </c>
      <c r="U92" s="12"/>
      <c r="V92" s="18"/>
      <c r="W92" s="12"/>
      <c r="X92" s="18"/>
      <c r="Y92" s="18"/>
      <c r="Z92" s="20"/>
      <c r="AA92" s="20"/>
      <c r="AB92" s="2"/>
      <c r="AC92" s="20"/>
      <c r="AD92" s="3"/>
      <c r="AE92" s="20"/>
      <c r="AF92" s="20"/>
      <c r="AG92" s="21">
        <f t="shared" si="4"/>
        <v>1</v>
      </c>
      <c r="AH92" s="22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23" t="str">
        <f t="shared" si="5"/>
        <v>阿金</v>
      </c>
      <c r="AJ92" s="25"/>
    </row>
    <row r="93" spans="1:36" ht="18" customHeight="1">
      <c r="A93" s="18" t="s">
        <v>58</v>
      </c>
      <c r="B93" s="19" t="s">
        <v>157</v>
      </c>
      <c r="C93" s="20"/>
      <c r="D93" s="20"/>
      <c r="E93" s="20"/>
      <c r="F93" s="20"/>
      <c r="G93" s="2"/>
      <c r="H93" s="20"/>
      <c r="I93" s="2"/>
      <c r="J93" s="20"/>
      <c r="K93" s="20"/>
      <c r="L93" s="20"/>
      <c r="M93" s="20"/>
      <c r="N93" s="2"/>
      <c r="O93" s="20"/>
      <c r="P93" s="12"/>
      <c r="Q93" s="18"/>
      <c r="R93" s="18"/>
      <c r="S93" s="18"/>
      <c r="T93" s="18"/>
      <c r="U93" s="12"/>
      <c r="V93" s="18"/>
      <c r="W93" s="12"/>
      <c r="X93" s="18"/>
      <c r="Y93" s="18"/>
      <c r="Z93" s="20"/>
      <c r="AA93" s="20"/>
      <c r="AB93" s="2"/>
      <c r="AC93" s="20"/>
      <c r="AD93" s="3"/>
      <c r="AE93" s="20"/>
      <c r="AF93" s="20"/>
      <c r="AG93" s="21">
        <f t="shared" si="4"/>
        <v>0</v>
      </c>
      <c r="AH93" s="22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23" t="str">
        <f t="shared" si="5"/>
        <v>派大</v>
      </c>
      <c r="AJ93" s="25"/>
    </row>
    <row r="94" spans="1:36" ht="18" customHeight="1">
      <c r="A94" s="18" t="s">
        <v>58</v>
      </c>
      <c r="B94" s="19" t="s">
        <v>158</v>
      </c>
      <c r="C94" s="20"/>
      <c r="D94" s="20"/>
      <c r="E94" s="20"/>
      <c r="F94" s="20"/>
      <c r="G94" s="2"/>
      <c r="H94" s="20"/>
      <c r="I94" s="2"/>
      <c r="J94" s="20"/>
      <c r="K94" s="20"/>
      <c r="L94" s="20"/>
      <c r="M94" s="20"/>
      <c r="N94" s="2"/>
      <c r="O94" s="20"/>
      <c r="P94" s="12"/>
      <c r="Q94" s="18"/>
      <c r="R94" s="18"/>
      <c r="S94" s="18"/>
      <c r="T94" s="18"/>
      <c r="U94" s="12"/>
      <c r="V94" s="18"/>
      <c r="W94" s="12"/>
      <c r="X94" s="18"/>
      <c r="Y94" s="18"/>
      <c r="Z94" s="20"/>
      <c r="AA94" s="20"/>
      <c r="AB94" s="2"/>
      <c r="AC94" s="20"/>
      <c r="AD94" s="3"/>
      <c r="AE94" s="20"/>
      <c r="AF94" s="20"/>
      <c r="AG94" s="21">
        <f t="shared" si="4"/>
        <v>0</v>
      </c>
      <c r="AH94" s="22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23" t="str">
        <f t="shared" si="5"/>
        <v>吉娃</v>
      </c>
      <c r="AJ94" s="25"/>
    </row>
    <row r="95" spans="1:36" ht="18" customHeight="1">
      <c r="A95" s="18" t="s">
        <v>58</v>
      </c>
      <c r="B95" s="19" t="s">
        <v>159</v>
      </c>
      <c r="C95" s="20"/>
      <c r="D95" s="20"/>
      <c r="E95" s="20"/>
      <c r="F95" s="20"/>
      <c r="G95" s="2"/>
      <c r="H95" s="20"/>
      <c r="I95" s="2"/>
      <c r="J95" s="20"/>
      <c r="K95" s="20"/>
      <c r="L95" s="20"/>
      <c r="M95" s="20"/>
      <c r="N95" s="2"/>
      <c r="O95" s="20"/>
      <c r="P95" s="12"/>
      <c r="Q95" s="18"/>
      <c r="R95" s="18"/>
      <c r="S95" s="18"/>
      <c r="T95" s="18"/>
      <c r="U95" s="12"/>
      <c r="V95" s="18"/>
      <c r="W95" s="12"/>
      <c r="X95" s="18"/>
      <c r="Y95" s="18"/>
      <c r="Z95" s="20"/>
      <c r="AA95" s="20"/>
      <c r="AB95" s="2"/>
      <c r="AC95" s="20"/>
      <c r="AD95" s="3"/>
      <c r="AE95" s="20"/>
      <c r="AF95" s="20"/>
      <c r="AG95" s="21">
        <f t="shared" si="4"/>
        <v>0</v>
      </c>
      <c r="AH95" s="22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23" t="str">
        <f t="shared" si="5"/>
        <v>小寧</v>
      </c>
      <c r="AJ95" s="25"/>
    </row>
    <row r="96" spans="1:36" ht="18" customHeight="1">
      <c r="A96" s="18" t="s">
        <v>58</v>
      </c>
      <c r="B96" s="19" t="s">
        <v>160</v>
      </c>
      <c r="C96" s="20"/>
      <c r="D96" s="20"/>
      <c r="E96" s="20"/>
      <c r="F96" s="20"/>
      <c r="G96" s="2"/>
      <c r="H96" s="20"/>
      <c r="I96" s="2"/>
      <c r="J96" s="20"/>
      <c r="K96" s="20"/>
      <c r="L96" s="20"/>
      <c r="M96" s="20"/>
      <c r="N96" s="2"/>
      <c r="O96" s="20"/>
      <c r="P96" s="12"/>
      <c r="Q96" s="18"/>
      <c r="R96" s="18"/>
      <c r="S96" s="18"/>
      <c r="T96" s="18"/>
      <c r="U96" s="12"/>
      <c r="V96" s="18"/>
      <c r="W96" s="12"/>
      <c r="X96" s="18"/>
      <c r="Y96" s="18"/>
      <c r="Z96" s="20"/>
      <c r="AA96" s="20"/>
      <c r="AB96" s="2"/>
      <c r="AC96" s="20"/>
      <c r="AD96" s="3"/>
      <c r="AE96" s="20"/>
      <c r="AF96" s="20"/>
      <c r="AG96" s="21">
        <f t="shared" si="4"/>
        <v>0</v>
      </c>
      <c r="AH96" s="22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23" t="str">
        <f t="shared" si="5"/>
        <v>小妹</v>
      </c>
      <c r="AJ96" s="25"/>
    </row>
    <row r="97" spans="1:36" ht="18" customHeight="1">
      <c r="A97" s="18" t="s">
        <v>58</v>
      </c>
      <c r="B97" s="19" t="s">
        <v>101</v>
      </c>
      <c r="C97" s="20"/>
      <c r="D97" s="20"/>
      <c r="E97" s="20"/>
      <c r="F97" s="20"/>
      <c r="G97" s="2"/>
      <c r="H97" s="20"/>
      <c r="I97" s="2"/>
      <c r="J97" s="20"/>
      <c r="K97" s="20"/>
      <c r="L97" s="20"/>
      <c r="M97" s="20"/>
      <c r="N97" s="2"/>
      <c r="O97" s="20"/>
      <c r="P97" s="12"/>
      <c r="Q97" s="18"/>
      <c r="R97" s="18"/>
      <c r="S97" s="18"/>
      <c r="T97" s="18"/>
      <c r="U97" s="12"/>
      <c r="V97" s="18"/>
      <c r="W97" s="12"/>
      <c r="X97" s="18"/>
      <c r="Y97" s="18"/>
      <c r="Z97" s="20"/>
      <c r="AA97" s="20"/>
      <c r="AB97" s="2"/>
      <c r="AC97" s="20"/>
      <c r="AD97" s="3"/>
      <c r="AE97" s="20"/>
      <c r="AF97" s="20"/>
      <c r="AG97" s="21">
        <f t="shared" si="4"/>
        <v>0</v>
      </c>
      <c r="AH97" s="22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23" t="str">
        <f t="shared" si="5"/>
        <v>文媛</v>
      </c>
      <c r="AJ97" s="25"/>
    </row>
    <row r="98" spans="1:36" ht="18" customHeight="1">
      <c r="A98" s="18" t="s">
        <v>58</v>
      </c>
      <c r="B98" s="19" t="s">
        <v>161</v>
      </c>
      <c r="C98" s="20"/>
      <c r="D98" s="20"/>
      <c r="E98" s="20"/>
      <c r="F98" s="20"/>
      <c r="G98" s="2"/>
      <c r="H98" s="20"/>
      <c r="I98" s="2"/>
      <c r="J98" s="20"/>
      <c r="K98" s="20"/>
      <c r="L98" s="20"/>
      <c r="M98" s="20"/>
      <c r="N98" s="2"/>
      <c r="O98" s="20"/>
      <c r="P98" s="12"/>
      <c r="Q98" s="18"/>
      <c r="R98" s="18"/>
      <c r="S98" s="18"/>
      <c r="T98" s="18"/>
      <c r="U98" s="12"/>
      <c r="V98" s="18"/>
      <c r="W98" s="12"/>
      <c r="X98" s="18"/>
      <c r="Y98" s="18"/>
      <c r="Z98" s="20"/>
      <c r="AA98" s="20"/>
      <c r="AB98" s="2"/>
      <c r="AC98" s="20"/>
      <c r="AD98" s="3"/>
      <c r="AE98" s="20"/>
      <c r="AF98" s="20"/>
      <c r="AG98" s="21">
        <f t="shared" si="4"/>
        <v>0</v>
      </c>
      <c r="AH98" s="22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23" t="str">
        <f t="shared" si="5"/>
        <v>佩鈺</v>
      </c>
      <c r="AJ98" s="25"/>
    </row>
    <row r="99" spans="1:36" ht="18" customHeight="1">
      <c r="A99" s="18" t="s">
        <v>58</v>
      </c>
      <c r="B99" s="19" t="s">
        <v>162</v>
      </c>
      <c r="C99" s="20"/>
      <c r="D99" s="20"/>
      <c r="E99" s="20"/>
      <c r="F99" s="20"/>
      <c r="G99" s="2"/>
      <c r="H99" s="20"/>
      <c r="I99" s="2"/>
      <c r="J99" s="20"/>
      <c r="K99" s="20"/>
      <c r="L99" s="20"/>
      <c r="M99" s="20"/>
      <c r="N99" s="2"/>
      <c r="O99" s="20"/>
      <c r="P99" s="12"/>
      <c r="Q99" s="18"/>
      <c r="R99" s="18"/>
      <c r="S99" s="18"/>
      <c r="T99" s="18"/>
      <c r="U99" s="12"/>
      <c r="V99" s="18"/>
      <c r="W99" s="12"/>
      <c r="X99" s="18"/>
      <c r="Y99" s="18"/>
      <c r="Z99" s="20"/>
      <c r="AA99" s="20"/>
      <c r="AB99" s="2"/>
      <c r="AC99" s="20"/>
      <c r="AD99" s="3"/>
      <c r="AE99" s="20"/>
      <c r="AF99" s="20"/>
      <c r="AG99" s="21">
        <f t="shared" si="4"/>
        <v>0</v>
      </c>
      <c r="AH99" s="22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23" t="str">
        <f t="shared" si="5"/>
        <v>阿布</v>
      </c>
      <c r="AJ99" s="25"/>
    </row>
    <row r="100" spans="1:36" ht="18" customHeight="1">
      <c r="A100" s="26" t="s">
        <v>58</v>
      </c>
      <c r="B100" s="27" t="s">
        <v>104</v>
      </c>
      <c r="C100" s="28"/>
      <c r="D100" s="28">
        <v>1</v>
      </c>
      <c r="E100" s="28">
        <v>1</v>
      </c>
      <c r="F100" s="28"/>
      <c r="G100" s="2"/>
      <c r="H100" s="28">
        <v>1</v>
      </c>
      <c r="I100" s="2"/>
      <c r="J100" s="28"/>
      <c r="K100" s="28">
        <v>1</v>
      </c>
      <c r="L100" s="28">
        <v>1</v>
      </c>
      <c r="M100" s="28"/>
      <c r="N100" s="2"/>
      <c r="O100" s="28">
        <v>1</v>
      </c>
      <c r="P100" s="12"/>
      <c r="Q100" s="26">
        <v>1</v>
      </c>
      <c r="R100" s="26"/>
      <c r="S100" s="26">
        <v>1</v>
      </c>
      <c r="T100" s="26">
        <v>1</v>
      </c>
      <c r="U100" s="12"/>
      <c r="V100" s="26">
        <v>1</v>
      </c>
      <c r="W100" s="12"/>
      <c r="X100" s="26">
        <v>1</v>
      </c>
      <c r="Y100" s="26">
        <v>1</v>
      </c>
      <c r="Z100" s="28">
        <v>1</v>
      </c>
      <c r="AA100" s="28"/>
      <c r="AB100" s="2"/>
      <c r="AC100" s="28">
        <v>1</v>
      </c>
      <c r="AD100" s="3"/>
      <c r="AE100" s="28">
        <v>1</v>
      </c>
      <c r="AF100" s="28"/>
      <c r="AG100" s="29">
        <f t="shared" ref="AG100:AG131" si="6">COUNTA(C100:AF100)</f>
        <v>15</v>
      </c>
      <c r="AH100" s="30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31" t="str">
        <f t="shared" ref="AI100:AI129" si="7">B100</f>
        <v>卡丘</v>
      </c>
      <c r="AJ100" s="32"/>
    </row>
    <row r="101" spans="1:36" ht="18" customHeight="1">
      <c r="A101" s="26" t="s">
        <v>58</v>
      </c>
      <c r="B101" s="27" t="s">
        <v>124</v>
      </c>
      <c r="C101" s="28"/>
      <c r="D101" s="28">
        <v>1</v>
      </c>
      <c r="E101" s="28">
        <v>1</v>
      </c>
      <c r="F101" s="28"/>
      <c r="G101" s="2"/>
      <c r="H101" s="28">
        <v>1</v>
      </c>
      <c r="I101" s="2"/>
      <c r="J101" s="28">
        <v>1</v>
      </c>
      <c r="K101" s="28">
        <v>1</v>
      </c>
      <c r="L101" s="28">
        <v>1</v>
      </c>
      <c r="M101" s="28"/>
      <c r="N101" s="2"/>
      <c r="O101" s="28">
        <v>1</v>
      </c>
      <c r="P101" s="12"/>
      <c r="Q101" s="26"/>
      <c r="R101" s="26"/>
      <c r="S101" s="26"/>
      <c r="T101" s="26"/>
      <c r="U101" s="12"/>
      <c r="V101" s="26">
        <v>1</v>
      </c>
      <c r="W101" s="12"/>
      <c r="X101" s="26"/>
      <c r="Y101" s="26">
        <v>1</v>
      </c>
      <c r="Z101" s="28"/>
      <c r="AA101" s="28"/>
      <c r="AB101" s="2"/>
      <c r="AC101" s="28">
        <v>1</v>
      </c>
      <c r="AD101" s="3"/>
      <c r="AE101" s="28"/>
      <c r="AF101" s="28"/>
      <c r="AG101" s="29">
        <f t="shared" si="6"/>
        <v>10</v>
      </c>
      <c r="AH101" s="30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31" t="str">
        <f t="shared" si="7"/>
        <v>玉蕙</v>
      </c>
      <c r="AJ101" s="32"/>
    </row>
    <row r="102" spans="1:36" ht="18" customHeight="1">
      <c r="A102" s="26" t="s">
        <v>58</v>
      </c>
      <c r="B102" s="27" t="s">
        <v>125</v>
      </c>
      <c r="C102" s="28"/>
      <c r="D102" s="28"/>
      <c r="E102" s="28"/>
      <c r="F102" s="28"/>
      <c r="G102" s="2"/>
      <c r="H102" s="28"/>
      <c r="I102" s="2"/>
      <c r="J102" s="28"/>
      <c r="K102" s="28"/>
      <c r="L102" s="28"/>
      <c r="M102" s="28"/>
      <c r="N102" s="2"/>
      <c r="O102" s="28"/>
      <c r="P102" s="12"/>
      <c r="Q102" s="26"/>
      <c r="R102" s="26"/>
      <c r="S102" s="26"/>
      <c r="T102" s="26"/>
      <c r="U102" s="12"/>
      <c r="V102" s="26"/>
      <c r="W102" s="12"/>
      <c r="X102" s="26"/>
      <c r="Y102" s="26"/>
      <c r="Z102" s="28"/>
      <c r="AA102" s="28"/>
      <c r="AB102" s="2"/>
      <c r="AC102" s="28"/>
      <c r="AD102" s="3"/>
      <c r="AE102" s="28"/>
      <c r="AF102" s="28"/>
      <c r="AG102" s="29">
        <f t="shared" si="6"/>
        <v>0</v>
      </c>
      <c r="AH102" s="30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31" t="str">
        <f t="shared" si="7"/>
        <v>沛緁</v>
      </c>
      <c r="AJ102" s="32"/>
    </row>
    <row r="103" spans="1:36" ht="18" customHeight="1">
      <c r="A103" s="26" t="s">
        <v>58</v>
      </c>
      <c r="B103" s="27" t="s">
        <v>126</v>
      </c>
      <c r="C103" s="28">
        <v>1</v>
      </c>
      <c r="D103" s="28">
        <v>1</v>
      </c>
      <c r="E103" s="28"/>
      <c r="F103" s="28"/>
      <c r="G103" s="2"/>
      <c r="H103" s="28">
        <v>1</v>
      </c>
      <c r="I103" s="2"/>
      <c r="J103" s="28">
        <v>1</v>
      </c>
      <c r="K103" s="28">
        <v>1</v>
      </c>
      <c r="L103" s="28"/>
      <c r="M103" s="28"/>
      <c r="N103" s="2"/>
      <c r="O103" s="28">
        <v>1</v>
      </c>
      <c r="P103" s="12"/>
      <c r="Q103" s="26">
        <v>1</v>
      </c>
      <c r="R103" s="26"/>
      <c r="S103" s="26"/>
      <c r="T103" s="26"/>
      <c r="U103" s="12"/>
      <c r="V103" s="26">
        <v>1</v>
      </c>
      <c r="W103" s="12"/>
      <c r="X103" s="26"/>
      <c r="Y103" s="26">
        <v>1</v>
      </c>
      <c r="Z103" s="28"/>
      <c r="AA103" s="28"/>
      <c r="AB103" s="2"/>
      <c r="AC103" s="28">
        <v>1</v>
      </c>
      <c r="AD103" s="3"/>
      <c r="AE103" s="28"/>
      <c r="AF103" s="28"/>
      <c r="AG103" s="29">
        <f t="shared" si="6"/>
        <v>10</v>
      </c>
      <c r="AH103" s="30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31" t="str">
        <f t="shared" si="7"/>
        <v>妹妹</v>
      </c>
      <c r="AJ103" s="32"/>
    </row>
    <row r="104" spans="1:36" ht="18" customHeight="1">
      <c r="A104" s="26" t="s">
        <v>58</v>
      </c>
      <c r="B104" s="27" t="s">
        <v>127</v>
      </c>
      <c r="C104" s="28">
        <v>1</v>
      </c>
      <c r="D104" s="28">
        <v>1</v>
      </c>
      <c r="E104" s="28">
        <v>1</v>
      </c>
      <c r="F104" s="28"/>
      <c r="G104" s="2"/>
      <c r="H104" s="28">
        <v>1</v>
      </c>
      <c r="I104" s="2"/>
      <c r="J104" s="28"/>
      <c r="K104" s="28">
        <v>1</v>
      </c>
      <c r="L104" s="28">
        <v>1</v>
      </c>
      <c r="M104" s="28"/>
      <c r="N104" s="2"/>
      <c r="O104" s="28">
        <v>1</v>
      </c>
      <c r="P104" s="12"/>
      <c r="Q104" s="26">
        <v>1</v>
      </c>
      <c r="R104" s="26"/>
      <c r="S104" s="26">
        <v>1</v>
      </c>
      <c r="T104" s="26">
        <v>1</v>
      </c>
      <c r="U104" s="12"/>
      <c r="V104" s="26">
        <v>1</v>
      </c>
      <c r="W104" s="12"/>
      <c r="X104" s="26"/>
      <c r="Y104" s="26"/>
      <c r="Z104" s="28"/>
      <c r="AA104" s="28"/>
      <c r="AB104" s="2"/>
      <c r="AC104" s="28">
        <v>1</v>
      </c>
      <c r="AD104" s="3"/>
      <c r="AE104" s="28">
        <v>1</v>
      </c>
      <c r="AF104" s="28"/>
      <c r="AG104" s="29">
        <f t="shared" si="6"/>
        <v>13</v>
      </c>
      <c r="AH104" s="30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31" t="str">
        <f t="shared" si="7"/>
        <v>小雞</v>
      </c>
      <c r="AJ104" s="32"/>
    </row>
    <row r="105" spans="1:36" ht="18" customHeight="1">
      <c r="A105" s="26" t="s">
        <v>58</v>
      </c>
      <c r="B105" s="27" t="s">
        <v>128</v>
      </c>
      <c r="C105" s="28"/>
      <c r="D105" s="28"/>
      <c r="E105" s="28"/>
      <c r="F105" s="28"/>
      <c r="G105" s="2"/>
      <c r="H105" s="28"/>
      <c r="I105" s="2"/>
      <c r="J105" s="28"/>
      <c r="K105" s="28"/>
      <c r="L105" s="28"/>
      <c r="M105" s="28"/>
      <c r="N105" s="2"/>
      <c r="O105" s="28"/>
      <c r="P105" s="12"/>
      <c r="Q105" s="26"/>
      <c r="R105" s="26"/>
      <c r="S105" s="26"/>
      <c r="T105" s="26"/>
      <c r="U105" s="12"/>
      <c r="V105" s="26"/>
      <c r="W105" s="12"/>
      <c r="X105" s="26"/>
      <c r="Y105" s="26"/>
      <c r="Z105" s="28"/>
      <c r="AA105" s="28"/>
      <c r="AB105" s="2"/>
      <c r="AC105" s="28"/>
      <c r="AD105" s="3"/>
      <c r="AE105" s="28"/>
      <c r="AF105" s="28"/>
      <c r="AG105" s="29">
        <f t="shared" si="6"/>
        <v>0</v>
      </c>
      <c r="AH105" s="30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31" t="str">
        <f t="shared" si="7"/>
        <v>雨昕</v>
      </c>
      <c r="AJ105" s="32"/>
    </row>
    <row r="106" spans="1:36" ht="18" customHeight="1">
      <c r="A106" s="26" t="s">
        <v>58</v>
      </c>
      <c r="B106" s="27" t="s">
        <v>129</v>
      </c>
      <c r="C106" s="28"/>
      <c r="D106" s="28">
        <v>1</v>
      </c>
      <c r="E106" s="28">
        <v>1</v>
      </c>
      <c r="F106" s="28"/>
      <c r="G106" s="2"/>
      <c r="H106" s="28">
        <v>1</v>
      </c>
      <c r="I106" s="2"/>
      <c r="J106" s="28"/>
      <c r="K106" s="28"/>
      <c r="L106" s="28"/>
      <c r="M106" s="28"/>
      <c r="N106" s="2"/>
      <c r="O106" s="28">
        <v>1</v>
      </c>
      <c r="P106" s="12"/>
      <c r="Q106" s="26"/>
      <c r="R106" s="26"/>
      <c r="S106" s="26"/>
      <c r="T106" s="26"/>
      <c r="U106" s="12"/>
      <c r="V106" s="26">
        <v>1</v>
      </c>
      <c r="W106" s="12"/>
      <c r="X106" s="26"/>
      <c r="Y106" s="26">
        <v>1</v>
      </c>
      <c r="Z106" s="28"/>
      <c r="AA106" s="28"/>
      <c r="AB106" s="2"/>
      <c r="AC106" s="28"/>
      <c r="AD106" s="3"/>
      <c r="AE106" s="28"/>
      <c r="AF106" s="28"/>
      <c r="AG106" s="29">
        <f t="shared" si="6"/>
        <v>6</v>
      </c>
      <c r="AH106" s="30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31" t="str">
        <f t="shared" si="7"/>
        <v>矮矮</v>
      </c>
      <c r="AJ106" s="32"/>
    </row>
    <row r="107" spans="1:36" ht="18" customHeight="1">
      <c r="A107" s="26" t="s">
        <v>58</v>
      </c>
      <c r="B107" s="27" t="s">
        <v>130</v>
      </c>
      <c r="C107" s="28"/>
      <c r="D107" s="28"/>
      <c r="E107" s="28"/>
      <c r="F107" s="28"/>
      <c r="G107" s="2"/>
      <c r="H107" s="28"/>
      <c r="I107" s="2"/>
      <c r="J107" s="28"/>
      <c r="K107" s="28"/>
      <c r="L107" s="28">
        <v>1</v>
      </c>
      <c r="M107" s="28"/>
      <c r="N107" s="2"/>
      <c r="O107" s="28"/>
      <c r="P107" s="12"/>
      <c r="Q107" s="26"/>
      <c r="R107" s="26"/>
      <c r="S107" s="26"/>
      <c r="T107" s="26"/>
      <c r="U107" s="12"/>
      <c r="V107" s="26"/>
      <c r="W107" s="12"/>
      <c r="X107" s="26"/>
      <c r="Y107" s="26"/>
      <c r="Z107" s="28">
        <v>1</v>
      </c>
      <c r="AA107" s="28"/>
      <c r="AB107" s="2"/>
      <c r="AC107" s="28"/>
      <c r="AD107" s="3"/>
      <c r="AE107" s="28"/>
      <c r="AF107" s="28"/>
      <c r="AG107" s="29">
        <f t="shared" si="6"/>
        <v>2</v>
      </c>
      <c r="AH107" s="30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31" t="str">
        <f t="shared" si="7"/>
        <v>猛女</v>
      </c>
      <c r="AJ107" s="32"/>
    </row>
    <row r="108" spans="1:36" ht="18" customHeight="1">
      <c r="A108" s="26" t="s">
        <v>58</v>
      </c>
      <c r="B108" s="27" t="s">
        <v>131</v>
      </c>
      <c r="C108" s="28"/>
      <c r="D108" s="28"/>
      <c r="E108" s="28"/>
      <c r="F108" s="28"/>
      <c r="G108" s="2"/>
      <c r="H108" s="28"/>
      <c r="I108" s="2"/>
      <c r="J108" s="28"/>
      <c r="K108" s="28"/>
      <c r="L108" s="28"/>
      <c r="M108" s="28"/>
      <c r="N108" s="2"/>
      <c r="O108" s="28"/>
      <c r="P108" s="12"/>
      <c r="Q108" s="26"/>
      <c r="R108" s="26"/>
      <c r="S108" s="26"/>
      <c r="T108" s="26"/>
      <c r="U108" s="12"/>
      <c r="V108" s="26"/>
      <c r="W108" s="12"/>
      <c r="X108" s="26"/>
      <c r="Y108" s="26"/>
      <c r="Z108" s="28"/>
      <c r="AA108" s="28"/>
      <c r="AB108" s="2"/>
      <c r="AC108" s="28"/>
      <c r="AD108" s="3"/>
      <c r="AE108" s="28"/>
      <c r="AF108" s="28"/>
      <c r="AG108" s="29">
        <f t="shared" si="6"/>
        <v>0</v>
      </c>
      <c r="AH108" s="30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31" t="str">
        <f t="shared" si="7"/>
        <v>欣容</v>
      </c>
      <c r="AJ108" s="32"/>
    </row>
    <row r="109" spans="1:36" ht="18" customHeight="1">
      <c r="A109" s="26" t="s">
        <v>58</v>
      </c>
      <c r="B109" s="27" t="s">
        <v>132</v>
      </c>
      <c r="C109" s="28"/>
      <c r="D109" s="28"/>
      <c r="E109" s="28"/>
      <c r="F109" s="28"/>
      <c r="G109" s="2"/>
      <c r="H109" s="28"/>
      <c r="I109" s="2"/>
      <c r="J109" s="28"/>
      <c r="K109" s="28"/>
      <c r="L109" s="28"/>
      <c r="M109" s="28"/>
      <c r="N109" s="2"/>
      <c r="O109" s="28"/>
      <c r="P109" s="12"/>
      <c r="Q109" s="26"/>
      <c r="R109" s="26"/>
      <c r="S109" s="26"/>
      <c r="T109" s="26"/>
      <c r="U109" s="12"/>
      <c r="V109" s="26"/>
      <c r="W109" s="12"/>
      <c r="X109" s="26"/>
      <c r="Y109" s="26"/>
      <c r="Z109" s="28"/>
      <c r="AA109" s="28"/>
      <c r="AB109" s="2"/>
      <c r="AC109" s="28"/>
      <c r="AD109" s="3"/>
      <c r="AE109" s="28"/>
      <c r="AF109" s="28"/>
      <c r="AG109" s="29">
        <f t="shared" si="6"/>
        <v>0</v>
      </c>
      <c r="AH109" s="30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31" t="str">
        <f t="shared" si="7"/>
        <v>萁萁</v>
      </c>
      <c r="AJ109" s="32"/>
    </row>
    <row r="110" spans="1:36" ht="18" customHeight="1">
      <c r="A110" s="26" t="s">
        <v>58</v>
      </c>
      <c r="B110" s="27" t="s">
        <v>133</v>
      </c>
      <c r="C110" s="28"/>
      <c r="D110" s="28"/>
      <c r="E110" s="28"/>
      <c r="F110" s="28"/>
      <c r="G110" s="2"/>
      <c r="H110" s="28"/>
      <c r="I110" s="2"/>
      <c r="J110" s="28"/>
      <c r="K110" s="28"/>
      <c r="L110" s="28"/>
      <c r="M110" s="28"/>
      <c r="N110" s="2"/>
      <c r="O110" s="28"/>
      <c r="P110" s="12"/>
      <c r="Q110" s="26"/>
      <c r="R110" s="26"/>
      <c r="S110" s="26"/>
      <c r="T110" s="26"/>
      <c r="U110" s="12"/>
      <c r="V110" s="26"/>
      <c r="W110" s="12"/>
      <c r="X110" s="26"/>
      <c r="Y110" s="26"/>
      <c r="Z110" s="28"/>
      <c r="AA110" s="28"/>
      <c r="AB110" s="2"/>
      <c r="AC110" s="28"/>
      <c r="AD110" s="3"/>
      <c r="AE110" s="28"/>
      <c r="AF110" s="28"/>
      <c r="AG110" s="29">
        <f t="shared" si="6"/>
        <v>0</v>
      </c>
      <c r="AH110" s="30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31" t="str">
        <f t="shared" si="7"/>
        <v>萱</v>
      </c>
      <c r="AJ110" s="32"/>
    </row>
    <row r="111" spans="1:36" ht="18" customHeight="1">
      <c r="A111" s="26" t="s">
        <v>58</v>
      </c>
      <c r="B111" s="27" t="s">
        <v>134</v>
      </c>
      <c r="C111" s="28"/>
      <c r="D111" s="28"/>
      <c r="E111" s="28"/>
      <c r="F111" s="28"/>
      <c r="G111" s="2"/>
      <c r="H111" s="28"/>
      <c r="I111" s="2"/>
      <c r="J111" s="28"/>
      <c r="K111" s="28"/>
      <c r="L111" s="28"/>
      <c r="M111" s="28"/>
      <c r="N111" s="2"/>
      <c r="O111" s="28"/>
      <c r="P111" s="12"/>
      <c r="Q111" s="26"/>
      <c r="R111" s="26"/>
      <c r="S111" s="26"/>
      <c r="T111" s="26"/>
      <c r="U111" s="12"/>
      <c r="V111" s="26"/>
      <c r="W111" s="12"/>
      <c r="X111" s="26"/>
      <c r="Y111" s="26"/>
      <c r="Z111" s="28"/>
      <c r="AA111" s="28"/>
      <c r="AB111" s="2"/>
      <c r="AC111" s="28"/>
      <c r="AD111" s="3"/>
      <c r="AE111" s="28"/>
      <c r="AF111" s="28"/>
      <c r="AG111" s="29">
        <f t="shared" si="6"/>
        <v>0</v>
      </c>
      <c r="AH111" s="30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31" t="str">
        <f t="shared" si="7"/>
        <v>Mei</v>
      </c>
      <c r="AJ111" s="32"/>
    </row>
    <row r="112" spans="1:36" ht="18" customHeight="1">
      <c r="A112" s="26" t="s">
        <v>58</v>
      </c>
      <c r="B112" s="27" t="s">
        <v>135</v>
      </c>
      <c r="C112" s="28"/>
      <c r="D112" s="28"/>
      <c r="E112" s="28"/>
      <c r="F112" s="28"/>
      <c r="G112" s="2"/>
      <c r="H112" s="28"/>
      <c r="I112" s="2"/>
      <c r="J112" s="28"/>
      <c r="K112" s="28"/>
      <c r="L112" s="28"/>
      <c r="M112" s="28"/>
      <c r="N112" s="2"/>
      <c r="O112" s="28"/>
      <c r="P112" s="12"/>
      <c r="Q112" s="26"/>
      <c r="R112" s="26"/>
      <c r="S112" s="26"/>
      <c r="T112" s="26"/>
      <c r="U112" s="12"/>
      <c r="V112" s="26"/>
      <c r="W112" s="12"/>
      <c r="X112" s="26"/>
      <c r="Y112" s="26"/>
      <c r="Z112" s="28"/>
      <c r="AA112" s="28"/>
      <c r="AB112" s="2"/>
      <c r="AC112" s="28"/>
      <c r="AD112" s="3"/>
      <c r="AE112" s="28"/>
      <c r="AF112" s="28"/>
      <c r="AG112" s="29">
        <f t="shared" si="6"/>
        <v>0</v>
      </c>
      <c r="AH112" s="30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31" t="str">
        <f t="shared" si="7"/>
        <v>屁屁</v>
      </c>
      <c r="AJ112" s="32"/>
    </row>
    <row r="113" spans="1:36" ht="18" customHeight="1">
      <c r="A113" s="26" t="s">
        <v>58</v>
      </c>
      <c r="B113" s="27" t="s">
        <v>136</v>
      </c>
      <c r="C113" s="28"/>
      <c r="D113" s="28"/>
      <c r="E113" s="28"/>
      <c r="F113" s="28"/>
      <c r="G113" s="2"/>
      <c r="H113" s="28"/>
      <c r="I113" s="2"/>
      <c r="J113" s="28"/>
      <c r="K113" s="28"/>
      <c r="L113" s="28"/>
      <c r="M113" s="28"/>
      <c r="N113" s="2"/>
      <c r="O113" s="28"/>
      <c r="P113" s="12"/>
      <c r="Q113" s="26"/>
      <c r="R113" s="26"/>
      <c r="S113" s="26"/>
      <c r="T113" s="26"/>
      <c r="U113" s="12"/>
      <c r="V113" s="26"/>
      <c r="W113" s="12"/>
      <c r="X113" s="26"/>
      <c r="Y113" s="26"/>
      <c r="Z113" s="28"/>
      <c r="AA113" s="28"/>
      <c r="AB113" s="2"/>
      <c r="AC113" s="28"/>
      <c r="AD113" s="3"/>
      <c r="AE113" s="28"/>
      <c r="AF113" s="28"/>
      <c r="AG113" s="29">
        <f t="shared" si="6"/>
        <v>0</v>
      </c>
      <c r="AH113" s="30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31" t="str">
        <f t="shared" si="7"/>
        <v>泡泡</v>
      </c>
      <c r="AJ113" s="32"/>
    </row>
    <row r="114" spans="1:36" ht="18" customHeight="1">
      <c r="A114" s="26" t="s">
        <v>58</v>
      </c>
      <c r="B114" s="27" t="s">
        <v>137</v>
      </c>
      <c r="C114" s="28"/>
      <c r="D114" s="28"/>
      <c r="E114" s="28"/>
      <c r="F114" s="28"/>
      <c r="G114" s="2"/>
      <c r="H114" s="28"/>
      <c r="I114" s="2"/>
      <c r="J114" s="28"/>
      <c r="K114" s="28"/>
      <c r="L114" s="28"/>
      <c r="M114" s="28"/>
      <c r="N114" s="2"/>
      <c r="O114" s="28"/>
      <c r="P114" s="12"/>
      <c r="Q114" s="26"/>
      <c r="R114" s="26"/>
      <c r="S114" s="26"/>
      <c r="T114" s="26"/>
      <c r="U114" s="12"/>
      <c r="V114" s="26"/>
      <c r="W114" s="12"/>
      <c r="X114" s="26"/>
      <c r="Y114" s="26"/>
      <c r="Z114" s="28"/>
      <c r="AA114" s="28"/>
      <c r="AB114" s="2"/>
      <c r="AC114" s="28"/>
      <c r="AD114" s="3"/>
      <c r="AE114" s="28"/>
      <c r="AF114" s="28"/>
      <c r="AG114" s="29">
        <f t="shared" si="6"/>
        <v>0</v>
      </c>
      <c r="AH114" s="30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31" t="str">
        <f t="shared" si="7"/>
        <v>姚</v>
      </c>
      <c r="AJ114" s="32"/>
    </row>
    <row r="115" spans="1:36" ht="18" customHeight="1">
      <c r="A115" s="26" t="s">
        <v>58</v>
      </c>
      <c r="B115" s="27" t="s">
        <v>138</v>
      </c>
      <c r="C115" s="28"/>
      <c r="D115" s="28"/>
      <c r="E115" s="28"/>
      <c r="F115" s="28"/>
      <c r="G115" s="2"/>
      <c r="H115" s="28"/>
      <c r="I115" s="2"/>
      <c r="J115" s="28"/>
      <c r="K115" s="28"/>
      <c r="L115" s="28"/>
      <c r="M115" s="28"/>
      <c r="N115" s="2"/>
      <c r="O115" s="28">
        <v>1</v>
      </c>
      <c r="P115" s="12"/>
      <c r="Q115" s="26"/>
      <c r="R115" s="26"/>
      <c r="S115" s="26"/>
      <c r="T115" s="26"/>
      <c r="U115" s="12"/>
      <c r="V115" s="26"/>
      <c r="W115" s="12"/>
      <c r="X115" s="26"/>
      <c r="Y115" s="26"/>
      <c r="Z115" s="28"/>
      <c r="AA115" s="28"/>
      <c r="AB115" s="2"/>
      <c r="AC115" s="28"/>
      <c r="AD115" s="3"/>
      <c r="AE115" s="28"/>
      <c r="AF115" s="28"/>
      <c r="AG115" s="29">
        <f t="shared" si="6"/>
        <v>1</v>
      </c>
      <c r="AH115" s="30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31" t="str">
        <f t="shared" si="7"/>
        <v>奜茜</v>
      </c>
      <c r="AJ115" s="32"/>
    </row>
    <row r="116" spans="1:36" ht="18" customHeight="1">
      <c r="A116" s="35" t="s">
        <v>58</v>
      </c>
      <c r="B116" s="36" t="s">
        <v>121</v>
      </c>
      <c r="C116" s="37">
        <v>1</v>
      </c>
      <c r="D116" s="37">
        <v>1</v>
      </c>
      <c r="E116" s="37">
        <v>1</v>
      </c>
      <c r="F116" s="37"/>
      <c r="G116" s="2"/>
      <c r="H116" s="37">
        <v>1</v>
      </c>
      <c r="I116" s="2"/>
      <c r="J116" s="37"/>
      <c r="K116" s="37">
        <v>1</v>
      </c>
      <c r="L116" s="37">
        <v>1</v>
      </c>
      <c r="M116" s="37"/>
      <c r="N116" s="2"/>
      <c r="O116" s="37">
        <v>1</v>
      </c>
      <c r="P116" s="12"/>
      <c r="Q116" s="35"/>
      <c r="R116" s="35"/>
      <c r="S116" s="35">
        <v>1</v>
      </c>
      <c r="T116" s="35"/>
      <c r="U116" s="12"/>
      <c r="V116" s="35">
        <v>1</v>
      </c>
      <c r="W116" s="12"/>
      <c r="X116" s="35">
        <v>1</v>
      </c>
      <c r="Y116" s="35">
        <v>1</v>
      </c>
      <c r="Z116" s="37">
        <v>1</v>
      </c>
      <c r="AA116" s="37"/>
      <c r="AB116" s="2"/>
      <c r="AC116" s="37">
        <v>1</v>
      </c>
      <c r="AD116" s="3"/>
      <c r="AE116" s="37">
        <v>1</v>
      </c>
      <c r="AF116" s="37"/>
      <c r="AG116" s="38">
        <f t="shared" si="6"/>
        <v>14</v>
      </c>
      <c r="AH116" s="39">
        <v>1000</v>
      </c>
      <c r="AI116" s="40" t="str">
        <f t="shared" si="7"/>
        <v>冰沙</v>
      </c>
      <c r="AJ116" s="41"/>
    </row>
    <row r="117" spans="1:36" ht="18" customHeight="1">
      <c r="A117" s="35" t="s">
        <v>58</v>
      </c>
      <c r="B117" s="36" t="s">
        <v>139</v>
      </c>
      <c r="C117" s="37"/>
      <c r="D117" s="37">
        <v>1</v>
      </c>
      <c r="E117" s="37"/>
      <c r="F117" s="37"/>
      <c r="G117" s="2"/>
      <c r="H117" s="37">
        <v>1</v>
      </c>
      <c r="I117" s="2"/>
      <c r="J117" s="37"/>
      <c r="K117" s="37">
        <v>1</v>
      </c>
      <c r="L117" s="37">
        <v>1</v>
      </c>
      <c r="M117" s="37"/>
      <c r="N117" s="2"/>
      <c r="O117" s="37">
        <v>1</v>
      </c>
      <c r="P117" s="12"/>
      <c r="Q117" s="35"/>
      <c r="R117" s="35"/>
      <c r="S117" s="35">
        <v>1</v>
      </c>
      <c r="T117" s="35">
        <v>1</v>
      </c>
      <c r="U117" s="12"/>
      <c r="V117" s="35">
        <v>1</v>
      </c>
      <c r="W117" s="12"/>
      <c r="X117" s="35"/>
      <c r="Y117" s="35">
        <v>1</v>
      </c>
      <c r="Z117" s="37">
        <v>1</v>
      </c>
      <c r="AA117" s="37"/>
      <c r="AB117" s="2"/>
      <c r="AC117" s="37">
        <v>1</v>
      </c>
      <c r="AD117" s="3"/>
      <c r="AE117" s="37"/>
      <c r="AF117" s="37"/>
      <c r="AG117" s="38">
        <f t="shared" si="6"/>
        <v>11</v>
      </c>
      <c r="AH117" s="39">
        <v>1000</v>
      </c>
      <c r="AI117" s="40" t="str">
        <f t="shared" si="7"/>
        <v>Tina</v>
      </c>
      <c r="AJ117" s="41"/>
    </row>
    <row r="118" spans="1:36" ht="18" customHeight="1">
      <c r="A118" s="35" t="s">
        <v>58</v>
      </c>
      <c r="B118" s="36" t="s">
        <v>113</v>
      </c>
      <c r="C118" s="37"/>
      <c r="D118" s="37">
        <v>1</v>
      </c>
      <c r="E118" s="37"/>
      <c r="F118" s="37"/>
      <c r="G118" s="2"/>
      <c r="H118" s="37">
        <v>1</v>
      </c>
      <c r="I118" s="2"/>
      <c r="J118" s="37"/>
      <c r="K118" s="37">
        <v>1</v>
      </c>
      <c r="L118" s="37"/>
      <c r="M118" s="37"/>
      <c r="N118" s="2"/>
      <c r="O118" s="37">
        <v>1</v>
      </c>
      <c r="P118" s="12"/>
      <c r="Q118" s="35"/>
      <c r="R118" s="35"/>
      <c r="S118" s="35"/>
      <c r="T118" s="35"/>
      <c r="U118" s="12"/>
      <c r="V118" s="35">
        <v>1</v>
      </c>
      <c r="W118" s="12"/>
      <c r="X118" s="35"/>
      <c r="Y118" s="35">
        <v>1</v>
      </c>
      <c r="Z118" s="37"/>
      <c r="AA118" s="37"/>
      <c r="AB118" s="2"/>
      <c r="AC118" s="37">
        <v>1</v>
      </c>
      <c r="AD118" s="3"/>
      <c r="AE118" s="37"/>
      <c r="AF118" s="37"/>
      <c r="AG118" s="38">
        <f t="shared" si="6"/>
        <v>7</v>
      </c>
      <c r="AH118" s="39">
        <v>1000</v>
      </c>
      <c r="AI118" s="40" t="str">
        <f t="shared" si="7"/>
        <v>容容</v>
      </c>
      <c r="AJ118" s="41"/>
    </row>
    <row r="119" spans="1:36" ht="18" customHeight="1">
      <c r="A119" s="35" t="s">
        <v>58</v>
      </c>
      <c r="B119" s="36" t="s">
        <v>117</v>
      </c>
      <c r="C119" s="37"/>
      <c r="D119" s="37">
        <v>1</v>
      </c>
      <c r="E119" s="37"/>
      <c r="F119" s="37"/>
      <c r="G119" s="2"/>
      <c r="H119" s="37">
        <v>1</v>
      </c>
      <c r="I119" s="2"/>
      <c r="J119" s="37"/>
      <c r="K119" s="37">
        <v>1</v>
      </c>
      <c r="L119" s="37">
        <v>1</v>
      </c>
      <c r="M119" s="37"/>
      <c r="N119" s="2"/>
      <c r="O119" s="37">
        <v>1</v>
      </c>
      <c r="P119" s="12"/>
      <c r="Q119" s="35"/>
      <c r="R119" s="35"/>
      <c r="S119" s="35"/>
      <c r="T119" s="35"/>
      <c r="U119" s="12"/>
      <c r="V119" s="35">
        <v>1</v>
      </c>
      <c r="W119" s="12"/>
      <c r="X119" s="35">
        <v>1</v>
      </c>
      <c r="Y119" s="35">
        <v>1</v>
      </c>
      <c r="Z119" s="37">
        <v>1</v>
      </c>
      <c r="AA119" s="37"/>
      <c r="AB119" s="2"/>
      <c r="AC119" s="37">
        <v>1</v>
      </c>
      <c r="AD119" s="3"/>
      <c r="AE119" s="37"/>
      <c r="AF119" s="37"/>
      <c r="AG119" s="38">
        <f t="shared" si="6"/>
        <v>10</v>
      </c>
      <c r="AH119" s="39">
        <v>1000</v>
      </c>
      <c r="AI119" s="40" t="str">
        <f t="shared" si="7"/>
        <v>依凡</v>
      </c>
      <c r="AJ119" s="41"/>
    </row>
    <row r="120" spans="1:36" ht="18" customHeight="1">
      <c r="A120" s="35" t="s">
        <v>58</v>
      </c>
      <c r="B120" s="36" t="s">
        <v>122</v>
      </c>
      <c r="C120" s="37">
        <v>1</v>
      </c>
      <c r="D120" s="37">
        <v>1</v>
      </c>
      <c r="E120" s="37"/>
      <c r="F120" s="37"/>
      <c r="G120" s="2"/>
      <c r="H120" s="37">
        <v>1</v>
      </c>
      <c r="I120" s="2"/>
      <c r="J120" s="37"/>
      <c r="K120" s="37">
        <v>1</v>
      </c>
      <c r="L120" s="37">
        <v>1</v>
      </c>
      <c r="M120" s="37"/>
      <c r="N120" s="2"/>
      <c r="O120" s="37">
        <v>1</v>
      </c>
      <c r="P120" s="12"/>
      <c r="Q120" s="35"/>
      <c r="R120" s="35"/>
      <c r="S120" s="35"/>
      <c r="T120" s="35"/>
      <c r="U120" s="12"/>
      <c r="V120" s="35">
        <v>1</v>
      </c>
      <c r="W120" s="12"/>
      <c r="X120" s="35"/>
      <c r="Y120" s="35">
        <v>1</v>
      </c>
      <c r="Z120" s="37"/>
      <c r="AA120" s="37"/>
      <c r="AB120" s="2"/>
      <c r="AC120" s="37">
        <v>1</v>
      </c>
      <c r="AD120" s="3"/>
      <c r="AE120" s="37"/>
      <c r="AF120" s="37"/>
      <c r="AG120" s="38">
        <f t="shared" si="6"/>
        <v>9</v>
      </c>
      <c r="AH120" s="39">
        <v>1000</v>
      </c>
      <c r="AI120" s="40" t="str">
        <f t="shared" si="7"/>
        <v>幸恩</v>
      </c>
      <c r="AJ120" s="41"/>
    </row>
    <row r="121" spans="1:36" ht="18" customHeight="1">
      <c r="A121" s="35" t="s">
        <v>58</v>
      </c>
      <c r="B121" s="36" t="s">
        <v>140</v>
      </c>
      <c r="C121" s="37"/>
      <c r="D121" s="37"/>
      <c r="E121" s="37"/>
      <c r="F121" s="37"/>
      <c r="G121" s="2"/>
      <c r="H121" s="37"/>
      <c r="I121" s="2"/>
      <c r="J121" s="37"/>
      <c r="K121" s="37">
        <v>1</v>
      </c>
      <c r="L121" s="37"/>
      <c r="M121" s="37"/>
      <c r="N121" s="2"/>
      <c r="O121" s="37">
        <v>1</v>
      </c>
      <c r="P121" s="12"/>
      <c r="Q121" s="35"/>
      <c r="R121" s="35"/>
      <c r="S121" s="35"/>
      <c r="T121" s="35"/>
      <c r="U121" s="12"/>
      <c r="V121" s="35">
        <v>1</v>
      </c>
      <c r="W121" s="12"/>
      <c r="X121" s="35">
        <v>1</v>
      </c>
      <c r="Y121" s="35"/>
      <c r="Z121" s="37"/>
      <c r="AA121" s="37"/>
      <c r="AB121" s="2"/>
      <c r="AC121" s="37"/>
      <c r="AD121" s="3"/>
      <c r="AE121" s="37"/>
      <c r="AF121" s="37"/>
      <c r="AG121" s="38">
        <f t="shared" si="6"/>
        <v>4</v>
      </c>
      <c r="AH121" s="39">
        <v>1000</v>
      </c>
      <c r="AI121" s="40" t="str">
        <f t="shared" si="7"/>
        <v>芷琦</v>
      </c>
      <c r="AJ121" s="41"/>
    </row>
    <row r="122" spans="1:36" ht="18" customHeight="1">
      <c r="A122" s="35" t="s">
        <v>58</v>
      </c>
      <c r="B122" s="36" t="s">
        <v>106</v>
      </c>
      <c r="C122" s="37"/>
      <c r="D122" s="37">
        <v>1</v>
      </c>
      <c r="E122" s="37"/>
      <c r="F122" s="37"/>
      <c r="G122" s="2"/>
      <c r="H122" s="37"/>
      <c r="I122" s="2"/>
      <c r="J122" s="37"/>
      <c r="K122" s="37"/>
      <c r="L122" s="37"/>
      <c r="M122" s="37"/>
      <c r="N122" s="2"/>
      <c r="O122" s="37">
        <v>1</v>
      </c>
      <c r="P122" s="12"/>
      <c r="Q122" s="35">
        <v>1</v>
      </c>
      <c r="R122" s="35"/>
      <c r="S122" s="35"/>
      <c r="T122" s="35"/>
      <c r="U122" s="12"/>
      <c r="V122" s="35">
        <v>1</v>
      </c>
      <c r="W122" s="12"/>
      <c r="X122" s="35"/>
      <c r="Y122" s="35">
        <v>1</v>
      </c>
      <c r="Z122" s="37"/>
      <c r="AA122" s="37"/>
      <c r="AB122" s="2"/>
      <c r="AC122" s="37">
        <v>1</v>
      </c>
      <c r="AD122" s="3"/>
      <c r="AE122" s="37"/>
      <c r="AF122" s="37"/>
      <c r="AG122" s="38">
        <f t="shared" si="6"/>
        <v>6</v>
      </c>
      <c r="AH122" s="39">
        <v>1000</v>
      </c>
      <c r="AI122" s="40" t="str">
        <f t="shared" si="7"/>
        <v>Nina</v>
      </c>
      <c r="AJ122" s="41"/>
    </row>
    <row r="123" spans="1:36" ht="18" customHeight="1">
      <c r="A123" s="35" t="s">
        <v>58</v>
      </c>
      <c r="B123" s="36" t="s">
        <v>100</v>
      </c>
      <c r="C123" s="37"/>
      <c r="D123" s="37"/>
      <c r="E123" s="37">
        <v>1</v>
      </c>
      <c r="F123" s="37"/>
      <c r="G123" s="2"/>
      <c r="H123" s="37">
        <v>1</v>
      </c>
      <c r="I123" s="2"/>
      <c r="J123" s="37">
        <v>1</v>
      </c>
      <c r="K123" s="37"/>
      <c r="L123" s="37">
        <v>1</v>
      </c>
      <c r="M123" s="37"/>
      <c r="N123" s="2"/>
      <c r="O123" s="37">
        <v>1</v>
      </c>
      <c r="P123" s="12"/>
      <c r="Q123" s="35">
        <v>1</v>
      </c>
      <c r="R123" s="35"/>
      <c r="S123" s="35">
        <v>1</v>
      </c>
      <c r="T123" s="35"/>
      <c r="U123" s="12"/>
      <c r="V123" s="35"/>
      <c r="W123" s="12"/>
      <c r="X123" s="35">
        <v>1</v>
      </c>
      <c r="Y123" s="35"/>
      <c r="Z123" s="37"/>
      <c r="AA123" s="37"/>
      <c r="AB123" s="2"/>
      <c r="AC123" s="37">
        <v>1</v>
      </c>
      <c r="AD123" s="3"/>
      <c r="AE123" s="37">
        <v>1</v>
      </c>
      <c r="AF123" s="37"/>
      <c r="AG123" s="38">
        <f t="shared" si="6"/>
        <v>10</v>
      </c>
      <c r="AH123" s="39">
        <v>1000</v>
      </c>
      <c r="AI123" s="40" t="str">
        <f t="shared" si="7"/>
        <v>餅餅</v>
      </c>
      <c r="AJ123" s="41"/>
    </row>
    <row r="124" spans="1:36" ht="18" customHeight="1">
      <c r="A124" s="35" t="s">
        <v>58</v>
      </c>
      <c r="B124" s="36" t="s">
        <v>34</v>
      </c>
      <c r="C124" s="37"/>
      <c r="D124" s="37"/>
      <c r="E124" s="37">
        <v>1</v>
      </c>
      <c r="F124" s="37"/>
      <c r="G124" s="2"/>
      <c r="H124" s="37">
        <v>1</v>
      </c>
      <c r="I124" s="2"/>
      <c r="J124" s="37">
        <v>1</v>
      </c>
      <c r="K124" s="37"/>
      <c r="L124" s="37">
        <v>1</v>
      </c>
      <c r="M124" s="37"/>
      <c r="N124" s="2"/>
      <c r="O124" s="37">
        <v>1</v>
      </c>
      <c r="P124" s="12"/>
      <c r="Q124" s="35">
        <v>1</v>
      </c>
      <c r="R124" s="35"/>
      <c r="S124" s="35"/>
      <c r="T124" s="35"/>
      <c r="U124" s="12"/>
      <c r="V124" s="35"/>
      <c r="W124" s="12"/>
      <c r="X124" s="35">
        <v>1</v>
      </c>
      <c r="Y124" s="35"/>
      <c r="Z124" s="37"/>
      <c r="AA124" s="37"/>
      <c r="AB124" s="2"/>
      <c r="AC124" s="37">
        <v>1</v>
      </c>
      <c r="AD124" s="3"/>
      <c r="AE124" s="37">
        <v>1</v>
      </c>
      <c r="AF124" s="37"/>
      <c r="AG124" s="38">
        <f t="shared" si="6"/>
        <v>9</v>
      </c>
      <c r="AH124" s="39">
        <v>1000</v>
      </c>
      <c r="AI124" s="40" t="str">
        <f t="shared" si="7"/>
        <v>雲翔</v>
      </c>
      <c r="AJ124" s="41"/>
    </row>
    <row r="125" spans="1:36" ht="18" customHeight="1">
      <c r="A125" s="35" t="s">
        <v>58</v>
      </c>
      <c r="B125" s="36" t="s">
        <v>88</v>
      </c>
      <c r="C125" s="37"/>
      <c r="D125" s="37"/>
      <c r="E125" s="37"/>
      <c r="F125" s="37"/>
      <c r="G125" s="2"/>
      <c r="H125" s="37">
        <v>1</v>
      </c>
      <c r="I125" s="2"/>
      <c r="J125" s="37">
        <v>1</v>
      </c>
      <c r="K125" s="37"/>
      <c r="L125" s="37">
        <v>1</v>
      </c>
      <c r="M125" s="37"/>
      <c r="N125" s="2"/>
      <c r="O125" s="37">
        <v>1</v>
      </c>
      <c r="P125" s="12"/>
      <c r="Q125" s="35">
        <v>1</v>
      </c>
      <c r="R125" s="35"/>
      <c r="S125" s="35"/>
      <c r="T125" s="35"/>
      <c r="U125" s="12"/>
      <c r="V125" s="35"/>
      <c r="W125" s="12"/>
      <c r="X125" s="35">
        <v>1</v>
      </c>
      <c r="Y125" s="35"/>
      <c r="Z125" s="37"/>
      <c r="AA125" s="37"/>
      <c r="AB125" s="2"/>
      <c r="AC125" s="37">
        <v>1</v>
      </c>
      <c r="AD125" s="3"/>
      <c r="AE125" s="37">
        <v>1</v>
      </c>
      <c r="AF125" s="37"/>
      <c r="AG125" s="38">
        <f t="shared" si="6"/>
        <v>8</v>
      </c>
      <c r="AH125" s="39">
        <v>1000</v>
      </c>
      <c r="AI125" s="40" t="str">
        <f t="shared" si="7"/>
        <v>皓皓</v>
      </c>
      <c r="AJ125" s="41"/>
    </row>
    <row r="126" spans="1:36" ht="18" customHeight="1">
      <c r="A126" s="35" t="s">
        <v>58</v>
      </c>
      <c r="B126" s="36" t="s">
        <v>35</v>
      </c>
      <c r="C126" s="37"/>
      <c r="D126" s="37"/>
      <c r="E126" s="37">
        <v>1</v>
      </c>
      <c r="F126" s="37"/>
      <c r="G126" s="2"/>
      <c r="H126" s="37">
        <v>1</v>
      </c>
      <c r="I126" s="2"/>
      <c r="J126" s="37">
        <v>1</v>
      </c>
      <c r="K126" s="37"/>
      <c r="L126" s="37">
        <v>1</v>
      </c>
      <c r="M126" s="37"/>
      <c r="N126" s="2"/>
      <c r="O126" s="37">
        <v>1</v>
      </c>
      <c r="P126" s="12"/>
      <c r="Q126" s="35">
        <v>1</v>
      </c>
      <c r="R126" s="35"/>
      <c r="S126" s="35"/>
      <c r="T126" s="35"/>
      <c r="U126" s="12"/>
      <c r="V126" s="35"/>
      <c r="W126" s="12"/>
      <c r="X126" s="35">
        <v>1</v>
      </c>
      <c r="Y126" s="35"/>
      <c r="Z126" s="37"/>
      <c r="AA126" s="37"/>
      <c r="AB126" s="2"/>
      <c r="AC126" s="37">
        <v>1</v>
      </c>
      <c r="AD126" s="3"/>
      <c r="AE126" s="37">
        <v>1</v>
      </c>
      <c r="AF126" s="37"/>
      <c r="AG126" s="38">
        <f t="shared" si="6"/>
        <v>9</v>
      </c>
      <c r="AH126" s="39">
        <v>1000</v>
      </c>
      <c r="AI126" s="40" t="str">
        <f t="shared" si="7"/>
        <v>阿戴</v>
      </c>
      <c r="AJ126" s="41"/>
    </row>
    <row r="127" spans="1:36" ht="18" customHeight="1">
      <c r="A127" s="35" t="s">
        <v>58</v>
      </c>
      <c r="B127" s="36" t="s">
        <v>41</v>
      </c>
      <c r="C127" s="37"/>
      <c r="D127" s="37"/>
      <c r="E127" s="37"/>
      <c r="F127" s="37"/>
      <c r="G127" s="2"/>
      <c r="H127" s="37">
        <v>1</v>
      </c>
      <c r="I127" s="2"/>
      <c r="J127" s="37"/>
      <c r="K127" s="37"/>
      <c r="L127" s="37"/>
      <c r="M127" s="37"/>
      <c r="N127" s="2"/>
      <c r="O127" s="37"/>
      <c r="P127" s="12"/>
      <c r="Q127" s="35"/>
      <c r="R127" s="35"/>
      <c r="S127" s="35"/>
      <c r="T127" s="35"/>
      <c r="U127" s="12"/>
      <c r="V127" s="35"/>
      <c r="W127" s="12"/>
      <c r="X127" s="35"/>
      <c r="Y127" s="35"/>
      <c r="Z127" s="37"/>
      <c r="AA127" s="37"/>
      <c r="AB127" s="2"/>
      <c r="AC127" s="37">
        <v>1</v>
      </c>
      <c r="AD127" s="3"/>
      <c r="AE127" s="37">
        <v>1</v>
      </c>
      <c r="AF127" s="37"/>
      <c r="AG127" s="38">
        <f t="shared" si="6"/>
        <v>3</v>
      </c>
      <c r="AH127" s="39">
        <v>1000</v>
      </c>
      <c r="AI127" s="40" t="str">
        <f t="shared" si="7"/>
        <v>軟軟</v>
      </c>
      <c r="AJ127" s="41"/>
    </row>
    <row r="128" spans="1:36" ht="18" customHeight="1">
      <c r="A128" s="35" t="s">
        <v>58</v>
      </c>
      <c r="B128" s="36" t="s">
        <v>163</v>
      </c>
      <c r="C128" s="37">
        <v>1</v>
      </c>
      <c r="D128" s="37"/>
      <c r="E128" s="37">
        <v>1</v>
      </c>
      <c r="F128" s="37"/>
      <c r="G128" s="2"/>
      <c r="H128" s="37">
        <v>1</v>
      </c>
      <c r="I128" s="2"/>
      <c r="J128" s="37">
        <v>1</v>
      </c>
      <c r="K128" s="37"/>
      <c r="L128" s="37">
        <v>1</v>
      </c>
      <c r="M128" s="37"/>
      <c r="N128" s="2"/>
      <c r="O128" s="37">
        <v>1</v>
      </c>
      <c r="P128" s="12"/>
      <c r="Q128" s="35">
        <v>1</v>
      </c>
      <c r="R128" s="35"/>
      <c r="S128" s="35"/>
      <c r="T128" s="35"/>
      <c r="U128" s="12"/>
      <c r="V128" s="35">
        <v>1</v>
      </c>
      <c r="W128" s="12"/>
      <c r="X128" s="35">
        <v>1</v>
      </c>
      <c r="Y128" s="35"/>
      <c r="Z128" s="37"/>
      <c r="AA128" s="37"/>
      <c r="AB128" s="2"/>
      <c r="AC128" s="37">
        <v>1</v>
      </c>
      <c r="AD128" s="3"/>
      <c r="AE128" s="37">
        <v>1</v>
      </c>
      <c r="AF128" s="37"/>
      <c r="AG128" s="38">
        <f t="shared" si="6"/>
        <v>11</v>
      </c>
      <c r="AH128" s="39">
        <v>1000</v>
      </c>
      <c r="AI128" s="40" t="str">
        <f t="shared" si="7"/>
        <v>小個</v>
      </c>
      <c r="AJ128" s="41"/>
    </row>
    <row r="129" spans="1:36" ht="18" customHeight="1">
      <c r="A129" s="35" t="s">
        <v>58</v>
      </c>
      <c r="B129" s="36" t="s">
        <v>36</v>
      </c>
      <c r="C129" s="37">
        <v>1</v>
      </c>
      <c r="D129" s="37"/>
      <c r="E129" s="37"/>
      <c r="F129" s="37"/>
      <c r="G129" s="2"/>
      <c r="H129" s="37"/>
      <c r="I129" s="2"/>
      <c r="J129" s="37"/>
      <c r="K129" s="37"/>
      <c r="L129" s="37">
        <v>1</v>
      </c>
      <c r="M129" s="37"/>
      <c r="N129" s="2"/>
      <c r="O129" s="37">
        <v>1</v>
      </c>
      <c r="P129" s="12"/>
      <c r="Q129" s="35">
        <v>1</v>
      </c>
      <c r="R129" s="35"/>
      <c r="S129" s="35"/>
      <c r="T129" s="35"/>
      <c r="U129" s="12"/>
      <c r="V129" s="35"/>
      <c r="W129" s="12"/>
      <c r="X129" s="35"/>
      <c r="Y129" s="35"/>
      <c r="Z129" s="37"/>
      <c r="AA129" s="37"/>
      <c r="AB129" s="2"/>
      <c r="AC129" s="37">
        <v>1</v>
      </c>
      <c r="AD129" s="3"/>
      <c r="AE129" s="37"/>
      <c r="AF129" s="37"/>
      <c r="AG129" s="38">
        <f t="shared" si="6"/>
        <v>5</v>
      </c>
      <c r="AH129" s="39">
        <v>1000</v>
      </c>
      <c r="AI129" s="40" t="str">
        <f t="shared" si="7"/>
        <v>子澔</v>
      </c>
      <c r="AJ129" s="41"/>
    </row>
  </sheetData>
  <mergeCells count="5">
    <mergeCell ref="AI1:AI3"/>
    <mergeCell ref="AJ1:AJ2"/>
    <mergeCell ref="AH1:AH3"/>
    <mergeCell ref="A1:B1"/>
    <mergeCell ref="AG1:AG3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A9999"/>
    <outlinePr summaryBelow="0" summaryRight="0"/>
  </sheetPr>
  <dimension ref="A1:AJ12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customWidth="1"/>
  </cols>
  <sheetData>
    <row r="1" spans="1:36" ht="18" customHeight="1">
      <c r="A1" s="279" t="s">
        <v>0</v>
      </c>
      <c r="B1" s="280"/>
      <c r="C1" s="1" t="s">
        <v>186</v>
      </c>
      <c r="D1" s="1" t="s">
        <v>182</v>
      </c>
      <c r="E1" s="2"/>
      <c r="F1" s="1" t="s">
        <v>183</v>
      </c>
      <c r="G1" s="2"/>
      <c r="H1" s="1" t="s">
        <v>185</v>
      </c>
      <c r="I1" s="1" t="s">
        <v>184</v>
      </c>
      <c r="J1" s="1" t="s">
        <v>186</v>
      </c>
      <c r="K1" s="1" t="s">
        <v>182</v>
      </c>
      <c r="L1" s="2"/>
      <c r="M1" s="1" t="s">
        <v>183</v>
      </c>
      <c r="N1" s="2"/>
      <c r="O1" s="1" t="s">
        <v>185</v>
      </c>
      <c r="P1" s="1" t="s">
        <v>186</v>
      </c>
      <c r="Q1" s="1" t="s">
        <v>186</v>
      </c>
      <c r="R1" s="1" t="s">
        <v>202</v>
      </c>
      <c r="S1" s="2"/>
      <c r="T1" s="1" t="s">
        <v>186</v>
      </c>
      <c r="U1" s="2"/>
      <c r="V1" s="1" t="s">
        <v>184</v>
      </c>
      <c r="W1" s="1" t="s">
        <v>184</v>
      </c>
      <c r="X1" s="1" t="s">
        <v>184</v>
      </c>
      <c r="Y1" s="1" t="s">
        <v>202</v>
      </c>
      <c r="Z1" s="2"/>
      <c r="AA1" s="1" t="s">
        <v>184</v>
      </c>
      <c r="AB1" s="2"/>
      <c r="AC1" s="1" t="s">
        <v>185</v>
      </c>
      <c r="AD1" s="1" t="s">
        <v>184</v>
      </c>
      <c r="AE1" s="1" t="s">
        <v>186</v>
      </c>
      <c r="AF1" s="1" t="s">
        <v>182</v>
      </c>
      <c r="AG1" s="281" t="s">
        <v>6</v>
      </c>
      <c r="AH1" s="276" t="s">
        <v>7</v>
      </c>
      <c r="AI1" s="271" t="s">
        <v>172</v>
      </c>
      <c r="AJ1" s="274" t="s">
        <v>203</v>
      </c>
    </row>
    <row r="2" spans="1:36" ht="18" customHeight="1">
      <c r="A2" s="4" t="s">
        <v>2</v>
      </c>
      <c r="B2" s="5" t="s">
        <v>3</v>
      </c>
      <c r="C2" s="7">
        <v>45200</v>
      </c>
      <c r="D2" s="7">
        <v>45201</v>
      </c>
      <c r="E2" s="6">
        <v>45202</v>
      </c>
      <c r="F2" s="7">
        <v>45203</v>
      </c>
      <c r="G2" s="6">
        <v>45204</v>
      </c>
      <c r="H2" s="7">
        <v>45205</v>
      </c>
      <c r="I2" s="7">
        <v>45206</v>
      </c>
      <c r="J2" s="7">
        <v>45207</v>
      </c>
      <c r="K2" s="7">
        <v>45208</v>
      </c>
      <c r="L2" s="6">
        <v>45209</v>
      </c>
      <c r="M2" s="7">
        <v>45210</v>
      </c>
      <c r="N2" s="6">
        <v>45211</v>
      </c>
      <c r="O2" s="7">
        <v>45212</v>
      </c>
      <c r="P2" s="7">
        <v>45213</v>
      </c>
      <c r="Q2" s="7">
        <v>45214</v>
      </c>
      <c r="R2" s="7">
        <v>45215</v>
      </c>
      <c r="S2" s="6">
        <v>45216</v>
      </c>
      <c r="T2" s="7">
        <v>45217</v>
      </c>
      <c r="U2" s="6">
        <v>45218</v>
      </c>
      <c r="V2" s="7">
        <v>45219</v>
      </c>
      <c r="W2" s="7">
        <v>45220</v>
      </c>
      <c r="X2" s="7">
        <v>45221</v>
      </c>
      <c r="Y2" s="7">
        <v>45222</v>
      </c>
      <c r="Z2" s="6">
        <v>45223</v>
      </c>
      <c r="AA2" s="7">
        <v>45224</v>
      </c>
      <c r="AB2" s="6">
        <v>45225</v>
      </c>
      <c r="AC2" s="7">
        <v>45226</v>
      </c>
      <c r="AD2" s="7">
        <v>45227</v>
      </c>
      <c r="AE2" s="7">
        <v>45228</v>
      </c>
      <c r="AF2" s="7">
        <v>45229</v>
      </c>
      <c r="AG2" s="282"/>
      <c r="AH2" s="277"/>
      <c r="AI2" s="272"/>
      <c r="AJ2" s="275"/>
    </row>
    <row r="3" spans="1:36" ht="18" customHeight="1">
      <c r="A3" s="4" t="s">
        <v>4</v>
      </c>
      <c r="B3" s="5" t="s">
        <v>5</v>
      </c>
      <c r="C3" s="1">
        <v>7</v>
      </c>
      <c r="D3" s="1">
        <v>1</v>
      </c>
      <c r="E3" s="2">
        <v>2</v>
      </c>
      <c r="F3" s="1">
        <v>3</v>
      </c>
      <c r="G3" s="2">
        <v>4</v>
      </c>
      <c r="H3" s="1">
        <v>5</v>
      </c>
      <c r="I3" s="1">
        <v>6</v>
      </c>
      <c r="J3" s="1">
        <v>7</v>
      </c>
      <c r="K3" s="1">
        <v>1</v>
      </c>
      <c r="L3" s="2">
        <v>2</v>
      </c>
      <c r="M3" s="1">
        <v>3</v>
      </c>
      <c r="N3" s="2">
        <v>4</v>
      </c>
      <c r="O3" s="1">
        <v>5</v>
      </c>
      <c r="P3" s="1">
        <v>6</v>
      </c>
      <c r="Q3" s="1">
        <v>7</v>
      </c>
      <c r="R3" s="1">
        <v>1</v>
      </c>
      <c r="S3" s="2">
        <v>2</v>
      </c>
      <c r="T3" s="1">
        <v>3</v>
      </c>
      <c r="U3" s="2">
        <v>4</v>
      </c>
      <c r="V3" s="1">
        <v>5</v>
      </c>
      <c r="W3" s="1">
        <v>6</v>
      </c>
      <c r="X3" s="1">
        <v>7</v>
      </c>
      <c r="Y3" s="1">
        <v>1</v>
      </c>
      <c r="Z3" s="2">
        <v>2</v>
      </c>
      <c r="AA3" s="1">
        <v>3</v>
      </c>
      <c r="AB3" s="2">
        <v>4</v>
      </c>
      <c r="AC3" s="1">
        <v>5</v>
      </c>
      <c r="AD3" s="1">
        <v>6</v>
      </c>
      <c r="AE3" s="1">
        <v>7</v>
      </c>
      <c r="AF3" s="1">
        <v>1</v>
      </c>
      <c r="AG3" s="283"/>
      <c r="AH3" s="278"/>
      <c r="AI3" s="273"/>
      <c r="AJ3" s="8" t="e">
        <f ca="1">SUM(AH4:AH130)</f>
        <v>#NAME?</v>
      </c>
    </row>
    <row r="4" spans="1:36" ht="18" customHeight="1">
      <c r="A4" s="9" t="s">
        <v>174</v>
      </c>
      <c r="B4" s="10" t="s">
        <v>10</v>
      </c>
      <c r="C4" s="11"/>
      <c r="D4" s="11"/>
      <c r="E4" s="2"/>
      <c r="F4" s="11"/>
      <c r="G4" s="2"/>
      <c r="H4" s="11">
        <v>1</v>
      </c>
      <c r="I4" s="11"/>
      <c r="J4" s="11">
        <v>1</v>
      </c>
      <c r="K4" s="11"/>
      <c r="L4" s="2"/>
      <c r="M4" s="11"/>
      <c r="N4" s="12"/>
      <c r="O4" s="9"/>
      <c r="P4" s="9"/>
      <c r="Q4" s="9"/>
      <c r="R4" s="9">
        <v>1</v>
      </c>
      <c r="S4" s="12"/>
      <c r="T4" s="9"/>
      <c r="U4" s="12"/>
      <c r="V4" s="9"/>
      <c r="W4" s="9"/>
      <c r="X4" s="11"/>
      <c r="Y4" s="11"/>
      <c r="Z4" s="2"/>
      <c r="AA4" s="11"/>
      <c r="AB4" s="3"/>
      <c r="AC4" s="11"/>
      <c r="AD4" s="11"/>
      <c r="AE4" s="11"/>
      <c r="AF4" s="11"/>
      <c r="AG4" s="13">
        <f t="shared" ref="AG4:AG35" si="0">COUNTA(C4:AF4)</f>
        <v>3</v>
      </c>
      <c r="AH4" s="14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15" t="str">
        <f t="shared" ref="AI4:AI35" si="1">B4</f>
        <v>阿發</v>
      </c>
      <c r="AJ4" s="43"/>
    </row>
    <row r="5" spans="1:36" ht="18" customHeight="1">
      <c r="A5" s="9" t="s">
        <v>174</v>
      </c>
      <c r="B5" s="10" t="s">
        <v>13</v>
      </c>
      <c r="C5" s="11">
        <v>1</v>
      </c>
      <c r="D5" s="11"/>
      <c r="E5" s="2"/>
      <c r="F5" s="11">
        <v>1</v>
      </c>
      <c r="G5" s="2"/>
      <c r="H5" s="11">
        <v>1</v>
      </c>
      <c r="I5" s="11"/>
      <c r="J5" s="11">
        <v>1</v>
      </c>
      <c r="K5" s="11">
        <v>1</v>
      </c>
      <c r="L5" s="2"/>
      <c r="M5" s="11">
        <v>1</v>
      </c>
      <c r="N5" s="12"/>
      <c r="O5" s="11">
        <v>1</v>
      </c>
      <c r="P5" s="9"/>
      <c r="Q5" s="11">
        <v>1</v>
      </c>
      <c r="R5" s="9"/>
      <c r="S5" s="12"/>
      <c r="T5" s="9">
        <v>1</v>
      </c>
      <c r="U5" s="12"/>
      <c r="V5" s="9"/>
      <c r="W5" s="9"/>
      <c r="X5" s="11"/>
      <c r="Y5" s="11"/>
      <c r="Z5" s="2"/>
      <c r="AA5" s="11"/>
      <c r="AB5" s="3"/>
      <c r="AC5" s="11">
        <v>1</v>
      </c>
      <c r="AD5" s="11">
        <v>1</v>
      </c>
      <c r="AE5" s="11">
        <v>1</v>
      </c>
      <c r="AF5" s="11">
        <v>1</v>
      </c>
      <c r="AG5" s="13">
        <f t="shared" si="0"/>
        <v>13</v>
      </c>
      <c r="AH5" s="14" t="e">
        <f ca="1">IF(A5="O", (VALUE(_xludf.IFS(AG5=0,"0",AG5=1,"150",AG5=2,"300",AG5=3,"450",AG5=4,"600",AG5=5,"750",AG5&gt;=6,"800"))),(VALUE(_xludf.IFS(AG5=0,"0",AG5=1,"150",AG5=2,"300",AG5=3,"450",AG5=4,"600",AG5=5,"750",AG5=6,"900",AG5&gt;=7,"1,000"))))</f>
        <v>#NAME?</v>
      </c>
      <c r="AI5" s="15" t="str">
        <f t="shared" si="1"/>
        <v>李洋</v>
      </c>
      <c r="AJ5" s="43"/>
    </row>
    <row r="6" spans="1:36" ht="18" customHeight="1">
      <c r="A6" s="9" t="s">
        <v>174</v>
      </c>
      <c r="B6" s="10" t="s">
        <v>11</v>
      </c>
      <c r="C6" s="11">
        <v>1</v>
      </c>
      <c r="D6" s="11">
        <v>1</v>
      </c>
      <c r="E6" s="2"/>
      <c r="F6" s="11">
        <v>1</v>
      </c>
      <c r="G6" s="2"/>
      <c r="H6" s="11">
        <v>1</v>
      </c>
      <c r="I6" s="11">
        <v>1</v>
      </c>
      <c r="J6" s="11">
        <v>1</v>
      </c>
      <c r="K6" s="11">
        <v>1</v>
      </c>
      <c r="L6" s="2"/>
      <c r="M6" s="11">
        <v>1</v>
      </c>
      <c r="N6" s="12"/>
      <c r="O6" s="11">
        <v>1</v>
      </c>
      <c r="P6" s="9"/>
      <c r="Q6" s="11">
        <v>1</v>
      </c>
      <c r="R6" s="9"/>
      <c r="S6" s="12"/>
      <c r="T6" s="9">
        <v>1</v>
      </c>
      <c r="U6" s="12"/>
      <c r="V6" s="9">
        <v>1</v>
      </c>
      <c r="W6" s="9">
        <v>1</v>
      </c>
      <c r="X6" s="11">
        <v>1</v>
      </c>
      <c r="Y6" s="11"/>
      <c r="Z6" s="2"/>
      <c r="AA6" s="11">
        <v>1</v>
      </c>
      <c r="AB6" s="3"/>
      <c r="AC6" s="11">
        <v>1</v>
      </c>
      <c r="AD6" s="11">
        <v>1</v>
      </c>
      <c r="AE6" s="11">
        <v>1</v>
      </c>
      <c r="AF6" s="11">
        <v>1</v>
      </c>
      <c r="AG6" s="13">
        <f t="shared" si="0"/>
        <v>19</v>
      </c>
      <c r="AH6" s="14" t="e">
        <f ca="1">IF(A6="O", (VALUE(_xludf.IFS(AG6=0,"0",AG6=1,"150",AG6=2,"300",AG6=3,"450",AG6=4,"600",AG6=5,"750",AG6&gt;=6,"800"))),(VALUE(_xludf.IFS(AG6=0,"0",AG6=1,"150",AG6=2,"300",AG6=3,"450",AG6=4,"600",AG6=5,"750",AG6=6,"900",AG6&gt;=7,"1,000"))))</f>
        <v>#NAME?</v>
      </c>
      <c r="AI6" s="15" t="str">
        <f t="shared" si="1"/>
        <v>捷升</v>
      </c>
      <c r="AJ6" s="43"/>
    </row>
    <row r="7" spans="1:36" ht="18" customHeight="1">
      <c r="A7" s="9" t="s">
        <v>174</v>
      </c>
      <c r="B7" s="10" t="s">
        <v>19</v>
      </c>
      <c r="C7" s="11">
        <v>1</v>
      </c>
      <c r="D7" s="11">
        <v>1</v>
      </c>
      <c r="E7" s="2"/>
      <c r="F7" s="11">
        <v>1</v>
      </c>
      <c r="G7" s="2"/>
      <c r="H7" s="11">
        <v>1</v>
      </c>
      <c r="I7" s="11"/>
      <c r="J7" s="11">
        <v>1</v>
      </c>
      <c r="K7" s="11">
        <v>1</v>
      </c>
      <c r="L7" s="2"/>
      <c r="M7" s="11">
        <v>1</v>
      </c>
      <c r="N7" s="12"/>
      <c r="O7" s="11">
        <v>1</v>
      </c>
      <c r="P7" s="9"/>
      <c r="Q7" s="11">
        <v>1</v>
      </c>
      <c r="R7" s="9"/>
      <c r="S7" s="12"/>
      <c r="T7" s="9">
        <v>1</v>
      </c>
      <c r="U7" s="12"/>
      <c r="V7" s="9"/>
      <c r="W7" s="9"/>
      <c r="X7" s="11"/>
      <c r="Y7" s="11"/>
      <c r="Z7" s="2"/>
      <c r="AA7" s="11"/>
      <c r="AB7" s="3"/>
      <c r="AC7" s="11">
        <v>1</v>
      </c>
      <c r="AD7" s="11">
        <v>1</v>
      </c>
      <c r="AE7" s="11">
        <v>1</v>
      </c>
      <c r="AF7" s="11">
        <v>1</v>
      </c>
      <c r="AG7" s="13">
        <f t="shared" si="0"/>
        <v>14</v>
      </c>
      <c r="AH7" s="14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15" t="str">
        <f t="shared" si="1"/>
        <v>青蛙</v>
      </c>
      <c r="AJ7" s="43"/>
    </row>
    <row r="8" spans="1:36" ht="18" customHeight="1">
      <c r="A8" s="9" t="s">
        <v>174</v>
      </c>
      <c r="B8" s="10" t="s">
        <v>14</v>
      </c>
      <c r="C8" s="11">
        <v>1</v>
      </c>
      <c r="D8" s="11">
        <v>1</v>
      </c>
      <c r="E8" s="2"/>
      <c r="F8" s="11">
        <v>1</v>
      </c>
      <c r="G8" s="2"/>
      <c r="H8" s="11">
        <v>1</v>
      </c>
      <c r="I8" s="11"/>
      <c r="J8" s="11">
        <v>1</v>
      </c>
      <c r="K8" s="11">
        <v>1</v>
      </c>
      <c r="L8" s="2"/>
      <c r="M8" s="11">
        <v>1</v>
      </c>
      <c r="N8" s="12"/>
      <c r="O8" s="11">
        <v>1</v>
      </c>
      <c r="P8" s="9"/>
      <c r="Q8" s="11">
        <v>1</v>
      </c>
      <c r="R8" s="9">
        <v>1</v>
      </c>
      <c r="S8" s="12"/>
      <c r="T8" s="9">
        <v>1</v>
      </c>
      <c r="U8" s="12"/>
      <c r="V8" s="9"/>
      <c r="W8" s="9"/>
      <c r="X8" s="11"/>
      <c r="Y8" s="11"/>
      <c r="Z8" s="2"/>
      <c r="AA8" s="11"/>
      <c r="AB8" s="3"/>
      <c r="AC8" s="11">
        <v>1</v>
      </c>
      <c r="AD8" s="11">
        <v>1</v>
      </c>
      <c r="AE8" s="11">
        <v>1</v>
      </c>
      <c r="AF8" s="11">
        <v>1</v>
      </c>
      <c r="AG8" s="13">
        <f t="shared" si="0"/>
        <v>15</v>
      </c>
      <c r="AH8" s="14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15" t="str">
        <f t="shared" si="1"/>
        <v>曉明</v>
      </c>
      <c r="AJ8" s="43"/>
    </row>
    <row r="9" spans="1:36" ht="18" customHeight="1">
      <c r="A9" s="9" t="s">
        <v>174</v>
      </c>
      <c r="B9" s="10" t="s">
        <v>18</v>
      </c>
      <c r="C9" s="11">
        <v>1</v>
      </c>
      <c r="D9" s="11">
        <v>1</v>
      </c>
      <c r="E9" s="2"/>
      <c r="F9" s="11">
        <v>1</v>
      </c>
      <c r="G9" s="2"/>
      <c r="H9" s="11"/>
      <c r="I9" s="11"/>
      <c r="J9" s="11"/>
      <c r="K9" s="11">
        <v>1</v>
      </c>
      <c r="L9" s="2"/>
      <c r="M9" s="11">
        <v>1</v>
      </c>
      <c r="N9" s="12"/>
      <c r="O9" s="11">
        <v>1</v>
      </c>
      <c r="P9" s="9"/>
      <c r="Q9" s="11">
        <v>1</v>
      </c>
      <c r="R9" s="9">
        <v>1</v>
      </c>
      <c r="S9" s="12"/>
      <c r="T9" s="9">
        <v>1</v>
      </c>
      <c r="U9" s="12"/>
      <c r="V9" s="9">
        <v>1</v>
      </c>
      <c r="W9" s="9"/>
      <c r="X9" s="11"/>
      <c r="Y9" s="11">
        <v>1</v>
      </c>
      <c r="Z9" s="2"/>
      <c r="AA9" s="11">
        <v>1</v>
      </c>
      <c r="AB9" s="3"/>
      <c r="AC9" s="11"/>
      <c r="AD9" s="11"/>
      <c r="AE9" s="11"/>
      <c r="AF9" s="11">
        <v>1</v>
      </c>
      <c r="AG9" s="13">
        <f t="shared" si="0"/>
        <v>13</v>
      </c>
      <c r="AH9" s="14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15" t="str">
        <f t="shared" si="1"/>
        <v>皓元</v>
      </c>
      <c r="AJ9" s="43"/>
    </row>
    <row r="10" spans="1:36" ht="18" customHeight="1">
      <c r="A10" s="9" t="s">
        <v>174</v>
      </c>
      <c r="B10" s="10" t="s">
        <v>21</v>
      </c>
      <c r="C10" s="11">
        <v>1</v>
      </c>
      <c r="D10" s="11"/>
      <c r="E10" s="2"/>
      <c r="F10" s="11"/>
      <c r="G10" s="2"/>
      <c r="H10" s="11">
        <v>1</v>
      </c>
      <c r="I10" s="11"/>
      <c r="J10" s="11">
        <v>1</v>
      </c>
      <c r="K10" s="11"/>
      <c r="L10" s="2"/>
      <c r="M10" s="11">
        <v>1</v>
      </c>
      <c r="N10" s="12"/>
      <c r="O10" s="11">
        <v>1</v>
      </c>
      <c r="P10" s="9"/>
      <c r="Q10" s="11">
        <v>1</v>
      </c>
      <c r="R10" s="9"/>
      <c r="S10" s="12"/>
      <c r="T10" s="9">
        <v>1</v>
      </c>
      <c r="U10" s="12"/>
      <c r="V10" s="9">
        <v>1</v>
      </c>
      <c r="W10" s="9"/>
      <c r="X10" s="11"/>
      <c r="Y10" s="11"/>
      <c r="Z10" s="2"/>
      <c r="AA10" s="11">
        <v>1</v>
      </c>
      <c r="AB10" s="3"/>
      <c r="AC10" s="11">
        <v>1</v>
      </c>
      <c r="AD10" s="11"/>
      <c r="AE10" s="11">
        <v>1</v>
      </c>
      <c r="AF10" s="11"/>
      <c r="AG10" s="13">
        <f t="shared" si="0"/>
        <v>11</v>
      </c>
      <c r="AH10" s="14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</f>
        <v>#NAME?</v>
      </c>
      <c r="AI10" s="15" t="str">
        <f t="shared" si="1"/>
        <v>晧全</v>
      </c>
      <c r="AJ10" s="43"/>
    </row>
    <row r="11" spans="1:36" ht="18" customHeight="1">
      <c r="A11" s="9" t="s">
        <v>174</v>
      </c>
      <c r="B11" s="10" t="s">
        <v>72</v>
      </c>
      <c r="C11" s="11">
        <v>1</v>
      </c>
      <c r="D11" s="11"/>
      <c r="E11" s="2"/>
      <c r="F11" s="11">
        <v>1</v>
      </c>
      <c r="G11" s="2"/>
      <c r="H11" s="11">
        <v>1</v>
      </c>
      <c r="I11" s="11"/>
      <c r="J11" s="11">
        <v>1</v>
      </c>
      <c r="K11" s="11"/>
      <c r="L11" s="2"/>
      <c r="M11" s="11">
        <v>1</v>
      </c>
      <c r="N11" s="12"/>
      <c r="O11" s="11">
        <v>1</v>
      </c>
      <c r="P11" s="9"/>
      <c r="Q11" s="11">
        <v>1</v>
      </c>
      <c r="R11" s="9"/>
      <c r="S11" s="12"/>
      <c r="T11" s="9">
        <v>1</v>
      </c>
      <c r="U11" s="12"/>
      <c r="V11" s="9">
        <v>1</v>
      </c>
      <c r="W11" s="9"/>
      <c r="X11" s="11"/>
      <c r="Y11" s="11"/>
      <c r="Z11" s="2"/>
      <c r="AA11" s="11">
        <v>1</v>
      </c>
      <c r="AB11" s="3"/>
      <c r="AC11" s="11">
        <v>1</v>
      </c>
      <c r="AD11" s="11"/>
      <c r="AE11" s="11">
        <v>1</v>
      </c>
      <c r="AF11" s="11"/>
      <c r="AG11" s="13">
        <f t="shared" si="0"/>
        <v>12</v>
      </c>
      <c r="AH11" s="14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15" t="str">
        <f t="shared" si="1"/>
        <v>八卦</v>
      </c>
      <c r="AJ11" s="43"/>
    </row>
    <row r="12" spans="1:36" ht="18" customHeight="1">
      <c r="A12" s="9" t="s">
        <v>174</v>
      </c>
      <c r="B12" s="10" t="s">
        <v>175</v>
      </c>
      <c r="C12" s="11">
        <v>1</v>
      </c>
      <c r="D12" s="11"/>
      <c r="E12" s="2"/>
      <c r="F12" s="11">
        <v>1</v>
      </c>
      <c r="G12" s="2"/>
      <c r="H12" s="11">
        <v>1</v>
      </c>
      <c r="I12" s="11"/>
      <c r="J12" s="11">
        <v>1</v>
      </c>
      <c r="K12" s="11"/>
      <c r="L12" s="2"/>
      <c r="M12" s="11">
        <v>1</v>
      </c>
      <c r="N12" s="12"/>
      <c r="O12" s="11">
        <v>1</v>
      </c>
      <c r="P12" s="9"/>
      <c r="Q12" s="11">
        <v>1</v>
      </c>
      <c r="R12" s="9"/>
      <c r="S12" s="12"/>
      <c r="T12" s="9">
        <v>1</v>
      </c>
      <c r="U12" s="12"/>
      <c r="V12" s="9">
        <v>1</v>
      </c>
      <c r="W12" s="9"/>
      <c r="X12" s="11"/>
      <c r="Y12" s="11"/>
      <c r="Z12" s="2"/>
      <c r="AA12" s="11">
        <v>1</v>
      </c>
      <c r="AB12" s="3"/>
      <c r="AC12" s="11">
        <v>1</v>
      </c>
      <c r="AD12" s="11"/>
      <c r="AE12" s="11">
        <v>1</v>
      </c>
      <c r="AF12" s="11"/>
      <c r="AG12" s="13">
        <f t="shared" si="0"/>
        <v>12</v>
      </c>
      <c r="AH12" s="14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15" t="str">
        <f t="shared" si="1"/>
        <v>咪咪</v>
      </c>
      <c r="AJ12" s="43"/>
    </row>
    <row r="13" spans="1:36" ht="18" customHeight="1">
      <c r="A13" s="9" t="s">
        <v>174</v>
      </c>
      <c r="B13" s="10" t="s">
        <v>17</v>
      </c>
      <c r="C13" s="11"/>
      <c r="D13" s="11"/>
      <c r="E13" s="2"/>
      <c r="F13" s="11"/>
      <c r="G13" s="2"/>
      <c r="H13" s="11"/>
      <c r="I13" s="11"/>
      <c r="J13" s="11"/>
      <c r="K13" s="11"/>
      <c r="L13" s="2"/>
      <c r="M13" s="11"/>
      <c r="N13" s="12"/>
      <c r="O13" s="11"/>
      <c r="P13" s="9"/>
      <c r="Q13" s="11"/>
      <c r="R13" s="9"/>
      <c r="S13" s="12"/>
      <c r="T13" s="9"/>
      <c r="U13" s="12"/>
      <c r="V13" s="9"/>
      <c r="W13" s="9"/>
      <c r="X13" s="11"/>
      <c r="Y13" s="11"/>
      <c r="Z13" s="2"/>
      <c r="AA13" s="11"/>
      <c r="AB13" s="3"/>
      <c r="AC13" s="11"/>
      <c r="AD13" s="11"/>
      <c r="AE13" s="11"/>
      <c r="AF13" s="11">
        <v>1</v>
      </c>
      <c r="AG13" s="13">
        <f t="shared" si="0"/>
        <v>1</v>
      </c>
      <c r="AH13" s="14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15" t="str">
        <f t="shared" si="1"/>
        <v>光曜</v>
      </c>
      <c r="AJ13" s="16"/>
    </row>
    <row r="14" spans="1:36" ht="18" customHeight="1">
      <c r="A14" s="9" t="s">
        <v>174</v>
      </c>
      <c r="B14" s="10" t="s">
        <v>15</v>
      </c>
      <c r="C14" s="11">
        <v>1</v>
      </c>
      <c r="D14" s="11"/>
      <c r="E14" s="2"/>
      <c r="F14" s="11">
        <v>1</v>
      </c>
      <c r="G14" s="2"/>
      <c r="H14" s="11">
        <v>1</v>
      </c>
      <c r="I14" s="11"/>
      <c r="J14" s="11">
        <v>1</v>
      </c>
      <c r="K14" s="11"/>
      <c r="L14" s="2"/>
      <c r="M14" s="11">
        <v>1</v>
      </c>
      <c r="N14" s="12"/>
      <c r="O14" s="11">
        <v>1</v>
      </c>
      <c r="P14" s="9"/>
      <c r="Q14" s="11">
        <v>1</v>
      </c>
      <c r="R14" s="9"/>
      <c r="S14" s="12"/>
      <c r="T14" s="9">
        <v>1</v>
      </c>
      <c r="U14" s="12"/>
      <c r="V14" s="9"/>
      <c r="W14" s="9"/>
      <c r="X14" s="11"/>
      <c r="Y14" s="11"/>
      <c r="Z14" s="2"/>
      <c r="AA14" s="11"/>
      <c r="AB14" s="3"/>
      <c r="AC14" s="11"/>
      <c r="AD14" s="11"/>
      <c r="AE14" s="11"/>
      <c r="AF14" s="11"/>
      <c r="AG14" s="13">
        <f t="shared" si="0"/>
        <v>8</v>
      </c>
      <c r="AH14" s="14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15" t="str">
        <f t="shared" si="1"/>
        <v>大支</v>
      </c>
      <c r="AJ14" s="43"/>
    </row>
    <row r="15" spans="1:36" ht="18" customHeight="1">
      <c r="A15" s="9" t="s">
        <v>174</v>
      </c>
      <c r="B15" s="10" t="s">
        <v>61</v>
      </c>
      <c r="C15" s="11"/>
      <c r="D15" s="11"/>
      <c r="E15" s="2"/>
      <c r="F15" s="11"/>
      <c r="G15" s="2"/>
      <c r="H15" s="11"/>
      <c r="I15" s="11"/>
      <c r="J15" s="11"/>
      <c r="K15" s="11"/>
      <c r="L15" s="2"/>
      <c r="M15" s="11"/>
      <c r="N15" s="12"/>
      <c r="O15" s="11"/>
      <c r="P15" s="9"/>
      <c r="Q15" s="11"/>
      <c r="R15" s="9"/>
      <c r="S15" s="12"/>
      <c r="T15" s="9"/>
      <c r="U15" s="12"/>
      <c r="V15" s="9"/>
      <c r="W15" s="9"/>
      <c r="X15" s="11"/>
      <c r="Y15" s="11"/>
      <c r="Z15" s="2"/>
      <c r="AA15" s="11">
        <v>1</v>
      </c>
      <c r="AB15" s="3"/>
      <c r="AC15" s="11"/>
      <c r="AD15" s="11"/>
      <c r="AE15" s="11"/>
      <c r="AF15" s="11"/>
      <c r="AG15" s="13">
        <f t="shared" si="0"/>
        <v>1</v>
      </c>
      <c r="AH15" s="14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15" t="str">
        <f t="shared" si="1"/>
        <v>韋融</v>
      </c>
      <c r="AJ15" s="16"/>
    </row>
    <row r="16" spans="1:36" ht="18" customHeight="1">
      <c r="A16" s="9" t="s">
        <v>174</v>
      </c>
      <c r="B16" s="10" t="s">
        <v>20</v>
      </c>
      <c r="C16" s="11">
        <v>1</v>
      </c>
      <c r="D16" s="11">
        <v>1</v>
      </c>
      <c r="E16" s="2"/>
      <c r="F16" s="11"/>
      <c r="G16" s="2"/>
      <c r="H16" s="11"/>
      <c r="I16" s="11"/>
      <c r="J16" s="11"/>
      <c r="K16" s="11"/>
      <c r="L16" s="2"/>
      <c r="M16" s="11"/>
      <c r="N16" s="12"/>
      <c r="O16" s="11"/>
      <c r="P16" s="9"/>
      <c r="Q16" s="9"/>
      <c r="R16" s="9">
        <v>1</v>
      </c>
      <c r="S16" s="12"/>
      <c r="T16" s="9"/>
      <c r="U16" s="12"/>
      <c r="V16" s="9"/>
      <c r="W16" s="9"/>
      <c r="X16" s="11"/>
      <c r="Y16" s="11"/>
      <c r="Z16" s="2"/>
      <c r="AA16" s="11">
        <v>1</v>
      </c>
      <c r="AB16" s="3"/>
      <c r="AC16" s="11"/>
      <c r="AD16" s="11"/>
      <c r="AE16" s="11"/>
      <c r="AF16" s="11">
        <v>1</v>
      </c>
      <c r="AG16" s="13">
        <f t="shared" si="0"/>
        <v>5</v>
      </c>
      <c r="AH16" s="14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15" t="str">
        <f t="shared" si="1"/>
        <v>港弟</v>
      </c>
      <c r="AJ16" s="43"/>
    </row>
    <row r="17" spans="1:36" ht="18" customHeight="1">
      <c r="A17" s="9" t="s">
        <v>174</v>
      </c>
      <c r="B17" s="10" t="s">
        <v>16</v>
      </c>
      <c r="C17" s="11">
        <v>1</v>
      </c>
      <c r="D17" s="11">
        <v>1</v>
      </c>
      <c r="E17" s="2"/>
      <c r="F17" s="11">
        <v>1</v>
      </c>
      <c r="G17" s="2"/>
      <c r="H17" s="11">
        <v>1</v>
      </c>
      <c r="I17" s="11"/>
      <c r="J17" s="11">
        <v>1</v>
      </c>
      <c r="K17" s="11">
        <v>1</v>
      </c>
      <c r="L17" s="2"/>
      <c r="M17" s="11">
        <v>1</v>
      </c>
      <c r="N17" s="12"/>
      <c r="O17" s="11">
        <v>1</v>
      </c>
      <c r="P17" s="9">
        <v>1</v>
      </c>
      <c r="Q17" s="9">
        <v>1</v>
      </c>
      <c r="R17" s="9">
        <v>1</v>
      </c>
      <c r="S17" s="12"/>
      <c r="T17" s="9">
        <v>1</v>
      </c>
      <c r="U17" s="12"/>
      <c r="V17" s="9">
        <v>1</v>
      </c>
      <c r="W17" s="9"/>
      <c r="X17" s="11">
        <v>1</v>
      </c>
      <c r="Y17" s="11">
        <v>1</v>
      </c>
      <c r="Z17" s="2"/>
      <c r="AA17" s="11">
        <v>1</v>
      </c>
      <c r="AB17" s="3"/>
      <c r="AC17" s="11"/>
      <c r="AD17" s="11"/>
      <c r="AE17" s="11">
        <v>1</v>
      </c>
      <c r="AF17" s="11">
        <v>1</v>
      </c>
      <c r="AG17" s="13">
        <f t="shared" si="0"/>
        <v>18</v>
      </c>
      <c r="AH17" s="14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15" t="str">
        <f t="shared" si="1"/>
        <v>弼善</v>
      </c>
      <c r="AJ17" s="43"/>
    </row>
    <row r="18" spans="1:36" ht="18" customHeight="1">
      <c r="A18" s="9" t="s">
        <v>174</v>
      </c>
      <c r="B18" s="10" t="s">
        <v>62</v>
      </c>
      <c r="C18" s="11"/>
      <c r="D18" s="11"/>
      <c r="E18" s="2"/>
      <c r="F18" s="11">
        <v>1</v>
      </c>
      <c r="G18" s="2"/>
      <c r="H18" s="11"/>
      <c r="I18" s="11">
        <v>1</v>
      </c>
      <c r="J18" s="11">
        <v>1</v>
      </c>
      <c r="K18" s="11"/>
      <c r="L18" s="2"/>
      <c r="M18" s="11">
        <v>1</v>
      </c>
      <c r="N18" s="12"/>
      <c r="O18" s="9"/>
      <c r="P18" s="9"/>
      <c r="Q18" s="9"/>
      <c r="R18" s="9">
        <v>1</v>
      </c>
      <c r="S18" s="12"/>
      <c r="T18" s="9"/>
      <c r="U18" s="12"/>
      <c r="V18" s="9">
        <v>1</v>
      </c>
      <c r="W18" s="9"/>
      <c r="X18" s="11"/>
      <c r="Y18" s="11">
        <v>1</v>
      </c>
      <c r="Z18" s="2"/>
      <c r="AA18" s="11"/>
      <c r="AB18" s="3"/>
      <c r="AC18" s="11">
        <v>1</v>
      </c>
      <c r="AD18" s="11"/>
      <c r="AE18" s="11"/>
      <c r="AF18" s="11"/>
      <c r="AG18" s="13">
        <f t="shared" si="0"/>
        <v>8</v>
      </c>
      <c r="AH18" s="14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15" t="str">
        <f t="shared" si="1"/>
        <v>國源</v>
      </c>
      <c r="AJ18" s="17"/>
    </row>
    <row r="19" spans="1:36" ht="18" customHeight="1">
      <c r="A19" s="18" t="s">
        <v>174</v>
      </c>
      <c r="B19" s="19" t="s">
        <v>89</v>
      </c>
      <c r="C19" s="20"/>
      <c r="D19" s="20"/>
      <c r="E19" s="2"/>
      <c r="F19" s="20">
        <v>1</v>
      </c>
      <c r="G19" s="2"/>
      <c r="H19" s="20">
        <v>1</v>
      </c>
      <c r="I19" s="20"/>
      <c r="J19" s="20">
        <v>1</v>
      </c>
      <c r="K19" s="20">
        <v>1</v>
      </c>
      <c r="L19" s="2"/>
      <c r="M19" s="20">
        <v>1</v>
      </c>
      <c r="N19" s="12"/>
      <c r="O19" s="18"/>
      <c r="P19" s="18"/>
      <c r="Q19" s="18">
        <v>1</v>
      </c>
      <c r="R19" s="18"/>
      <c r="S19" s="12"/>
      <c r="T19" s="18">
        <v>1</v>
      </c>
      <c r="U19" s="12"/>
      <c r="V19" s="18">
        <v>1</v>
      </c>
      <c r="W19" s="18">
        <v>1</v>
      </c>
      <c r="X19" s="20">
        <v>1</v>
      </c>
      <c r="Y19" s="20"/>
      <c r="Z19" s="2"/>
      <c r="AA19" s="20">
        <v>1</v>
      </c>
      <c r="AB19" s="3"/>
      <c r="AC19" s="20">
        <v>1</v>
      </c>
      <c r="AD19" s="20">
        <v>1</v>
      </c>
      <c r="AE19" s="20">
        <v>1</v>
      </c>
      <c r="AF19" s="20">
        <v>1</v>
      </c>
      <c r="AG19" s="21">
        <f t="shared" si="0"/>
        <v>15</v>
      </c>
      <c r="AH19" s="22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23" t="str">
        <f t="shared" si="1"/>
        <v>泡芙</v>
      </c>
      <c r="AJ19" s="24"/>
    </row>
    <row r="20" spans="1:36" ht="18" customHeight="1">
      <c r="A20" s="18" t="s">
        <v>174</v>
      </c>
      <c r="B20" s="19" t="s">
        <v>90</v>
      </c>
      <c r="C20" s="20">
        <v>1</v>
      </c>
      <c r="D20" s="20"/>
      <c r="E20" s="2"/>
      <c r="F20" s="20">
        <v>1</v>
      </c>
      <c r="G20" s="2"/>
      <c r="H20" s="20">
        <v>1</v>
      </c>
      <c r="I20" s="20"/>
      <c r="J20" s="20"/>
      <c r="K20" s="20"/>
      <c r="L20" s="2"/>
      <c r="M20" s="20">
        <v>1</v>
      </c>
      <c r="N20" s="12"/>
      <c r="O20" s="18"/>
      <c r="P20" s="18"/>
      <c r="Q20" s="18">
        <v>1</v>
      </c>
      <c r="R20" s="18"/>
      <c r="S20" s="12"/>
      <c r="T20" s="18">
        <v>1</v>
      </c>
      <c r="U20" s="12"/>
      <c r="V20" s="18">
        <v>1</v>
      </c>
      <c r="W20" s="18"/>
      <c r="X20" s="20"/>
      <c r="Y20" s="20"/>
      <c r="Z20" s="2"/>
      <c r="AA20" s="20">
        <v>1</v>
      </c>
      <c r="AB20" s="3"/>
      <c r="AC20" s="20"/>
      <c r="AD20" s="20"/>
      <c r="AE20" s="20"/>
      <c r="AF20" s="20"/>
      <c r="AG20" s="21">
        <f t="shared" si="0"/>
        <v>8</v>
      </c>
      <c r="AH20" s="22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23" t="str">
        <f t="shared" si="1"/>
        <v>蓓蓓</v>
      </c>
      <c r="AJ20" s="24"/>
    </row>
    <row r="21" spans="1:36" ht="18" customHeight="1">
      <c r="A21" s="18" t="s">
        <v>174</v>
      </c>
      <c r="B21" s="19" t="s">
        <v>150</v>
      </c>
      <c r="C21" s="20">
        <v>1</v>
      </c>
      <c r="D21" s="20">
        <v>1</v>
      </c>
      <c r="E21" s="2"/>
      <c r="F21" s="20">
        <v>1</v>
      </c>
      <c r="G21" s="2"/>
      <c r="H21" s="20"/>
      <c r="I21" s="20"/>
      <c r="J21" s="20"/>
      <c r="K21" s="20"/>
      <c r="L21" s="2"/>
      <c r="M21" s="20"/>
      <c r="N21" s="12"/>
      <c r="O21" s="18"/>
      <c r="P21" s="18"/>
      <c r="Q21" s="18">
        <v>1</v>
      </c>
      <c r="R21" s="18"/>
      <c r="S21" s="12"/>
      <c r="T21" s="18">
        <v>1</v>
      </c>
      <c r="U21" s="12"/>
      <c r="V21" s="18">
        <v>1</v>
      </c>
      <c r="W21" s="18"/>
      <c r="X21" s="20">
        <v>1</v>
      </c>
      <c r="Y21" s="20">
        <v>1</v>
      </c>
      <c r="Z21" s="2"/>
      <c r="AA21" s="20">
        <v>1</v>
      </c>
      <c r="AB21" s="3"/>
      <c r="AC21" s="20">
        <v>1</v>
      </c>
      <c r="AD21" s="20"/>
      <c r="AE21" s="20">
        <v>1</v>
      </c>
      <c r="AF21" s="20">
        <v>1</v>
      </c>
      <c r="AG21" s="21">
        <f t="shared" si="0"/>
        <v>12</v>
      </c>
      <c r="AH21" s="22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23" t="str">
        <f t="shared" si="1"/>
        <v>高麗菜</v>
      </c>
      <c r="AJ21" s="24"/>
    </row>
    <row r="22" spans="1:36" ht="18" customHeight="1">
      <c r="A22" s="18" t="s">
        <v>174</v>
      </c>
      <c r="B22" s="19" t="s">
        <v>164</v>
      </c>
      <c r="C22" s="20"/>
      <c r="D22" s="20"/>
      <c r="E22" s="2"/>
      <c r="F22" s="20"/>
      <c r="G22" s="2"/>
      <c r="H22" s="20"/>
      <c r="I22" s="20"/>
      <c r="J22" s="20"/>
      <c r="K22" s="20"/>
      <c r="L22" s="2"/>
      <c r="M22" s="20"/>
      <c r="N22" s="12"/>
      <c r="O22" s="18"/>
      <c r="P22" s="18"/>
      <c r="Q22" s="18"/>
      <c r="R22" s="18"/>
      <c r="S22" s="12"/>
      <c r="T22" s="18"/>
      <c r="U22" s="12"/>
      <c r="V22" s="18"/>
      <c r="W22" s="18"/>
      <c r="X22" s="20"/>
      <c r="Y22" s="20"/>
      <c r="Z22" s="2"/>
      <c r="AA22" s="20"/>
      <c r="AB22" s="3"/>
      <c r="AC22" s="20"/>
      <c r="AD22" s="20"/>
      <c r="AE22" s="20"/>
      <c r="AF22" s="20"/>
      <c r="AG22" s="21">
        <f t="shared" si="0"/>
        <v>0</v>
      </c>
      <c r="AH22" s="22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23" t="str">
        <f t="shared" si="1"/>
        <v>小菜</v>
      </c>
      <c r="AJ22" s="25"/>
    </row>
    <row r="23" spans="1:36" ht="18" customHeight="1">
      <c r="A23" s="18" t="s">
        <v>174</v>
      </c>
      <c r="B23" s="19" t="s">
        <v>94</v>
      </c>
      <c r="C23" s="20">
        <v>1</v>
      </c>
      <c r="D23" s="20"/>
      <c r="E23" s="2"/>
      <c r="F23" s="20">
        <v>1</v>
      </c>
      <c r="G23" s="2"/>
      <c r="H23" s="20">
        <v>1</v>
      </c>
      <c r="I23" s="20"/>
      <c r="J23" s="20">
        <v>1</v>
      </c>
      <c r="K23" s="20"/>
      <c r="L23" s="2"/>
      <c r="M23" s="20">
        <v>1</v>
      </c>
      <c r="N23" s="12"/>
      <c r="O23" s="18"/>
      <c r="P23" s="18"/>
      <c r="Q23" s="18">
        <v>1</v>
      </c>
      <c r="R23" s="18"/>
      <c r="S23" s="12"/>
      <c r="T23" s="18">
        <v>1</v>
      </c>
      <c r="U23" s="12"/>
      <c r="V23" s="18">
        <v>1</v>
      </c>
      <c r="W23" s="18"/>
      <c r="X23" s="20"/>
      <c r="Y23" s="20"/>
      <c r="Z23" s="2"/>
      <c r="AA23" s="20">
        <v>1</v>
      </c>
      <c r="AB23" s="3"/>
      <c r="AC23" s="20">
        <v>1</v>
      </c>
      <c r="AD23" s="20"/>
      <c r="AE23" s="20">
        <v>1</v>
      </c>
      <c r="AF23" s="20">
        <v>1</v>
      </c>
      <c r="AG23" s="21">
        <f t="shared" si="0"/>
        <v>12</v>
      </c>
      <c r="AH23" s="22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23" t="str">
        <f t="shared" si="1"/>
        <v>小花</v>
      </c>
      <c r="AJ23" s="44"/>
    </row>
    <row r="24" spans="1:36" ht="18" customHeight="1">
      <c r="A24" s="18" t="s">
        <v>174</v>
      </c>
      <c r="B24" s="19" t="s">
        <v>102</v>
      </c>
      <c r="C24" s="20"/>
      <c r="D24" s="20"/>
      <c r="E24" s="2"/>
      <c r="F24" s="20"/>
      <c r="G24" s="2"/>
      <c r="H24" s="20"/>
      <c r="I24" s="20"/>
      <c r="J24" s="20"/>
      <c r="K24" s="20"/>
      <c r="L24" s="2"/>
      <c r="M24" s="20"/>
      <c r="N24" s="12"/>
      <c r="O24" s="18"/>
      <c r="P24" s="18"/>
      <c r="Q24" s="18"/>
      <c r="R24" s="18"/>
      <c r="S24" s="12"/>
      <c r="T24" s="18"/>
      <c r="U24" s="12"/>
      <c r="V24" s="18"/>
      <c r="W24" s="18"/>
      <c r="X24" s="20"/>
      <c r="Y24" s="20"/>
      <c r="Z24" s="2"/>
      <c r="AA24" s="20"/>
      <c r="AB24" s="3"/>
      <c r="AC24" s="20"/>
      <c r="AD24" s="20"/>
      <c r="AE24" s="20"/>
      <c r="AF24" s="20"/>
      <c r="AG24" s="21">
        <f t="shared" si="0"/>
        <v>0</v>
      </c>
      <c r="AH24" s="22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23" t="str">
        <f t="shared" si="1"/>
        <v>妮妮</v>
      </c>
      <c r="AJ24" s="24"/>
    </row>
    <row r="25" spans="1:36" ht="18" customHeight="1">
      <c r="A25" s="18" t="s">
        <v>174</v>
      </c>
      <c r="B25" s="19" t="s">
        <v>165</v>
      </c>
      <c r="C25" s="20">
        <v>1</v>
      </c>
      <c r="D25" s="20"/>
      <c r="E25" s="2"/>
      <c r="F25" s="20">
        <v>1</v>
      </c>
      <c r="G25" s="2"/>
      <c r="H25" s="20">
        <v>1</v>
      </c>
      <c r="I25" s="20"/>
      <c r="J25" s="20">
        <v>1</v>
      </c>
      <c r="K25" s="20"/>
      <c r="L25" s="2"/>
      <c r="M25" s="20">
        <v>1</v>
      </c>
      <c r="N25" s="12"/>
      <c r="O25" s="18"/>
      <c r="P25" s="18"/>
      <c r="Q25" s="18"/>
      <c r="R25" s="18"/>
      <c r="S25" s="12"/>
      <c r="T25" s="18">
        <v>1</v>
      </c>
      <c r="U25" s="12"/>
      <c r="V25" s="18">
        <v>1</v>
      </c>
      <c r="W25" s="18"/>
      <c r="X25" s="20">
        <v>1</v>
      </c>
      <c r="Y25" s="20"/>
      <c r="Z25" s="2"/>
      <c r="AA25" s="20">
        <v>1</v>
      </c>
      <c r="AB25" s="3"/>
      <c r="AC25" s="20">
        <v>1</v>
      </c>
      <c r="AD25" s="20"/>
      <c r="AE25" s="20">
        <v>1</v>
      </c>
      <c r="AF25" s="20"/>
      <c r="AG25" s="21">
        <f t="shared" si="0"/>
        <v>11</v>
      </c>
      <c r="AH25" s="22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23" t="str">
        <f t="shared" si="1"/>
        <v>小貓</v>
      </c>
      <c r="AJ25" s="44"/>
    </row>
    <row r="26" spans="1:36" ht="18" customHeight="1">
      <c r="A26" s="18" t="s">
        <v>174</v>
      </c>
      <c r="B26" s="19" t="s">
        <v>166</v>
      </c>
      <c r="C26" s="20"/>
      <c r="D26" s="20"/>
      <c r="E26" s="2"/>
      <c r="F26" s="20"/>
      <c r="G26" s="2"/>
      <c r="H26" s="20"/>
      <c r="I26" s="20"/>
      <c r="J26" s="20"/>
      <c r="K26" s="20"/>
      <c r="L26" s="2"/>
      <c r="M26" s="20"/>
      <c r="N26" s="12"/>
      <c r="O26" s="18"/>
      <c r="P26" s="18"/>
      <c r="Q26" s="18"/>
      <c r="R26" s="18"/>
      <c r="S26" s="12"/>
      <c r="T26" s="18"/>
      <c r="U26" s="12"/>
      <c r="V26" s="18"/>
      <c r="W26" s="18"/>
      <c r="X26" s="20"/>
      <c r="Y26" s="20"/>
      <c r="Z26" s="2"/>
      <c r="AA26" s="20"/>
      <c r="AB26" s="3"/>
      <c r="AC26" s="20"/>
      <c r="AD26" s="20"/>
      <c r="AE26" s="20"/>
      <c r="AF26" s="20"/>
      <c r="AG26" s="21">
        <f t="shared" si="0"/>
        <v>0</v>
      </c>
      <c r="AH26" s="22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23" t="str">
        <f t="shared" si="1"/>
        <v>哈比</v>
      </c>
      <c r="AJ26" s="24"/>
    </row>
    <row r="27" spans="1:36" ht="18" customHeight="1">
      <c r="A27" s="18" t="s">
        <v>174</v>
      </c>
      <c r="B27" s="19" t="s">
        <v>91</v>
      </c>
      <c r="C27" s="20">
        <v>1</v>
      </c>
      <c r="D27" s="20"/>
      <c r="E27" s="2"/>
      <c r="F27" s="20">
        <v>1</v>
      </c>
      <c r="G27" s="2"/>
      <c r="H27" s="20"/>
      <c r="I27" s="20">
        <v>1</v>
      </c>
      <c r="J27" s="20">
        <v>1</v>
      </c>
      <c r="K27" s="20"/>
      <c r="L27" s="2"/>
      <c r="M27" s="20">
        <v>1</v>
      </c>
      <c r="N27" s="12"/>
      <c r="O27" s="18">
        <v>1</v>
      </c>
      <c r="P27" s="18">
        <v>1</v>
      </c>
      <c r="Q27" s="18">
        <v>1</v>
      </c>
      <c r="R27" s="18"/>
      <c r="S27" s="12"/>
      <c r="T27" s="18">
        <v>1</v>
      </c>
      <c r="U27" s="12"/>
      <c r="V27" s="18"/>
      <c r="W27" s="18"/>
      <c r="X27" s="20">
        <v>1</v>
      </c>
      <c r="Y27" s="20"/>
      <c r="Z27" s="2"/>
      <c r="AA27" s="20">
        <v>1</v>
      </c>
      <c r="AB27" s="3"/>
      <c r="AC27" s="20"/>
      <c r="AD27" s="20">
        <v>1</v>
      </c>
      <c r="AE27" s="20">
        <v>1</v>
      </c>
      <c r="AF27" s="20">
        <v>1</v>
      </c>
      <c r="AG27" s="21">
        <f t="shared" si="0"/>
        <v>14</v>
      </c>
      <c r="AH27" s="22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23" t="str">
        <f t="shared" si="1"/>
        <v>柔柔</v>
      </c>
      <c r="AJ27" s="24"/>
    </row>
    <row r="28" spans="1:36" ht="18" customHeight="1">
      <c r="A28" s="18" t="s">
        <v>174</v>
      </c>
      <c r="B28" s="19" t="s">
        <v>176</v>
      </c>
      <c r="C28" s="20"/>
      <c r="D28" s="20"/>
      <c r="E28" s="2"/>
      <c r="F28" s="20"/>
      <c r="G28" s="2"/>
      <c r="H28" s="20"/>
      <c r="I28" s="20"/>
      <c r="J28" s="20"/>
      <c r="K28" s="20"/>
      <c r="L28" s="2"/>
      <c r="M28" s="20"/>
      <c r="N28" s="12"/>
      <c r="O28" s="18"/>
      <c r="P28" s="18"/>
      <c r="Q28" s="18"/>
      <c r="R28" s="18"/>
      <c r="S28" s="12"/>
      <c r="T28" s="18"/>
      <c r="U28" s="12"/>
      <c r="V28" s="18"/>
      <c r="W28" s="18"/>
      <c r="X28" s="20"/>
      <c r="Y28" s="20"/>
      <c r="Z28" s="2"/>
      <c r="AA28" s="20"/>
      <c r="AB28" s="3"/>
      <c r="AC28" s="20"/>
      <c r="AD28" s="20"/>
      <c r="AE28" s="20"/>
      <c r="AF28" s="20"/>
      <c r="AG28" s="21">
        <f t="shared" si="0"/>
        <v>0</v>
      </c>
      <c r="AH28" s="22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23" t="str">
        <f t="shared" si="1"/>
        <v>芮芮</v>
      </c>
      <c r="AJ28" s="25"/>
    </row>
    <row r="29" spans="1:36" ht="18" customHeight="1">
      <c r="A29" s="18" t="s">
        <v>174</v>
      </c>
      <c r="B29" s="19" t="s">
        <v>123</v>
      </c>
      <c r="C29" s="20">
        <v>1</v>
      </c>
      <c r="D29" s="20"/>
      <c r="E29" s="2"/>
      <c r="F29" s="20">
        <v>1</v>
      </c>
      <c r="G29" s="2"/>
      <c r="H29" s="20"/>
      <c r="I29" s="20"/>
      <c r="J29" s="20"/>
      <c r="K29" s="20"/>
      <c r="L29" s="2"/>
      <c r="M29" s="20">
        <v>1</v>
      </c>
      <c r="N29" s="12"/>
      <c r="O29" s="18"/>
      <c r="P29" s="18">
        <v>1</v>
      </c>
      <c r="Q29" s="18"/>
      <c r="R29" s="18"/>
      <c r="S29" s="12"/>
      <c r="T29" s="18">
        <v>1</v>
      </c>
      <c r="U29" s="12"/>
      <c r="V29" s="18"/>
      <c r="W29" s="18">
        <v>1</v>
      </c>
      <c r="X29" s="20">
        <v>1</v>
      </c>
      <c r="Y29" s="20"/>
      <c r="Z29" s="2"/>
      <c r="AA29" s="20">
        <v>1</v>
      </c>
      <c r="AB29" s="3"/>
      <c r="AC29" s="20"/>
      <c r="AD29" s="20">
        <v>1</v>
      </c>
      <c r="AE29" s="20"/>
      <c r="AF29" s="20"/>
      <c r="AG29" s="21">
        <f t="shared" si="0"/>
        <v>9</v>
      </c>
      <c r="AH29" s="22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23" t="str">
        <f t="shared" si="1"/>
        <v>瑤瑤</v>
      </c>
      <c r="AJ29" s="24"/>
    </row>
    <row r="30" spans="1:36" ht="18" customHeight="1">
      <c r="A30" s="18" t="s">
        <v>174</v>
      </c>
      <c r="B30" s="19" t="s">
        <v>147</v>
      </c>
      <c r="C30" s="20">
        <v>1</v>
      </c>
      <c r="D30" s="20">
        <v>1</v>
      </c>
      <c r="E30" s="2"/>
      <c r="F30" s="20">
        <v>1</v>
      </c>
      <c r="G30" s="2"/>
      <c r="H30" s="20"/>
      <c r="I30" s="20"/>
      <c r="J30" s="20"/>
      <c r="K30" s="20">
        <v>1</v>
      </c>
      <c r="L30" s="2"/>
      <c r="M30" s="20">
        <v>1</v>
      </c>
      <c r="N30" s="12"/>
      <c r="O30" s="18">
        <v>1</v>
      </c>
      <c r="P30" s="18">
        <v>1</v>
      </c>
      <c r="Q30" s="18"/>
      <c r="R30" s="18">
        <v>1</v>
      </c>
      <c r="S30" s="12"/>
      <c r="T30" s="18"/>
      <c r="U30" s="12"/>
      <c r="V30" s="18"/>
      <c r="W30" s="18"/>
      <c r="X30" s="20"/>
      <c r="Y30" s="20">
        <v>1</v>
      </c>
      <c r="Z30" s="2"/>
      <c r="AA30" s="20">
        <v>1</v>
      </c>
      <c r="AB30" s="3"/>
      <c r="AC30" s="20"/>
      <c r="AD30" s="20"/>
      <c r="AE30" s="20"/>
      <c r="AF30" s="20">
        <v>1</v>
      </c>
      <c r="AG30" s="21">
        <f t="shared" si="0"/>
        <v>11</v>
      </c>
      <c r="AH30" s="22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23" t="str">
        <f t="shared" si="1"/>
        <v>湘苡</v>
      </c>
      <c r="AJ30" s="44"/>
    </row>
    <row r="31" spans="1:36" ht="18" customHeight="1">
      <c r="A31" s="18" t="s">
        <v>174</v>
      </c>
      <c r="B31" s="19" t="s">
        <v>93</v>
      </c>
      <c r="C31" s="20"/>
      <c r="D31" s="20"/>
      <c r="E31" s="2"/>
      <c r="F31" s="20"/>
      <c r="G31" s="2"/>
      <c r="H31" s="20"/>
      <c r="I31" s="20"/>
      <c r="J31" s="20"/>
      <c r="K31" s="20"/>
      <c r="L31" s="2"/>
      <c r="M31" s="20"/>
      <c r="N31" s="12"/>
      <c r="O31" s="18"/>
      <c r="P31" s="18"/>
      <c r="Q31" s="18"/>
      <c r="R31" s="18"/>
      <c r="S31" s="12"/>
      <c r="T31" s="18"/>
      <c r="U31" s="12"/>
      <c r="V31" s="18"/>
      <c r="W31" s="18"/>
      <c r="X31" s="20"/>
      <c r="Y31" s="20"/>
      <c r="Z31" s="2"/>
      <c r="AA31" s="20"/>
      <c r="AB31" s="3"/>
      <c r="AC31" s="20"/>
      <c r="AD31" s="20"/>
      <c r="AE31" s="20"/>
      <c r="AF31" s="20">
        <v>1</v>
      </c>
      <c r="AG31" s="21">
        <f t="shared" si="0"/>
        <v>1</v>
      </c>
      <c r="AH31" s="22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23" t="str">
        <f t="shared" si="1"/>
        <v>冠婷</v>
      </c>
      <c r="AJ31" s="24"/>
    </row>
    <row r="32" spans="1:36" ht="18" customHeight="1">
      <c r="A32" s="18" t="s">
        <v>174</v>
      </c>
      <c r="B32" s="19" t="s">
        <v>149</v>
      </c>
      <c r="C32" s="20"/>
      <c r="D32" s="20"/>
      <c r="E32" s="2"/>
      <c r="F32" s="20"/>
      <c r="G32" s="2"/>
      <c r="H32" s="20"/>
      <c r="I32" s="20"/>
      <c r="J32" s="20"/>
      <c r="K32" s="20">
        <v>1</v>
      </c>
      <c r="L32" s="2"/>
      <c r="M32" s="20"/>
      <c r="N32" s="12"/>
      <c r="O32" s="18"/>
      <c r="P32" s="18"/>
      <c r="Q32" s="18"/>
      <c r="R32" s="18"/>
      <c r="S32" s="12"/>
      <c r="T32" s="18"/>
      <c r="U32" s="12"/>
      <c r="V32" s="18"/>
      <c r="W32" s="18"/>
      <c r="X32" s="20"/>
      <c r="Y32" s="20"/>
      <c r="Z32" s="2"/>
      <c r="AA32" s="20"/>
      <c r="AB32" s="3"/>
      <c r="AC32" s="20"/>
      <c r="AD32" s="20"/>
      <c r="AE32" s="20"/>
      <c r="AF32" s="20"/>
      <c r="AG32" s="21">
        <f t="shared" si="0"/>
        <v>1</v>
      </c>
      <c r="AH32" s="22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23" t="str">
        <f t="shared" si="1"/>
        <v>晏寧</v>
      </c>
      <c r="AJ32" s="24"/>
    </row>
    <row r="33" spans="1:36" ht="18" customHeight="1">
      <c r="A33" s="18" t="s">
        <v>174</v>
      </c>
      <c r="B33" s="19" t="s">
        <v>146</v>
      </c>
      <c r="C33" s="20">
        <v>1</v>
      </c>
      <c r="D33" s="20">
        <v>1</v>
      </c>
      <c r="E33" s="2"/>
      <c r="F33" s="20">
        <v>1</v>
      </c>
      <c r="G33" s="2"/>
      <c r="H33" s="20"/>
      <c r="I33" s="20"/>
      <c r="J33" s="20"/>
      <c r="K33" s="20"/>
      <c r="L33" s="2"/>
      <c r="M33" s="20">
        <v>1</v>
      </c>
      <c r="N33" s="12"/>
      <c r="O33" s="18"/>
      <c r="P33" s="18"/>
      <c r="Q33" s="18">
        <v>1</v>
      </c>
      <c r="R33" s="18">
        <v>1</v>
      </c>
      <c r="S33" s="12"/>
      <c r="T33" s="18">
        <v>1</v>
      </c>
      <c r="U33" s="12"/>
      <c r="V33" s="18">
        <v>1</v>
      </c>
      <c r="W33" s="18">
        <v>1</v>
      </c>
      <c r="X33" s="20">
        <v>1</v>
      </c>
      <c r="Y33" s="20"/>
      <c r="Z33" s="2"/>
      <c r="AA33" s="20">
        <v>1</v>
      </c>
      <c r="AB33" s="3"/>
      <c r="AC33" s="20"/>
      <c r="AD33" s="20"/>
      <c r="AE33" s="20"/>
      <c r="AF33" s="20">
        <v>1</v>
      </c>
      <c r="AG33" s="21">
        <f t="shared" si="0"/>
        <v>12</v>
      </c>
      <c r="AH33" s="22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23" t="str">
        <f t="shared" si="1"/>
        <v>飛飛</v>
      </c>
      <c r="AJ33" s="24"/>
    </row>
    <row r="34" spans="1:36" ht="18" customHeight="1">
      <c r="A34" s="26" t="s">
        <v>174</v>
      </c>
      <c r="B34" s="27" t="s">
        <v>116</v>
      </c>
      <c r="C34" s="28">
        <v>1</v>
      </c>
      <c r="D34" s="28"/>
      <c r="E34" s="2"/>
      <c r="F34" s="28">
        <v>1</v>
      </c>
      <c r="G34" s="2"/>
      <c r="H34" s="28">
        <v>1</v>
      </c>
      <c r="I34" s="28">
        <v>1</v>
      </c>
      <c r="J34" s="28">
        <v>1</v>
      </c>
      <c r="K34" s="28"/>
      <c r="L34" s="2"/>
      <c r="M34" s="28">
        <v>1</v>
      </c>
      <c r="N34" s="12"/>
      <c r="O34" s="26"/>
      <c r="P34" s="26">
        <v>1</v>
      </c>
      <c r="Q34" s="26">
        <v>1</v>
      </c>
      <c r="R34" s="26"/>
      <c r="S34" s="12"/>
      <c r="T34" s="26">
        <v>1</v>
      </c>
      <c r="U34" s="12"/>
      <c r="V34" s="26">
        <v>1</v>
      </c>
      <c r="W34" s="26">
        <v>1</v>
      </c>
      <c r="X34" s="28">
        <v>1</v>
      </c>
      <c r="Y34" s="28"/>
      <c r="Z34" s="2"/>
      <c r="AA34" s="28">
        <v>1</v>
      </c>
      <c r="AB34" s="3"/>
      <c r="AC34" s="28">
        <v>1</v>
      </c>
      <c r="AD34" s="28">
        <v>1</v>
      </c>
      <c r="AE34" s="28">
        <v>1</v>
      </c>
      <c r="AF34" s="28"/>
      <c r="AG34" s="29">
        <f t="shared" si="0"/>
        <v>16</v>
      </c>
      <c r="AH34" s="30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31" t="str">
        <f t="shared" si="1"/>
        <v>大汪</v>
      </c>
      <c r="AJ34" s="32"/>
    </row>
    <row r="35" spans="1:36" ht="18" customHeight="1">
      <c r="A35" s="26" t="s">
        <v>174</v>
      </c>
      <c r="B35" s="27" t="s">
        <v>118</v>
      </c>
      <c r="C35" s="28">
        <v>1</v>
      </c>
      <c r="D35" s="28"/>
      <c r="E35" s="2"/>
      <c r="F35" s="28">
        <v>1</v>
      </c>
      <c r="G35" s="2"/>
      <c r="H35" s="28"/>
      <c r="I35" s="28"/>
      <c r="J35" s="28"/>
      <c r="K35" s="28"/>
      <c r="L35" s="2"/>
      <c r="M35" s="28">
        <v>1</v>
      </c>
      <c r="N35" s="12"/>
      <c r="O35" s="26">
        <v>1</v>
      </c>
      <c r="P35" s="26">
        <v>1</v>
      </c>
      <c r="Q35" s="26"/>
      <c r="R35" s="26"/>
      <c r="S35" s="12"/>
      <c r="T35" s="26">
        <v>1</v>
      </c>
      <c r="U35" s="12"/>
      <c r="V35" s="26">
        <v>1</v>
      </c>
      <c r="W35" s="26">
        <v>1</v>
      </c>
      <c r="X35" s="28">
        <v>1</v>
      </c>
      <c r="Y35" s="28"/>
      <c r="Z35" s="2"/>
      <c r="AA35" s="28">
        <v>1</v>
      </c>
      <c r="AB35" s="3"/>
      <c r="AC35" s="28"/>
      <c r="AD35" s="28">
        <v>1</v>
      </c>
      <c r="AE35" s="28"/>
      <c r="AF35" s="28"/>
      <c r="AG35" s="29">
        <f t="shared" si="0"/>
        <v>11</v>
      </c>
      <c r="AH35" s="30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31" t="str">
        <f t="shared" si="1"/>
        <v>雅筑</v>
      </c>
      <c r="AJ35" s="32"/>
    </row>
    <row r="36" spans="1:36" ht="18" customHeight="1">
      <c r="A36" s="26" t="s">
        <v>174</v>
      </c>
      <c r="B36" s="27" t="s">
        <v>141</v>
      </c>
      <c r="C36" s="28"/>
      <c r="D36" s="28"/>
      <c r="E36" s="2"/>
      <c r="F36" s="28"/>
      <c r="G36" s="2"/>
      <c r="H36" s="28"/>
      <c r="I36" s="28"/>
      <c r="J36" s="28"/>
      <c r="K36" s="28"/>
      <c r="L36" s="2"/>
      <c r="M36" s="28"/>
      <c r="N36" s="12"/>
      <c r="O36" s="26"/>
      <c r="P36" s="26"/>
      <c r="Q36" s="26"/>
      <c r="R36" s="26"/>
      <c r="S36" s="12"/>
      <c r="T36" s="26"/>
      <c r="U36" s="12"/>
      <c r="V36" s="26"/>
      <c r="W36" s="26"/>
      <c r="X36" s="28"/>
      <c r="Y36" s="28"/>
      <c r="Z36" s="2"/>
      <c r="AA36" s="28"/>
      <c r="AB36" s="3"/>
      <c r="AC36" s="28"/>
      <c r="AD36" s="28"/>
      <c r="AE36" s="28"/>
      <c r="AF36" s="28"/>
      <c r="AG36" s="29">
        <f t="shared" ref="AG36:AG67" si="2">COUNTA(C36:AF36)</f>
        <v>0</v>
      </c>
      <c r="AH36" s="30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31" t="str">
        <f t="shared" ref="AI36:AI67" si="3">B36</f>
        <v>Cindy</v>
      </c>
      <c r="AJ36" s="32"/>
    </row>
    <row r="37" spans="1:36" ht="18" customHeight="1">
      <c r="A37" s="26" t="s">
        <v>174</v>
      </c>
      <c r="B37" s="27" t="s">
        <v>103</v>
      </c>
      <c r="C37" s="28">
        <v>1</v>
      </c>
      <c r="D37" s="28"/>
      <c r="E37" s="2"/>
      <c r="F37" s="28">
        <v>1</v>
      </c>
      <c r="G37" s="2"/>
      <c r="H37" s="28"/>
      <c r="I37" s="28">
        <v>1</v>
      </c>
      <c r="J37" s="28">
        <v>1</v>
      </c>
      <c r="K37" s="28"/>
      <c r="L37" s="2"/>
      <c r="M37" s="28">
        <v>1</v>
      </c>
      <c r="N37" s="12"/>
      <c r="O37" s="26"/>
      <c r="P37" s="26">
        <v>1</v>
      </c>
      <c r="Q37" s="26"/>
      <c r="R37" s="26"/>
      <c r="S37" s="12"/>
      <c r="T37" s="26">
        <v>1</v>
      </c>
      <c r="U37" s="12"/>
      <c r="V37" s="26"/>
      <c r="W37" s="26">
        <v>1</v>
      </c>
      <c r="X37" s="28">
        <v>1</v>
      </c>
      <c r="Y37" s="28"/>
      <c r="Z37" s="2"/>
      <c r="AA37" s="28">
        <v>1</v>
      </c>
      <c r="AB37" s="3"/>
      <c r="AC37" s="28"/>
      <c r="AD37" s="28">
        <v>1</v>
      </c>
      <c r="AE37" s="28">
        <v>1</v>
      </c>
      <c r="AF37" s="28">
        <v>1</v>
      </c>
      <c r="AG37" s="29">
        <f t="shared" si="2"/>
        <v>13</v>
      </c>
      <c r="AH37" s="30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31" t="str">
        <f t="shared" si="3"/>
        <v>圈圈</v>
      </c>
      <c r="AJ37" s="33"/>
    </row>
    <row r="38" spans="1:36" ht="18" customHeight="1">
      <c r="A38" s="26" t="s">
        <v>174</v>
      </c>
      <c r="B38" s="27" t="s">
        <v>120</v>
      </c>
      <c r="C38" s="28">
        <v>1</v>
      </c>
      <c r="D38" s="28"/>
      <c r="E38" s="2"/>
      <c r="F38" s="28">
        <v>1</v>
      </c>
      <c r="G38" s="2"/>
      <c r="H38" s="28">
        <v>1</v>
      </c>
      <c r="I38" s="28"/>
      <c r="J38" s="28"/>
      <c r="K38" s="28"/>
      <c r="L38" s="2"/>
      <c r="M38" s="28">
        <v>1</v>
      </c>
      <c r="N38" s="12"/>
      <c r="O38" s="26"/>
      <c r="P38" s="26">
        <v>1</v>
      </c>
      <c r="Q38" s="26"/>
      <c r="R38" s="26"/>
      <c r="S38" s="12"/>
      <c r="T38" s="26">
        <v>1</v>
      </c>
      <c r="U38" s="12"/>
      <c r="V38" s="26">
        <v>1</v>
      </c>
      <c r="W38" s="26">
        <v>1</v>
      </c>
      <c r="X38" s="28">
        <v>1</v>
      </c>
      <c r="Y38" s="28"/>
      <c r="Z38" s="2"/>
      <c r="AA38" s="28">
        <v>1</v>
      </c>
      <c r="AB38" s="3"/>
      <c r="AC38" s="28">
        <v>1</v>
      </c>
      <c r="AD38" s="28">
        <v>1</v>
      </c>
      <c r="AE38" s="28"/>
      <c r="AF38" s="28"/>
      <c r="AG38" s="29">
        <f t="shared" si="2"/>
        <v>12</v>
      </c>
      <c r="AH38" s="30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31" t="str">
        <f t="shared" si="3"/>
        <v>品君</v>
      </c>
      <c r="AJ38" s="33"/>
    </row>
    <row r="39" spans="1:36" ht="18" customHeight="1">
      <c r="A39" s="26" t="s">
        <v>174</v>
      </c>
      <c r="B39" s="27" t="s">
        <v>142</v>
      </c>
      <c r="C39" s="28"/>
      <c r="D39" s="28"/>
      <c r="E39" s="2"/>
      <c r="F39" s="28">
        <v>1</v>
      </c>
      <c r="G39" s="2"/>
      <c r="H39" s="28"/>
      <c r="I39" s="28"/>
      <c r="J39" s="28">
        <v>1</v>
      </c>
      <c r="K39" s="28"/>
      <c r="L39" s="2"/>
      <c r="M39" s="28">
        <v>1</v>
      </c>
      <c r="N39" s="12"/>
      <c r="O39" s="26">
        <v>1</v>
      </c>
      <c r="P39" s="26">
        <v>1</v>
      </c>
      <c r="Q39" s="26"/>
      <c r="R39" s="26"/>
      <c r="S39" s="12"/>
      <c r="T39" s="26">
        <v>1</v>
      </c>
      <c r="U39" s="12"/>
      <c r="V39" s="26"/>
      <c r="W39" s="26"/>
      <c r="X39" s="28">
        <v>1</v>
      </c>
      <c r="Y39" s="28"/>
      <c r="Z39" s="2"/>
      <c r="AA39" s="28">
        <v>1</v>
      </c>
      <c r="AB39" s="3"/>
      <c r="AC39" s="28"/>
      <c r="AD39" s="28"/>
      <c r="AE39" s="28"/>
      <c r="AF39" s="28"/>
      <c r="AG39" s="29">
        <f t="shared" si="2"/>
        <v>8</v>
      </c>
      <c r="AH39" s="30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31" t="str">
        <f t="shared" si="3"/>
        <v>如靜</v>
      </c>
      <c r="AJ39" s="33"/>
    </row>
    <row r="40" spans="1:36" ht="18" customHeight="1">
      <c r="A40" s="26" t="s">
        <v>174</v>
      </c>
      <c r="B40" s="27" t="s">
        <v>143</v>
      </c>
      <c r="C40" s="28"/>
      <c r="D40" s="28"/>
      <c r="E40" s="2"/>
      <c r="F40" s="28"/>
      <c r="G40" s="2"/>
      <c r="H40" s="28"/>
      <c r="I40" s="28"/>
      <c r="J40" s="28"/>
      <c r="K40" s="28"/>
      <c r="L40" s="2"/>
      <c r="M40" s="28"/>
      <c r="N40" s="12"/>
      <c r="O40" s="26"/>
      <c r="P40" s="26"/>
      <c r="Q40" s="26"/>
      <c r="R40" s="26"/>
      <c r="S40" s="12"/>
      <c r="T40" s="26"/>
      <c r="U40" s="12"/>
      <c r="V40" s="26"/>
      <c r="W40" s="26"/>
      <c r="X40" s="28"/>
      <c r="Y40" s="28"/>
      <c r="Z40" s="2"/>
      <c r="AA40" s="28">
        <v>1</v>
      </c>
      <c r="AB40" s="3"/>
      <c r="AC40" s="28"/>
      <c r="AD40" s="28"/>
      <c r="AE40" s="28"/>
      <c r="AF40" s="28"/>
      <c r="AG40" s="29">
        <f t="shared" si="2"/>
        <v>1</v>
      </c>
      <c r="AH40" s="30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31" t="str">
        <f t="shared" si="3"/>
        <v>毓玫</v>
      </c>
      <c r="AJ40" s="33"/>
    </row>
    <row r="41" spans="1:36" ht="18" customHeight="1">
      <c r="A41" s="26" t="s">
        <v>174</v>
      </c>
      <c r="B41" s="27" t="s">
        <v>144</v>
      </c>
      <c r="C41" s="28">
        <v>1</v>
      </c>
      <c r="D41" s="28"/>
      <c r="E41" s="2"/>
      <c r="F41" s="28">
        <v>1</v>
      </c>
      <c r="G41" s="2"/>
      <c r="H41" s="28"/>
      <c r="I41" s="28"/>
      <c r="J41" s="28"/>
      <c r="K41" s="28"/>
      <c r="L41" s="2"/>
      <c r="M41" s="28">
        <v>1</v>
      </c>
      <c r="N41" s="12"/>
      <c r="O41" s="26"/>
      <c r="P41" s="26">
        <v>1</v>
      </c>
      <c r="Q41" s="26"/>
      <c r="R41" s="26">
        <v>1</v>
      </c>
      <c r="S41" s="12"/>
      <c r="T41" s="26">
        <v>1</v>
      </c>
      <c r="U41" s="12"/>
      <c r="V41" s="26">
        <v>1</v>
      </c>
      <c r="W41" s="26">
        <v>1</v>
      </c>
      <c r="X41" s="28">
        <v>1</v>
      </c>
      <c r="Y41" s="28"/>
      <c r="Z41" s="2"/>
      <c r="AA41" s="28"/>
      <c r="AB41" s="3"/>
      <c r="AC41" s="28"/>
      <c r="AD41" s="28"/>
      <c r="AE41" s="28"/>
      <c r="AF41" s="28"/>
      <c r="AG41" s="29">
        <f t="shared" si="2"/>
        <v>9</v>
      </c>
      <c r="AH41" s="30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31" t="str">
        <f t="shared" si="3"/>
        <v>美枝</v>
      </c>
      <c r="AJ41" s="32"/>
    </row>
    <row r="42" spans="1:36" ht="18" customHeight="1">
      <c r="A42" s="26" t="s">
        <v>174</v>
      </c>
      <c r="B42" s="27" t="s">
        <v>145</v>
      </c>
      <c r="C42" s="28">
        <v>1</v>
      </c>
      <c r="D42" s="28"/>
      <c r="E42" s="2"/>
      <c r="F42" s="28">
        <v>1</v>
      </c>
      <c r="G42" s="2"/>
      <c r="H42" s="28"/>
      <c r="I42" s="28"/>
      <c r="J42" s="28">
        <v>1</v>
      </c>
      <c r="K42" s="28"/>
      <c r="L42" s="2"/>
      <c r="M42" s="28">
        <v>1</v>
      </c>
      <c r="N42" s="12"/>
      <c r="O42" s="26">
        <v>1</v>
      </c>
      <c r="P42" s="26">
        <v>1</v>
      </c>
      <c r="Q42" s="26"/>
      <c r="R42" s="26"/>
      <c r="S42" s="12"/>
      <c r="T42" s="26">
        <v>1</v>
      </c>
      <c r="U42" s="12"/>
      <c r="V42" s="26"/>
      <c r="W42" s="26"/>
      <c r="X42" s="28">
        <v>1</v>
      </c>
      <c r="Y42" s="28"/>
      <c r="Z42" s="2"/>
      <c r="AA42" s="28">
        <v>1</v>
      </c>
      <c r="AB42" s="3"/>
      <c r="AC42" s="28"/>
      <c r="AD42" s="28">
        <v>1</v>
      </c>
      <c r="AE42" s="28"/>
      <c r="AF42" s="28"/>
      <c r="AG42" s="29">
        <f t="shared" si="2"/>
        <v>10</v>
      </c>
      <c r="AH42" s="30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31" t="str">
        <f t="shared" si="3"/>
        <v>魯魯咪</v>
      </c>
      <c r="AJ42" s="34"/>
    </row>
    <row r="43" spans="1:36" ht="18" customHeight="1">
      <c r="A43" s="9" t="s">
        <v>58</v>
      </c>
      <c r="B43" s="10" t="s">
        <v>23</v>
      </c>
      <c r="C43" s="11">
        <v>1</v>
      </c>
      <c r="D43" s="11"/>
      <c r="E43" s="2"/>
      <c r="F43" s="11">
        <v>1</v>
      </c>
      <c r="G43" s="2"/>
      <c r="H43" s="11">
        <v>1</v>
      </c>
      <c r="I43" s="11"/>
      <c r="J43" s="11">
        <v>1</v>
      </c>
      <c r="K43" s="11"/>
      <c r="L43" s="2"/>
      <c r="M43" s="11">
        <v>1</v>
      </c>
      <c r="N43" s="12"/>
      <c r="O43" s="9">
        <v>1</v>
      </c>
      <c r="P43" s="9">
        <v>1</v>
      </c>
      <c r="Q43" s="9">
        <v>1</v>
      </c>
      <c r="R43" s="9"/>
      <c r="S43" s="12"/>
      <c r="T43" s="9">
        <v>1</v>
      </c>
      <c r="U43" s="12"/>
      <c r="V43" s="9">
        <v>1</v>
      </c>
      <c r="W43" s="9"/>
      <c r="X43" s="11"/>
      <c r="Y43" s="11"/>
      <c r="Z43" s="2"/>
      <c r="AA43" s="11">
        <v>1</v>
      </c>
      <c r="AB43" s="3"/>
      <c r="AC43" s="11">
        <v>1</v>
      </c>
      <c r="AD43" s="11">
        <v>1</v>
      </c>
      <c r="AE43" s="11">
        <v>1</v>
      </c>
      <c r="AF43" s="11">
        <v>1</v>
      </c>
      <c r="AG43" s="13">
        <f t="shared" si="2"/>
        <v>15</v>
      </c>
      <c r="AH43" s="14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15" t="str">
        <f t="shared" si="3"/>
        <v>ㄈㄈ</v>
      </c>
      <c r="AJ43" s="17"/>
    </row>
    <row r="44" spans="1:36" ht="18" customHeight="1">
      <c r="A44" s="9" t="s">
        <v>58</v>
      </c>
      <c r="B44" s="10" t="s">
        <v>24</v>
      </c>
      <c r="C44" s="11">
        <v>1</v>
      </c>
      <c r="D44" s="11">
        <v>1</v>
      </c>
      <c r="E44" s="2"/>
      <c r="F44" s="11">
        <v>1</v>
      </c>
      <c r="G44" s="2"/>
      <c r="H44" s="11">
        <v>1</v>
      </c>
      <c r="I44" s="11"/>
      <c r="J44" s="11">
        <v>1</v>
      </c>
      <c r="K44" s="11">
        <v>1</v>
      </c>
      <c r="L44" s="2"/>
      <c r="M44" s="11">
        <v>1</v>
      </c>
      <c r="N44" s="12"/>
      <c r="O44" s="9">
        <v>1</v>
      </c>
      <c r="P44" s="9">
        <v>1</v>
      </c>
      <c r="Q44" s="9">
        <v>1</v>
      </c>
      <c r="R44" s="9">
        <v>1</v>
      </c>
      <c r="S44" s="12"/>
      <c r="T44" s="9">
        <v>1</v>
      </c>
      <c r="U44" s="12"/>
      <c r="V44" s="9">
        <v>1</v>
      </c>
      <c r="W44" s="9"/>
      <c r="X44" s="11">
        <v>1</v>
      </c>
      <c r="Y44" s="11">
        <v>1</v>
      </c>
      <c r="Z44" s="2"/>
      <c r="AA44" s="11">
        <v>1</v>
      </c>
      <c r="AB44" s="3"/>
      <c r="AC44" s="11">
        <v>1</v>
      </c>
      <c r="AD44" s="11"/>
      <c r="AE44" s="11">
        <v>1</v>
      </c>
      <c r="AF44" s="11">
        <v>1</v>
      </c>
      <c r="AG44" s="13">
        <f t="shared" si="2"/>
        <v>19</v>
      </c>
      <c r="AH44" s="14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15" t="str">
        <f t="shared" si="3"/>
        <v>大熊</v>
      </c>
      <c r="AJ44" s="17"/>
    </row>
    <row r="45" spans="1:36" ht="18" customHeight="1">
      <c r="A45" s="9" t="s">
        <v>58</v>
      </c>
      <c r="B45" s="10" t="s">
        <v>64</v>
      </c>
      <c r="C45" s="11">
        <v>1</v>
      </c>
      <c r="D45" s="11">
        <v>1</v>
      </c>
      <c r="E45" s="2"/>
      <c r="F45" s="11">
        <v>1</v>
      </c>
      <c r="G45" s="2"/>
      <c r="H45" s="11">
        <v>1</v>
      </c>
      <c r="I45" s="11"/>
      <c r="J45" s="11">
        <v>1</v>
      </c>
      <c r="K45" s="11">
        <v>1</v>
      </c>
      <c r="L45" s="2"/>
      <c r="M45" s="11">
        <v>1</v>
      </c>
      <c r="N45" s="12"/>
      <c r="O45" s="9">
        <v>1</v>
      </c>
      <c r="P45" s="9">
        <v>1</v>
      </c>
      <c r="Q45" s="9">
        <v>1</v>
      </c>
      <c r="R45" s="9">
        <v>1</v>
      </c>
      <c r="S45" s="12"/>
      <c r="T45" s="9">
        <v>1</v>
      </c>
      <c r="U45" s="12"/>
      <c r="V45" s="9"/>
      <c r="W45" s="9"/>
      <c r="X45" s="11"/>
      <c r="Y45" s="11"/>
      <c r="Z45" s="2"/>
      <c r="AA45" s="11"/>
      <c r="AB45" s="3"/>
      <c r="AC45" s="11">
        <v>1</v>
      </c>
      <c r="AD45" s="11"/>
      <c r="AE45" s="11">
        <v>1</v>
      </c>
      <c r="AF45" s="11">
        <v>1</v>
      </c>
      <c r="AG45" s="13">
        <f t="shared" si="2"/>
        <v>15</v>
      </c>
      <c r="AH45" s="14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15" t="str">
        <f t="shared" si="3"/>
        <v>園棠</v>
      </c>
      <c r="AJ45" s="17"/>
    </row>
    <row r="46" spans="1:36" ht="18" customHeight="1">
      <c r="A46" s="9" t="s">
        <v>58</v>
      </c>
      <c r="B46" s="10" t="s">
        <v>178</v>
      </c>
      <c r="C46" s="11">
        <v>1</v>
      </c>
      <c r="D46" s="11">
        <v>1</v>
      </c>
      <c r="E46" s="2"/>
      <c r="F46" s="11">
        <v>1</v>
      </c>
      <c r="G46" s="2"/>
      <c r="H46" s="11"/>
      <c r="I46" s="11">
        <v>1</v>
      </c>
      <c r="J46" s="11">
        <v>1</v>
      </c>
      <c r="K46" s="11">
        <v>1</v>
      </c>
      <c r="L46" s="2"/>
      <c r="M46" s="11">
        <v>1</v>
      </c>
      <c r="N46" s="12"/>
      <c r="O46" s="9">
        <v>1</v>
      </c>
      <c r="P46" s="9"/>
      <c r="Q46" s="9">
        <v>1</v>
      </c>
      <c r="R46" s="9"/>
      <c r="S46" s="12"/>
      <c r="T46" s="9">
        <v>1</v>
      </c>
      <c r="U46" s="12"/>
      <c r="V46" s="9">
        <v>1</v>
      </c>
      <c r="W46" s="9">
        <v>1</v>
      </c>
      <c r="X46" s="11">
        <v>1</v>
      </c>
      <c r="Y46" s="11"/>
      <c r="Z46" s="2"/>
      <c r="AA46" s="11">
        <v>1</v>
      </c>
      <c r="AB46" s="3"/>
      <c r="AC46" s="11">
        <v>1</v>
      </c>
      <c r="AD46" s="11">
        <v>1</v>
      </c>
      <c r="AE46" s="11">
        <v>1</v>
      </c>
      <c r="AF46" s="11">
        <v>1</v>
      </c>
      <c r="AG46" s="13">
        <f t="shared" si="2"/>
        <v>18</v>
      </c>
      <c r="AH46" s="14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15" t="str">
        <f t="shared" si="3"/>
        <v>Fish</v>
      </c>
      <c r="AJ46" s="17"/>
    </row>
    <row r="47" spans="1:36" ht="18" customHeight="1">
      <c r="A47" s="9" t="s">
        <v>58</v>
      </c>
      <c r="B47" s="10" t="s">
        <v>25</v>
      </c>
      <c r="C47" s="11">
        <v>1</v>
      </c>
      <c r="D47" s="11"/>
      <c r="E47" s="2"/>
      <c r="F47" s="11">
        <v>1</v>
      </c>
      <c r="G47" s="2"/>
      <c r="H47" s="11">
        <v>1</v>
      </c>
      <c r="I47" s="11"/>
      <c r="J47" s="11">
        <v>1</v>
      </c>
      <c r="K47" s="11"/>
      <c r="L47" s="2"/>
      <c r="M47" s="11"/>
      <c r="N47" s="12"/>
      <c r="O47" s="9">
        <v>1</v>
      </c>
      <c r="P47" s="9"/>
      <c r="Q47" s="9"/>
      <c r="R47" s="9"/>
      <c r="S47" s="12"/>
      <c r="T47" s="9"/>
      <c r="U47" s="12"/>
      <c r="V47" s="9"/>
      <c r="W47" s="9"/>
      <c r="X47" s="11"/>
      <c r="Y47" s="11"/>
      <c r="Z47" s="2"/>
      <c r="AA47" s="11"/>
      <c r="AB47" s="3"/>
      <c r="AC47" s="11">
        <v>1</v>
      </c>
      <c r="AD47" s="11">
        <v>1</v>
      </c>
      <c r="AE47" s="11">
        <v>1</v>
      </c>
      <c r="AF47" s="11">
        <v>1</v>
      </c>
      <c r="AG47" s="13">
        <f t="shared" si="2"/>
        <v>9</v>
      </c>
      <c r="AH47" s="14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15" t="str">
        <f t="shared" si="3"/>
        <v>潘潘</v>
      </c>
      <c r="AJ47" s="17"/>
    </row>
    <row r="48" spans="1:36" ht="18" customHeight="1">
      <c r="A48" s="9" t="s">
        <v>58</v>
      </c>
      <c r="B48" s="10" t="s">
        <v>63</v>
      </c>
      <c r="C48" s="11"/>
      <c r="D48" s="11"/>
      <c r="E48" s="2"/>
      <c r="F48" s="11">
        <v>1</v>
      </c>
      <c r="G48" s="2"/>
      <c r="H48" s="11">
        <v>1</v>
      </c>
      <c r="I48" s="11"/>
      <c r="J48" s="11">
        <v>1</v>
      </c>
      <c r="K48" s="11"/>
      <c r="L48" s="2"/>
      <c r="M48" s="11"/>
      <c r="N48" s="12"/>
      <c r="O48" s="9">
        <v>1</v>
      </c>
      <c r="P48" s="9"/>
      <c r="Q48" s="9">
        <v>1</v>
      </c>
      <c r="R48" s="9"/>
      <c r="S48" s="12"/>
      <c r="T48" s="9"/>
      <c r="U48" s="12"/>
      <c r="V48" s="9">
        <v>1</v>
      </c>
      <c r="W48" s="9"/>
      <c r="X48" s="11">
        <v>1</v>
      </c>
      <c r="Y48" s="11"/>
      <c r="Z48" s="2"/>
      <c r="AA48" s="11">
        <v>1</v>
      </c>
      <c r="AB48" s="3"/>
      <c r="AC48" s="11">
        <v>1</v>
      </c>
      <c r="AD48" s="11"/>
      <c r="AE48" s="11">
        <v>1</v>
      </c>
      <c r="AF48" s="11"/>
      <c r="AG48" s="13">
        <f t="shared" si="2"/>
        <v>10</v>
      </c>
      <c r="AH48" s="14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15" t="str">
        <f t="shared" si="3"/>
        <v>芒果</v>
      </c>
      <c r="AJ48" s="17"/>
    </row>
    <row r="49" spans="1:36" ht="18" customHeight="1">
      <c r="A49" s="9" t="s">
        <v>58</v>
      </c>
      <c r="B49" s="10" t="s">
        <v>22</v>
      </c>
      <c r="C49" s="11">
        <v>1</v>
      </c>
      <c r="D49" s="11">
        <v>1</v>
      </c>
      <c r="E49" s="2"/>
      <c r="F49" s="11">
        <v>1</v>
      </c>
      <c r="G49" s="2"/>
      <c r="H49" s="11">
        <v>1</v>
      </c>
      <c r="I49" s="11">
        <v>1</v>
      </c>
      <c r="J49" s="11"/>
      <c r="K49" s="11">
        <v>1</v>
      </c>
      <c r="L49" s="2"/>
      <c r="M49" s="11"/>
      <c r="N49" s="12"/>
      <c r="O49" s="9">
        <v>1</v>
      </c>
      <c r="P49" s="9">
        <v>1</v>
      </c>
      <c r="Q49" s="9"/>
      <c r="R49" s="9">
        <v>1</v>
      </c>
      <c r="S49" s="12"/>
      <c r="T49" s="9">
        <v>1</v>
      </c>
      <c r="U49" s="12"/>
      <c r="V49" s="9">
        <v>1</v>
      </c>
      <c r="W49" s="9">
        <v>1</v>
      </c>
      <c r="X49" s="11">
        <v>1</v>
      </c>
      <c r="Y49" s="11">
        <v>1</v>
      </c>
      <c r="Z49" s="2"/>
      <c r="AA49" s="11">
        <v>1</v>
      </c>
      <c r="AB49" s="3"/>
      <c r="AC49" s="11">
        <v>1</v>
      </c>
      <c r="AD49" s="11">
        <v>1</v>
      </c>
      <c r="AE49" s="11">
        <v>1</v>
      </c>
      <c r="AF49" s="11">
        <v>1</v>
      </c>
      <c r="AG49" s="13">
        <f t="shared" si="2"/>
        <v>19</v>
      </c>
      <c r="AH49" s="14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15" t="str">
        <f t="shared" si="3"/>
        <v>Mars</v>
      </c>
      <c r="AJ49" s="17"/>
    </row>
    <row r="50" spans="1:36" ht="18" customHeight="1">
      <c r="A50" s="9" t="s">
        <v>58</v>
      </c>
      <c r="B50" s="10" t="s">
        <v>59</v>
      </c>
      <c r="C50" s="11"/>
      <c r="D50" s="11"/>
      <c r="E50" s="2"/>
      <c r="F50" s="11"/>
      <c r="G50" s="2"/>
      <c r="H50" s="11"/>
      <c r="I50" s="11"/>
      <c r="J50" s="11"/>
      <c r="K50" s="11"/>
      <c r="L50" s="2"/>
      <c r="M50" s="11"/>
      <c r="N50" s="12"/>
      <c r="O50" s="9"/>
      <c r="P50" s="9"/>
      <c r="Q50" s="9"/>
      <c r="R50" s="9"/>
      <c r="S50" s="12"/>
      <c r="T50" s="9"/>
      <c r="U50" s="12"/>
      <c r="V50" s="9"/>
      <c r="W50" s="9"/>
      <c r="X50" s="11"/>
      <c r="Y50" s="11"/>
      <c r="Z50" s="2"/>
      <c r="AA50" s="11"/>
      <c r="AB50" s="3"/>
      <c r="AC50" s="11"/>
      <c r="AD50" s="11"/>
      <c r="AE50" s="11"/>
      <c r="AF50" s="11"/>
      <c r="AG50" s="13">
        <f t="shared" si="2"/>
        <v>0</v>
      </c>
      <c r="AH50" s="14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15" t="str">
        <f t="shared" si="3"/>
        <v>阿幹</v>
      </c>
      <c r="AJ50" s="17"/>
    </row>
    <row r="51" spans="1:36" ht="18" customHeight="1">
      <c r="A51" s="9" t="s">
        <v>58</v>
      </c>
      <c r="B51" s="10" t="s">
        <v>27</v>
      </c>
      <c r="C51" s="11"/>
      <c r="D51" s="11"/>
      <c r="E51" s="2"/>
      <c r="F51" s="11"/>
      <c r="G51" s="2"/>
      <c r="H51" s="11"/>
      <c r="I51" s="11"/>
      <c r="J51" s="11"/>
      <c r="K51" s="11"/>
      <c r="L51" s="2"/>
      <c r="M51" s="11">
        <v>1</v>
      </c>
      <c r="N51" s="12"/>
      <c r="O51" s="9"/>
      <c r="P51" s="9"/>
      <c r="Q51" s="9"/>
      <c r="R51" s="9"/>
      <c r="S51" s="12"/>
      <c r="T51" s="9"/>
      <c r="U51" s="12"/>
      <c r="V51" s="9"/>
      <c r="W51" s="9"/>
      <c r="X51" s="11"/>
      <c r="Y51" s="11"/>
      <c r="Z51" s="2"/>
      <c r="AA51" s="11"/>
      <c r="AB51" s="3"/>
      <c r="AC51" s="11"/>
      <c r="AD51" s="11"/>
      <c r="AE51" s="11"/>
      <c r="AF51" s="11"/>
      <c r="AG51" s="13">
        <f t="shared" si="2"/>
        <v>1</v>
      </c>
      <c r="AH51" s="14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15" t="str">
        <f t="shared" si="3"/>
        <v>芋圓</v>
      </c>
      <c r="AJ51" s="17"/>
    </row>
    <row r="52" spans="1:36" ht="18" customHeight="1">
      <c r="A52" s="9" t="s">
        <v>58</v>
      </c>
      <c r="B52" s="10" t="s">
        <v>28</v>
      </c>
      <c r="C52" s="11"/>
      <c r="D52" s="11"/>
      <c r="E52" s="2"/>
      <c r="F52" s="11"/>
      <c r="G52" s="2"/>
      <c r="H52" s="11"/>
      <c r="I52" s="11"/>
      <c r="J52" s="11"/>
      <c r="K52" s="11"/>
      <c r="L52" s="2"/>
      <c r="M52" s="11">
        <v>1</v>
      </c>
      <c r="N52" s="12"/>
      <c r="O52" s="9"/>
      <c r="P52" s="9"/>
      <c r="Q52" s="9"/>
      <c r="R52" s="9"/>
      <c r="S52" s="12"/>
      <c r="T52" s="9"/>
      <c r="U52" s="12"/>
      <c r="V52" s="9"/>
      <c r="W52" s="9"/>
      <c r="X52" s="11"/>
      <c r="Y52" s="11"/>
      <c r="Z52" s="2"/>
      <c r="AA52" s="11"/>
      <c r="AB52" s="3"/>
      <c r="AC52" s="11"/>
      <c r="AD52" s="11">
        <v>1</v>
      </c>
      <c r="AE52" s="11"/>
      <c r="AF52" s="11">
        <v>1</v>
      </c>
      <c r="AG52" s="13">
        <f t="shared" si="2"/>
        <v>3</v>
      </c>
      <c r="AH52" s="14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15" t="str">
        <f t="shared" si="3"/>
        <v>克勤</v>
      </c>
      <c r="AJ52" s="17"/>
    </row>
    <row r="53" spans="1:36" ht="18" customHeight="1">
      <c r="A53" s="9" t="s">
        <v>58</v>
      </c>
      <c r="B53" s="10" t="s">
        <v>29</v>
      </c>
      <c r="C53" s="11"/>
      <c r="D53" s="11">
        <v>1</v>
      </c>
      <c r="E53" s="2"/>
      <c r="F53" s="11"/>
      <c r="G53" s="2"/>
      <c r="H53" s="11"/>
      <c r="I53" s="11"/>
      <c r="J53" s="11"/>
      <c r="K53" s="11"/>
      <c r="L53" s="2"/>
      <c r="M53" s="11"/>
      <c r="N53" s="12"/>
      <c r="O53" s="9"/>
      <c r="P53" s="9"/>
      <c r="Q53" s="9"/>
      <c r="R53" s="9"/>
      <c r="S53" s="12"/>
      <c r="T53" s="9"/>
      <c r="U53" s="12"/>
      <c r="V53" s="9"/>
      <c r="W53" s="9"/>
      <c r="X53" s="11"/>
      <c r="Y53" s="11">
        <v>1</v>
      </c>
      <c r="Z53" s="2"/>
      <c r="AA53" s="11"/>
      <c r="AB53" s="3"/>
      <c r="AC53" s="11"/>
      <c r="AD53" s="11"/>
      <c r="AE53" s="11"/>
      <c r="AF53" s="11"/>
      <c r="AG53" s="13">
        <f t="shared" si="2"/>
        <v>2</v>
      </c>
      <c r="AH53" s="14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15" t="str">
        <f t="shared" si="3"/>
        <v>大頭</v>
      </c>
      <c r="AJ53" s="17"/>
    </row>
    <row r="54" spans="1:36" ht="18" customHeight="1">
      <c r="A54" s="9" t="s">
        <v>58</v>
      </c>
      <c r="B54" s="10" t="s">
        <v>66</v>
      </c>
      <c r="C54" s="11">
        <v>1</v>
      </c>
      <c r="D54" s="11"/>
      <c r="E54" s="2"/>
      <c r="F54" s="11"/>
      <c r="G54" s="2"/>
      <c r="H54" s="11"/>
      <c r="I54" s="11"/>
      <c r="J54" s="11">
        <v>1</v>
      </c>
      <c r="K54" s="11"/>
      <c r="L54" s="2"/>
      <c r="M54" s="11"/>
      <c r="N54" s="12"/>
      <c r="O54" s="9"/>
      <c r="P54" s="9"/>
      <c r="Q54" s="9">
        <v>1</v>
      </c>
      <c r="R54" s="9"/>
      <c r="S54" s="12"/>
      <c r="T54" s="9"/>
      <c r="U54" s="12"/>
      <c r="V54" s="9">
        <v>1</v>
      </c>
      <c r="W54" s="9"/>
      <c r="X54" s="11">
        <v>1</v>
      </c>
      <c r="Y54" s="11"/>
      <c r="Z54" s="2"/>
      <c r="AA54" s="11"/>
      <c r="AB54" s="3"/>
      <c r="AC54" s="11">
        <v>1</v>
      </c>
      <c r="AD54" s="11"/>
      <c r="AE54" s="11"/>
      <c r="AF54" s="11"/>
      <c r="AG54" s="13">
        <f t="shared" si="2"/>
        <v>6</v>
      </c>
      <c r="AH54" s="14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15" t="str">
        <f t="shared" si="3"/>
        <v>昆佑</v>
      </c>
      <c r="AJ54" s="17"/>
    </row>
    <row r="55" spans="1:36" ht="18" customHeight="1">
      <c r="A55" s="9" t="s">
        <v>58</v>
      </c>
      <c r="B55" s="10" t="s">
        <v>68</v>
      </c>
      <c r="C55" s="11"/>
      <c r="D55" s="11"/>
      <c r="E55" s="2"/>
      <c r="F55" s="11"/>
      <c r="G55" s="2"/>
      <c r="H55" s="11"/>
      <c r="I55" s="11"/>
      <c r="J55" s="11"/>
      <c r="K55" s="11"/>
      <c r="L55" s="2"/>
      <c r="M55" s="11"/>
      <c r="N55" s="12"/>
      <c r="O55" s="9"/>
      <c r="P55" s="9"/>
      <c r="Q55" s="9"/>
      <c r="R55" s="9"/>
      <c r="S55" s="12"/>
      <c r="T55" s="9"/>
      <c r="U55" s="12"/>
      <c r="V55" s="9"/>
      <c r="W55" s="9"/>
      <c r="X55" s="11"/>
      <c r="Y55" s="11"/>
      <c r="Z55" s="2"/>
      <c r="AA55" s="11"/>
      <c r="AB55" s="3"/>
      <c r="AC55" s="11"/>
      <c r="AD55" s="11"/>
      <c r="AE55" s="11"/>
      <c r="AF55" s="11"/>
      <c r="AG55" s="13">
        <f t="shared" si="2"/>
        <v>0</v>
      </c>
      <c r="AH55" s="14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15" t="str">
        <f t="shared" si="3"/>
        <v>兔子</v>
      </c>
      <c r="AJ55" s="17"/>
    </row>
    <row r="56" spans="1:36" ht="18" customHeight="1">
      <c r="A56" s="9" t="s">
        <v>58</v>
      </c>
      <c r="B56" s="10" t="s">
        <v>69</v>
      </c>
      <c r="C56" s="11"/>
      <c r="D56" s="11"/>
      <c r="E56" s="2"/>
      <c r="F56" s="11"/>
      <c r="G56" s="2"/>
      <c r="H56" s="11"/>
      <c r="I56" s="11"/>
      <c r="J56" s="11"/>
      <c r="K56" s="11"/>
      <c r="L56" s="2"/>
      <c r="M56" s="11"/>
      <c r="N56" s="12"/>
      <c r="O56" s="9"/>
      <c r="P56" s="9"/>
      <c r="Q56" s="9"/>
      <c r="R56" s="9"/>
      <c r="S56" s="12"/>
      <c r="T56" s="9"/>
      <c r="U56" s="12"/>
      <c r="V56" s="9"/>
      <c r="W56" s="9"/>
      <c r="X56" s="11"/>
      <c r="Y56" s="11"/>
      <c r="Z56" s="2"/>
      <c r="AA56" s="11"/>
      <c r="AB56" s="3"/>
      <c r="AC56" s="11"/>
      <c r="AD56" s="11"/>
      <c r="AE56" s="11"/>
      <c r="AF56" s="11"/>
      <c r="AG56" s="13">
        <f t="shared" si="2"/>
        <v>0</v>
      </c>
      <c r="AH56" s="14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15" t="str">
        <f t="shared" si="3"/>
        <v>小馬</v>
      </c>
      <c r="AJ56" s="17"/>
    </row>
    <row r="57" spans="1:36" ht="18" customHeight="1">
      <c r="A57" s="9" t="s">
        <v>58</v>
      </c>
      <c r="B57" s="10" t="s">
        <v>70</v>
      </c>
      <c r="C57" s="11"/>
      <c r="D57" s="11"/>
      <c r="E57" s="2"/>
      <c r="F57" s="11"/>
      <c r="G57" s="2"/>
      <c r="H57" s="11"/>
      <c r="I57" s="11"/>
      <c r="J57" s="11"/>
      <c r="K57" s="11"/>
      <c r="L57" s="2"/>
      <c r="M57" s="11"/>
      <c r="N57" s="12"/>
      <c r="O57" s="9"/>
      <c r="P57" s="9"/>
      <c r="Q57" s="9"/>
      <c r="R57" s="9"/>
      <c r="S57" s="12"/>
      <c r="T57" s="9"/>
      <c r="U57" s="12"/>
      <c r="V57" s="9"/>
      <c r="W57" s="9"/>
      <c r="X57" s="11"/>
      <c r="Y57" s="11"/>
      <c r="Z57" s="2"/>
      <c r="AA57" s="11"/>
      <c r="AB57" s="3"/>
      <c r="AC57" s="11"/>
      <c r="AD57" s="11"/>
      <c r="AE57" s="11"/>
      <c r="AF57" s="11"/>
      <c r="AG57" s="13">
        <f t="shared" si="2"/>
        <v>0</v>
      </c>
      <c r="AH57" s="14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15" t="str">
        <f t="shared" si="3"/>
        <v>Allen</v>
      </c>
      <c r="AJ57" s="17"/>
    </row>
    <row r="58" spans="1:36" ht="18" customHeight="1">
      <c r="A58" s="9" t="s">
        <v>58</v>
      </c>
      <c r="B58" s="10" t="s">
        <v>71</v>
      </c>
      <c r="C58" s="11"/>
      <c r="D58" s="11"/>
      <c r="E58" s="2"/>
      <c r="F58" s="11"/>
      <c r="G58" s="2"/>
      <c r="H58" s="11"/>
      <c r="I58" s="11"/>
      <c r="J58" s="11"/>
      <c r="K58" s="11"/>
      <c r="L58" s="2"/>
      <c r="M58" s="11"/>
      <c r="N58" s="12"/>
      <c r="O58" s="9"/>
      <c r="P58" s="9"/>
      <c r="Q58" s="9"/>
      <c r="R58" s="9"/>
      <c r="S58" s="12"/>
      <c r="T58" s="9"/>
      <c r="U58" s="12"/>
      <c r="V58" s="9"/>
      <c r="W58" s="9"/>
      <c r="X58" s="11"/>
      <c r="Y58" s="11"/>
      <c r="Z58" s="2"/>
      <c r="AA58" s="11"/>
      <c r="AB58" s="3"/>
      <c r="AC58" s="11"/>
      <c r="AD58" s="11"/>
      <c r="AE58" s="11"/>
      <c r="AF58" s="11"/>
      <c r="AG58" s="13">
        <f t="shared" si="2"/>
        <v>0</v>
      </c>
      <c r="AH58" s="14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15" t="str">
        <f t="shared" si="3"/>
        <v>嘴嘴</v>
      </c>
      <c r="AJ58" s="17"/>
    </row>
    <row r="59" spans="1:36" ht="18" customHeight="1">
      <c r="A59" s="9" t="s">
        <v>58</v>
      </c>
      <c r="B59" s="10" t="s">
        <v>74</v>
      </c>
      <c r="C59" s="11"/>
      <c r="D59" s="11"/>
      <c r="E59" s="2"/>
      <c r="F59" s="11"/>
      <c r="G59" s="2"/>
      <c r="H59" s="11"/>
      <c r="I59" s="11"/>
      <c r="J59" s="11"/>
      <c r="K59" s="11"/>
      <c r="L59" s="2"/>
      <c r="M59" s="11"/>
      <c r="N59" s="12"/>
      <c r="O59" s="9"/>
      <c r="P59" s="9"/>
      <c r="Q59" s="9">
        <v>1</v>
      </c>
      <c r="R59" s="9"/>
      <c r="S59" s="12"/>
      <c r="T59" s="9"/>
      <c r="U59" s="12"/>
      <c r="V59" s="9"/>
      <c r="W59" s="9"/>
      <c r="X59" s="11"/>
      <c r="Y59" s="11"/>
      <c r="Z59" s="2"/>
      <c r="AA59" s="11"/>
      <c r="AB59" s="3"/>
      <c r="AC59" s="11"/>
      <c r="AD59" s="11"/>
      <c r="AE59" s="11"/>
      <c r="AF59" s="11">
        <v>1</v>
      </c>
      <c r="AG59" s="13">
        <f t="shared" si="2"/>
        <v>2</v>
      </c>
      <c r="AH59" s="14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15" t="str">
        <f t="shared" si="3"/>
        <v>蘆葦</v>
      </c>
      <c r="AJ59" s="17"/>
    </row>
    <row r="60" spans="1:36" ht="18" customHeight="1">
      <c r="A60" s="9" t="s">
        <v>58</v>
      </c>
      <c r="B60" s="10" t="s">
        <v>30</v>
      </c>
      <c r="C60" s="11"/>
      <c r="D60" s="11"/>
      <c r="E60" s="2"/>
      <c r="F60" s="11"/>
      <c r="G60" s="2"/>
      <c r="H60" s="11">
        <v>1</v>
      </c>
      <c r="I60" s="11"/>
      <c r="J60" s="11"/>
      <c r="K60" s="11"/>
      <c r="L60" s="2"/>
      <c r="M60" s="11"/>
      <c r="N60" s="12"/>
      <c r="O60" s="9"/>
      <c r="P60" s="9"/>
      <c r="Q60" s="9"/>
      <c r="R60" s="9"/>
      <c r="S60" s="12"/>
      <c r="T60" s="9">
        <v>1</v>
      </c>
      <c r="U60" s="12"/>
      <c r="V60" s="9">
        <v>1</v>
      </c>
      <c r="W60" s="9"/>
      <c r="X60" s="11">
        <v>1</v>
      </c>
      <c r="Y60" s="11"/>
      <c r="Z60" s="2"/>
      <c r="AA60" s="11"/>
      <c r="AB60" s="3"/>
      <c r="AC60" s="11"/>
      <c r="AD60" s="11">
        <v>1</v>
      </c>
      <c r="AE60" s="11"/>
      <c r="AF60" s="11"/>
      <c r="AG60" s="13">
        <f t="shared" si="2"/>
        <v>5</v>
      </c>
      <c r="AH60" s="14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15" t="str">
        <f t="shared" si="3"/>
        <v>鯰魚</v>
      </c>
      <c r="AJ60" s="17"/>
    </row>
    <row r="61" spans="1:36" ht="18" customHeight="1">
      <c r="A61" s="9" t="s">
        <v>58</v>
      </c>
      <c r="B61" s="10" t="s">
        <v>31</v>
      </c>
      <c r="C61" s="11"/>
      <c r="D61" s="11"/>
      <c r="E61" s="2"/>
      <c r="F61" s="11"/>
      <c r="G61" s="2"/>
      <c r="H61" s="11"/>
      <c r="I61" s="11"/>
      <c r="J61" s="11"/>
      <c r="K61" s="11"/>
      <c r="L61" s="2"/>
      <c r="M61" s="11"/>
      <c r="N61" s="12"/>
      <c r="O61" s="9"/>
      <c r="P61" s="9"/>
      <c r="Q61" s="9"/>
      <c r="R61" s="9"/>
      <c r="S61" s="12"/>
      <c r="T61" s="9"/>
      <c r="U61" s="12"/>
      <c r="V61" s="9"/>
      <c r="W61" s="9"/>
      <c r="X61" s="11"/>
      <c r="Y61" s="11"/>
      <c r="Z61" s="2"/>
      <c r="AA61" s="11"/>
      <c r="AB61" s="3"/>
      <c r="AC61" s="11"/>
      <c r="AD61" s="11"/>
      <c r="AE61" s="11"/>
      <c r="AF61" s="11"/>
      <c r="AG61" s="13">
        <f t="shared" si="2"/>
        <v>0</v>
      </c>
      <c r="AH61" s="14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15" t="str">
        <f t="shared" si="3"/>
        <v>阿美</v>
      </c>
      <c r="AJ61" s="17"/>
    </row>
    <row r="62" spans="1:36" ht="18" customHeight="1">
      <c r="A62" s="9" t="s">
        <v>58</v>
      </c>
      <c r="B62" s="10" t="s">
        <v>73</v>
      </c>
      <c r="C62" s="11"/>
      <c r="D62" s="11"/>
      <c r="E62" s="2"/>
      <c r="F62" s="11"/>
      <c r="G62" s="2"/>
      <c r="H62" s="11"/>
      <c r="I62" s="11"/>
      <c r="J62" s="11"/>
      <c r="K62" s="11"/>
      <c r="L62" s="2"/>
      <c r="M62" s="11"/>
      <c r="N62" s="12"/>
      <c r="O62" s="9"/>
      <c r="P62" s="9"/>
      <c r="Q62" s="9"/>
      <c r="R62" s="9"/>
      <c r="S62" s="12"/>
      <c r="T62" s="9"/>
      <c r="U62" s="12"/>
      <c r="V62" s="9"/>
      <c r="W62" s="9"/>
      <c r="X62" s="11"/>
      <c r="Y62" s="11"/>
      <c r="Z62" s="2"/>
      <c r="AA62" s="11"/>
      <c r="AB62" s="3"/>
      <c r="AC62" s="11"/>
      <c r="AD62" s="11"/>
      <c r="AE62" s="11"/>
      <c r="AF62" s="11"/>
      <c r="AG62" s="13">
        <f t="shared" si="2"/>
        <v>0</v>
      </c>
      <c r="AH62" s="14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15" t="str">
        <f t="shared" si="3"/>
        <v>冠軍</v>
      </c>
      <c r="AJ62" s="17"/>
    </row>
    <row r="63" spans="1:36" ht="18" customHeight="1">
      <c r="A63" s="9" t="s">
        <v>58</v>
      </c>
      <c r="B63" s="10" t="s">
        <v>26</v>
      </c>
      <c r="C63" s="11"/>
      <c r="D63" s="11"/>
      <c r="E63" s="2"/>
      <c r="F63" s="11"/>
      <c r="G63" s="2"/>
      <c r="H63" s="11"/>
      <c r="I63" s="11">
        <v>1</v>
      </c>
      <c r="J63" s="11">
        <v>1</v>
      </c>
      <c r="K63" s="11">
        <v>1</v>
      </c>
      <c r="L63" s="2"/>
      <c r="M63" s="11"/>
      <c r="N63" s="12"/>
      <c r="O63" s="9"/>
      <c r="P63" s="9"/>
      <c r="Q63" s="9"/>
      <c r="R63" s="9"/>
      <c r="S63" s="12"/>
      <c r="T63" s="9"/>
      <c r="U63" s="12"/>
      <c r="V63" s="9"/>
      <c r="W63" s="9"/>
      <c r="X63" s="11"/>
      <c r="Y63" s="11"/>
      <c r="Z63" s="2"/>
      <c r="AA63" s="11"/>
      <c r="AB63" s="3"/>
      <c r="AC63" s="11"/>
      <c r="AD63" s="11"/>
      <c r="AE63" s="11"/>
      <c r="AF63" s="11"/>
      <c r="AG63" s="13">
        <f t="shared" si="2"/>
        <v>3</v>
      </c>
      <c r="AH63" s="14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15" t="str">
        <f t="shared" si="3"/>
        <v>曉強</v>
      </c>
      <c r="AJ63" s="17"/>
    </row>
    <row r="64" spans="1:36" ht="18" customHeight="1">
      <c r="A64" s="9" t="s">
        <v>58</v>
      </c>
      <c r="B64" s="10" t="s">
        <v>198</v>
      </c>
      <c r="C64" s="11"/>
      <c r="D64" s="11"/>
      <c r="E64" s="2"/>
      <c r="F64" s="11"/>
      <c r="G64" s="2"/>
      <c r="H64" s="11"/>
      <c r="I64" s="11"/>
      <c r="J64" s="11"/>
      <c r="K64" s="11"/>
      <c r="L64" s="2"/>
      <c r="M64" s="11"/>
      <c r="N64" s="12"/>
      <c r="O64" s="9"/>
      <c r="P64" s="9"/>
      <c r="Q64" s="9"/>
      <c r="R64" s="9"/>
      <c r="S64" s="12"/>
      <c r="T64" s="9"/>
      <c r="U64" s="12"/>
      <c r="V64" s="9"/>
      <c r="W64" s="9"/>
      <c r="X64" s="11"/>
      <c r="Y64" s="11"/>
      <c r="Z64" s="2"/>
      <c r="AA64" s="11"/>
      <c r="AB64" s="3"/>
      <c r="AC64" s="11"/>
      <c r="AD64" s="11"/>
      <c r="AE64" s="11"/>
      <c r="AF64" s="11"/>
      <c r="AG64" s="13">
        <f t="shared" si="2"/>
        <v>0</v>
      </c>
      <c r="AH64" s="14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15" t="str">
        <f t="shared" si="3"/>
        <v>郁翔</v>
      </c>
      <c r="AJ64" s="17"/>
    </row>
    <row r="65" spans="1:36" ht="18" customHeight="1">
      <c r="A65" s="9" t="s">
        <v>58</v>
      </c>
      <c r="B65" s="10" t="s">
        <v>67</v>
      </c>
      <c r="C65" s="11"/>
      <c r="D65" s="11"/>
      <c r="E65" s="2"/>
      <c r="F65" s="11"/>
      <c r="G65" s="2"/>
      <c r="H65" s="11"/>
      <c r="I65" s="11"/>
      <c r="J65" s="11"/>
      <c r="K65" s="11"/>
      <c r="L65" s="2"/>
      <c r="M65" s="11"/>
      <c r="N65" s="12"/>
      <c r="O65" s="9"/>
      <c r="P65" s="9"/>
      <c r="Q65" s="9"/>
      <c r="R65" s="9"/>
      <c r="S65" s="12"/>
      <c r="T65" s="9"/>
      <c r="U65" s="12"/>
      <c r="V65" s="9"/>
      <c r="W65" s="9"/>
      <c r="X65" s="11"/>
      <c r="Y65" s="11"/>
      <c r="Z65" s="2"/>
      <c r="AA65" s="11"/>
      <c r="AB65" s="3"/>
      <c r="AC65" s="11"/>
      <c r="AD65" s="11"/>
      <c r="AE65" s="11"/>
      <c r="AF65" s="11"/>
      <c r="AG65" s="13">
        <f t="shared" si="2"/>
        <v>0</v>
      </c>
      <c r="AH65" s="14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15" t="str">
        <f t="shared" si="3"/>
        <v>歐吉</v>
      </c>
      <c r="AJ65" s="17"/>
    </row>
    <row r="66" spans="1:36" ht="18" customHeight="1">
      <c r="A66" s="9" t="s">
        <v>58</v>
      </c>
      <c r="B66" s="10" t="s">
        <v>65</v>
      </c>
      <c r="C66" s="11"/>
      <c r="D66" s="11">
        <v>1</v>
      </c>
      <c r="E66" s="2"/>
      <c r="F66" s="11">
        <v>1</v>
      </c>
      <c r="G66" s="2"/>
      <c r="H66" s="11"/>
      <c r="I66" s="11">
        <v>1</v>
      </c>
      <c r="J66" s="11">
        <v>1</v>
      </c>
      <c r="K66" s="11">
        <v>1</v>
      </c>
      <c r="L66" s="2"/>
      <c r="M66" s="11">
        <v>1</v>
      </c>
      <c r="N66" s="12"/>
      <c r="O66" s="9"/>
      <c r="P66" s="9"/>
      <c r="Q66" s="9">
        <v>1</v>
      </c>
      <c r="R66" s="9"/>
      <c r="S66" s="12"/>
      <c r="T66" s="9">
        <v>1</v>
      </c>
      <c r="U66" s="12"/>
      <c r="V66" s="9"/>
      <c r="W66" s="9"/>
      <c r="X66" s="11"/>
      <c r="Y66" s="11"/>
      <c r="Z66" s="2"/>
      <c r="AA66" s="11"/>
      <c r="AB66" s="3"/>
      <c r="AC66" s="11"/>
      <c r="AD66" s="11"/>
      <c r="AE66" s="11"/>
      <c r="AF66" s="11"/>
      <c r="AG66" s="13">
        <f t="shared" si="2"/>
        <v>8</v>
      </c>
      <c r="AH66" s="14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15" t="str">
        <f t="shared" si="3"/>
        <v>文淵</v>
      </c>
      <c r="AJ66" s="17"/>
    </row>
    <row r="67" spans="1:36" ht="18" customHeight="1">
      <c r="A67" s="9" t="s">
        <v>58</v>
      </c>
      <c r="B67" s="10" t="s">
        <v>75</v>
      </c>
      <c r="C67" s="11"/>
      <c r="D67" s="11"/>
      <c r="E67" s="2"/>
      <c r="F67" s="11"/>
      <c r="G67" s="2"/>
      <c r="H67" s="11"/>
      <c r="I67" s="11"/>
      <c r="J67" s="11"/>
      <c r="K67" s="11"/>
      <c r="L67" s="2"/>
      <c r="M67" s="11"/>
      <c r="N67" s="12"/>
      <c r="O67" s="9"/>
      <c r="P67" s="9"/>
      <c r="Q67" s="9"/>
      <c r="R67" s="9"/>
      <c r="S67" s="12"/>
      <c r="T67" s="9"/>
      <c r="U67" s="12"/>
      <c r="V67" s="9"/>
      <c r="W67" s="9"/>
      <c r="X67" s="11"/>
      <c r="Y67" s="11"/>
      <c r="Z67" s="2"/>
      <c r="AA67" s="11"/>
      <c r="AB67" s="3"/>
      <c r="AC67" s="11"/>
      <c r="AD67" s="11"/>
      <c r="AE67" s="11"/>
      <c r="AF67" s="11"/>
      <c r="AG67" s="13">
        <f t="shared" si="2"/>
        <v>0</v>
      </c>
      <c r="AH67" s="14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15" t="str">
        <f t="shared" si="3"/>
        <v>叮噹</v>
      </c>
      <c r="AJ67" s="17"/>
    </row>
    <row r="68" spans="1:36" ht="18" customHeight="1">
      <c r="A68" s="9" t="s">
        <v>58</v>
      </c>
      <c r="B68" s="10" t="s">
        <v>76</v>
      </c>
      <c r="C68" s="11"/>
      <c r="D68" s="11"/>
      <c r="E68" s="2"/>
      <c r="F68" s="11"/>
      <c r="G68" s="2"/>
      <c r="H68" s="11"/>
      <c r="I68" s="11"/>
      <c r="J68" s="11"/>
      <c r="K68" s="11"/>
      <c r="L68" s="2"/>
      <c r="M68" s="11"/>
      <c r="N68" s="12"/>
      <c r="O68" s="9"/>
      <c r="P68" s="9"/>
      <c r="Q68" s="9"/>
      <c r="R68" s="9"/>
      <c r="S68" s="12"/>
      <c r="T68" s="9"/>
      <c r="U68" s="12"/>
      <c r="V68" s="9"/>
      <c r="W68" s="9"/>
      <c r="X68" s="11"/>
      <c r="Y68" s="11"/>
      <c r="Z68" s="2"/>
      <c r="AA68" s="11"/>
      <c r="AB68" s="3"/>
      <c r="AC68" s="11"/>
      <c r="AD68" s="11"/>
      <c r="AE68" s="11"/>
      <c r="AF68" s="11"/>
      <c r="AG68" s="13">
        <f t="shared" ref="AG68:AG99" si="4">COUNTA(C68:AF68)</f>
        <v>0</v>
      </c>
      <c r="AH68" s="14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15" t="str">
        <f t="shared" ref="AI68:AI99" si="5">B68</f>
        <v>肥肥</v>
      </c>
      <c r="AJ68" s="17"/>
    </row>
    <row r="69" spans="1:36" ht="18" customHeight="1">
      <c r="A69" s="9" t="s">
        <v>58</v>
      </c>
      <c r="B69" s="10" t="s">
        <v>77</v>
      </c>
      <c r="C69" s="11"/>
      <c r="D69" s="11"/>
      <c r="E69" s="2"/>
      <c r="F69" s="11"/>
      <c r="G69" s="2"/>
      <c r="H69" s="11"/>
      <c r="I69" s="11"/>
      <c r="J69" s="11"/>
      <c r="K69" s="11"/>
      <c r="L69" s="2"/>
      <c r="M69" s="11"/>
      <c r="N69" s="12"/>
      <c r="O69" s="9"/>
      <c r="P69" s="9"/>
      <c r="Q69" s="9"/>
      <c r="R69" s="9"/>
      <c r="S69" s="12"/>
      <c r="T69" s="9"/>
      <c r="U69" s="12"/>
      <c r="V69" s="9"/>
      <c r="W69" s="9"/>
      <c r="X69" s="11"/>
      <c r="Y69" s="11"/>
      <c r="Z69" s="2"/>
      <c r="AA69" s="11"/>
      <c r="AB69" s="3"/>
      <c r="AC69" s="11"/>
      <c r="AD69" s="11"/>
      <c r="AE69" s="11"/>
      <c r="AF69" s="11"/>
      <c r="AG69" s="13">
        <f t="shared" si="4"/>
        <v>0</v>
      </c>
      <c r="AH69" s="14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15" t="str">
        <f t="shared" si="5"/>
        <v>小夫</v>
      </c>
      <c r="AJ69" s="17"/>
    </row>
    <row r="70" spans="1:36" ht="18" customHeight="1">
      <c r="A70" s="9" t="s">
        <v>58</v>
      </c>
      <c r="B70" s="10" t="s">
        <v>78</v>
      </c>
      <c r="C70" s="11"/>
      <c r="D70" s="11"/>
      <c r="E70" s="2"/>
      <c r="F70" s="11"/>
      <c r="G70" s="2"/>
      <c r="H70" s="11"/>
      <c r="I70" s="11"/>
      <c r="J70" s="11"/>
      <c r="K70" s="11"/>
      <c r="L70" s="2"/>
      <c r="M70" s="11"/>
      <c r="N70" s="12"/>
      <c r="O70" s="9"/>
      <c r="P70" s="9"/>
      <c r="Q70" s="9"/>
      <c r="R70" s="9"/>
      <c r="S70" s="12"/>
      <c r="T70" s="9"/>
      <c r="U70" s="12"/>
      <c r="V70" s="9"/>
      <c r="W70" s="9"/>
      <c r="X70" s="11"/>
      <c r="Y70" s="11"/>
      <c r="Z70" s="2"/>
      <c r="AA70" s="11"/>
      <c r="AB70" s="3"/>
      <c r="AC70" s="11"/>
      <c r="AD70" s="11"/>
      <c r="AE70" s="11"/>
      <c r="AF70" s="11"/>
      <c r="AG70" s="13">
        <f t="shared" si="4"/>
        <v>0</v>
      </c>
      <c r="AH70" s="14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15" t="str">
        <f t="shared" si="5"/>
        <v>小邱</v>
      </c>
      <c r="AJ70" s="17"/>
    </row>
    <row r="71" spans="1:36" ht="18" customHeight="1">
      <c r="A71" s="9" t="s">
        <v>58</v>
      </c>
      <c r="B71" s="10" t="s">
        <v>79</v>
      </c>
      <c r="C71" s="11"/>
      <c r="D71" s="11"/>
      <c r="E71" s="2"/>
      <c r="F71" s="11"/>
      <c r="G71" s="2"/>
      <c r="H71" s="11"/>
      <c r="I71" s="11"/>
      <c r="J71" s="11"/>
      <c r="K71" s="11"/>
      <c r="L71" s="2"/>
      <c r="M71" s="11"/>
      <c r="N71" s="12"/>
      <c r="O71" s="9"/>
      <c r="P71" s="9"/>
      <c r="Q71" s="9"/>
      <c r="R71" s="9"/>
      <c r="S71" s="12"/>
      <c r="T71" s="9"/>
      <c r="U71" s="12"/>
      <c r="V71" s="9"/>
      <c r="W71" s="9"/>
      <c r="X71" s="11"/>
      <c r="Y71" s="11"/>
      <c r="Z71" s="2"/>
      <c r="AA71" s="11"/>
      <c r="AB71" s="3"/>
      <c r="AC71" s="11"/>
      <c r="AD71" s="11"/>
      <c r="AE71" s="11"/>
      <c r="AF71" s="11"/>
      <c r="AG71" s="13">
        <f t="shared" si="4"/>
        <v>0</v>
      </c>
      <c r="AH71" s="14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15" t="str">
        <f t="shared" si="5"/>
        <v>淳淳</v>
      </c>
      <c r="AJ71" s="17"/>
    </row>
    <row r="72" spans="1:36" ht="18" customHeight="1">
      <c r="A72" s="9" t="s">
        <v>58</v>
      </c>
      <c r="B72" s="10" t="s">
        <v>80</v>
      </c>
      <c r="C72" s="11"/>
      <c r="D72" s="11"/>
      <c r="E72" s="2"/>
      <c r="F72" s="11"/>
      <c r="G72" s="2"/>
      <c r="H72" s="11"/>
      <c r="I72" s="11"/>
      <c r="J72" s="11"/>
      <c r="K72" s="11"/>
      <c r="L72" s="2"/>
      <c r="M72" s="11"/>
      <c r="N72" s="12"/>
      <c r="O72" s="9"/>
      <c r="P72" s="9"/>
      <c r="Q72" s="9"/>
      <c r="R72" s="9"/>
      <c r="S72" s="12"/>
      <c r="T72" s="9"/>
      <c r="U72" s="12"/>
      <c r="V72" s="9"/>
      <c r="W72" s="9"/>
      <c r="X72" s="11"/>
      <c r="Y72" s="11"/>
      <c r="Z72" s="2"/>
      <c r="AA72" s="11"/>
      <c r="AB72" s="3"/>
      <c r="AC72" s="11"/>
      <c r="AD72" s="11"/>
      <c r="AE72" s="11"/>
      <c r="AF72" s="11"/>
      <c r="AG72" s="13">
        <f t="shared" si="4"/>
        <v>0</v>
      </c>
      <c r="AH72" s="14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15" t="str">
        <f t="shared" si="5"/>
        <v>禿鷹</v>
      </c>
      <c r="AJ72" s="17"/>
    </row>
    <row r="73" spans="1:36" ht="18" customHeight="1">
      <c r="A73" s="9" t="s">
        <v>58</v>
      </c>
      <c r="B73" s="10" t="s">
        <v>81</v>
      </c>
      <c r="C73" s="11"/>
      <c r="D73" s="11"/>
      <c r="E73" s="2"/>
      <c r="F73" s="11"/>
      <c r="G73" s="2"/>
      <c r="H73" s="11"/>
      <c r="I73" s="11"/>
      <c r="J73" s="11"/>
      <c r="K73" s="11"/>
      <c r="L73" s="2"/>
      <c r="M73" s="11"/>
      <c r="N73" s="12"/>
      <c r="O73" s="9"/>
      <c r="P73" s="9"/>
      <c r="Q73" s="9"/>
      <c r="R73" s="9"/>
      <c r="S73" s="12"/>
      <c r="T73" s="9"/>
      <c r="U73" s="12"/>
      <c r="V73" s="9"/>
      <c r="W73" s="9"/>
      <c r="X73" s="11"/>
      <c r="Y73" s="11"/>
      <c r="Z73" s="2"/>
      <c r="AA73" s="11"/>
      <c r="AB73" s="3"/>
      <c r="AC73" s="11"/>
      <c r="AD73" s="11"/>
      <c r="AE73" s="11"/>
      <c r="AF73" s="11"/>
      <c r="AG73" s="13">
        <f t="shared" si="4"/>
        <v>0</v>
      </c>
      <c r="AH73" s="14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15" t="str">
        <f t="shared" si="5"/>
        <v>王宏</v>
      </c>
      <c r="AJ73" s="17"/>
    </row>
    <row r="74" spans="1:36" ht="18" customHeight="1">
      <c r="A74" s="9" t="s">
        <v>58</v>
      </c>
      <c r="B74" s="10" t="s">
        <v>82</v>
      </c>
      <c r="C74" s="11"/>
      <c r="D74" s="11"/>
      <c r="E74" s="2"/>
      <c r="F74" s="11"/>
      <c r="G74" s="2"/>
      <c r="H74" s="11"/>
      <c r="I74" s="11"/>
      <c r="J74" s="11"/>
      <c r="K74" s="11"/>
      <c r="L74" s="2"/>
      <c r="M74" s="11"/>
      <c r="N74" s="12"/>
      <c r="O74" s="9"/>
      <c r="P74" s="9"/>
      <c r="Q74" s="9"/>
      <c r="R74" s="9"/>
      <c r="S74" s="12"/>
      <c r="T74" s="9"/>
      <c r="U74" s="12"/>
      <c r="V74" s="9"/>
      <c r="W74" s="9"/>
      <c r="X74" s="11"/>
      <c r="Y74" s="11"/>
      <c r="Z74" s="2"/>
      <c r="AA74" s="11"/>
      <c r="AB74" s="3"/>
      <c r="AC74" s="11"/>
      <c r="AD74" s="11"/>
      <c r="AE74" s="11"/>
      <c r="AF74" s="11"/>
      <c r="AG74" s="13">
        <f t="shared" si="4"/>
        <v>0</v>
      </c>
      <c r="AH74" s="14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15" t="str">
        <f t="shared" si="5"/>
        <v>犀牛</v>
      </c>
      <c r="AJ74" s="17"/>
    </row>
    <row r="75" spans="1:36" ht="18" customHeight="1">
      <c r="A75" s="9" t="s">
        <v>58</v>
      </c>
      <c r="B75" s="10" t="s">
        <v>83</v>
      </c>
      <c r="C75" s="11"/>
      <c r="D75" s="11"/>
      <c r="E75" s="2"/>
      <c r="F75" s="11"/>
      <c r="G75" s="2"/>
      <c r="H75" s="11"/>
      <c r="I75" s="11"/>
      <c r="J75" s="11"/>
      <c r="K75" s="11"/>
      <c r="L75" s="2"/>
      <c r="M75" s="11"/>
      <c r="N75" s="12"/>
      <c r="O75" s="9"/>
      <c r="P75" s="9"/>
      <c r="Q75" s="9"/>
      <c r="R75" s="9"/>
      <c r="S75" s="12"/>
      <c r="T75" s="9"/>
      <c r="U75" s="12"/>
      <c r="V75" s="9"/>
      <c r="W75" s="9"/>
      <c r="X75" s="11"/>
      <c r="Y75" s="11"/>
      <c r="Z75" s="2"/>
      <c r="AA75" s="11"/>
      <c r="AB75" s="3"/>
      <c r="AC75" s="11"/>
      <c r="AD75" s="11"/>
      <c r="AE75" s="11"/>
      <c r="AF75" s="11"/>
      <c r="AG75" s="13">
        <f t="shared" si="4"/>
        <v>0</v>
      </c>
      <c r="AH75" s="14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15" t="str">
        <f t="shared" si="5"/>
        <v>來福</v>
      </c>
      <c r="AJ75" s="17"/>
    </row>
    <row r="76" spans="1:36" ht="18" customHeight="1">
      <c r="A76" s="9" t="s">
        <v>58</v>
      </c>
      <c r="B76" s="10" t="s">
        <v>84</v>
      </c>
      <c r="C76" s="11"/>
      <c r="D76" s="11"/>
      <c r="E76" s="2"/>
      <c r="F76" s="11"/>
      <c r="G76" s="2"/>
      <c r="H76" s="11"/>
      <c r="I76" s="11"/>
      <c r="J76" s="11"/>
      <c r="K76" s="11"/>
      <c r="L76" s="2"/>
      <c r="M76" s="11"/>
      <c r="N76" s="12"/>
      <c r="O76" s="9"/>
      <c r="P76" s="9"/>
      <c r="Q76" s="9"/>
      <c r="R76" s="9"/>
      <c r="S76" s="12"/>
      <c r="T76" s="9"/>
      <c r="U76" s="12"/>
      <c r="V76" s="9"/>
      <c r="W76" s="9"/>
      <c r="X76" s="11"/>
      <c r="Y76" s="11"/>
      <c r="Z76" s="2"/>
      <c r="AA76" s="11"/>
      <c r="AB76" s="3"/>
      <c r="AC76" s="11"/>
      <c r="AD76" s="11"/>
      <c r="AE76" s="11"/>
      <c r="AF76" s="11"/>
      <c r="AG76" s="13">
        <f t="shared" si="4"/>
        <v>0</v>
      </c>
      <c r="AH76" s="14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15" t="str">
        <f t="shared" si="5"/>
        <v>誌誌</v>
      </c>
      <c r="AJ76" s="17"/>
    </row>
    <row r="77" spans="1:36" ht="18" customHeight="1">
      <c r="A77" s="9" t="s">
        <v>58</v>
      </c>
      <c r="B77" s="10" t="s">
        <v>86</v>
      </c>
      <c r="C77" s="11"/>
      <c r="D77" s="11"/>
      <c r="E77" s="2"/>
      <c r="F77" s="11"/>
      <c r="G77" s="2"/>
      <c r="H77" s="11"/>
      <c r="I77" s="11"/>
      <c r="J77" s="11"/>
      <c r="K77" s="11"/>
      <c r="L77" s="2"/>
      <c r="M77" s="11"/>
      <c r="N77" s="12"/>
      <c r="O77" s="9"/>
      <c r="P77" s="9"/>
      <c r="Q77" s="9"/>
      <c r="R77" s="9"/>
      <c r="S77" s="12"/>
      <c r="T77" s="9"/>
      <c r="U77" s="12"/>
      <c r="V77" s="9"/>
      <c r="W77" s="9"/>
      <c r="X77" s="11"/>
      <c r="Y77" s="11"/>
      <c r="Z77" s="2"/>
      <c r="AA77" s="11"/>
      <c r="AB77" s="3"/>
      <c r="AC77" s="11"/>
      <c r="AD77" s="11"/>
      <c r="AE77" s="11"/>
      <c r="AF77" s="11"/>
      <c r="AG77" s="13">
        <f t="shared" si="4"/>
        <v>0</v>
      </c>
      <c r="AH77" s="14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15" t="str">
        <f t="shared" si="5"/>
        <v>正誼</v>
      </c>
      <c r="AJ77" s="17"/>
    </row>
    <row r="78" spans="1:36" ht="18" customHeight="1">
      <c r="A78" s="9" t="s">
        <v>58</v>
      </c>
      <c r="B78" s="10" t="s">
        <v>32</v>
      </c>
      <c r="C78" s="11"/>
      <c r="D78" s="11"/>
      <c r="E78" s="2"/>
      <c r="F78" s="11"/>
      <c r="G78" s="2"/>
      <c r="H78" s="11"/>
      <c r="I78" s="11"/>
      <c r="J78" s="11"/>
      <c r="K78" s="11"/>
      <c r="L78" s="2"/>
      <c r="M78" s="11"/>
      <c r="N78" s="12"/>
      <c r="O78" s="9"/>
      <c r="P78" s="9"/>
      <c r="Q78" s="9"/>
      <c r="R78" s="9"/>
      <c r="S78" s="12"/>
      <c r="T78" s="9"/>
      <c r="U78" s="12"/>
      <c r="V78" s="9"/>
      <c r="W78" s="9"/>
      <c r="X78" s="11"/>
      <c r="Y78" s="11"/>
      <c r="Z78" s="2"/>
      <c r="AA78" s="11"/>
      <c r="AB78" s="3"/>
      <c r="AC78" s="11"/>
      <c r="AD78" s="11"/>
      <c r="AE78" s="11"/>
      <c r="AF78" s="11"/>
      <c r="AG78" s="13">
        <f t="shared" si="4"/>
        <v>0</v>
      </c>
      <c r="AH78" s="14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15" t="str">
        <f t="shared" si="5"/>
        <v>小翔</v>
      </c>
      <c r="AJ78" s="17"/>
    </row>
    <row r="79" spans="1:36" ht="18" customHeight="1">
      <c r="A79" s="9" t="s">
        <v>58</v>
      </c>
      <c r="B79" s="10" t="s">
        <v>179</v>
      </c>
      <c r="C79" s="11"/>
      <c r="D79" s="11"/>
      <c r="E79" s="2"/>
      <c r="F79" s="11"/>
      <c r="G79" s="2"/>
      <c r="H79" s="11"/>
      <c r="I79" s="11"/>
      <c r="J79" s="11"/>
      <c r="K79" s="11"/>
      <c r="L79" s="2"/>
      <c r="M79" s="11"/>
      <c r="N79" s="12"/>
      <c r="O79" s="9"/>
      <c r="P79" s="9"/>
      <c r="Q79" s="9"/>
      <c r="R79" s="9"/>
      <c r="S79" s="12"/>
      <c r="T79" s="9"/>
      <c r="U79" s="12"/>
      <c r="V79" s="9"/>
      <c r="W79" s="9"/>
      <c r="X79" s="11"/>
      <c r="Y79" s="11"/>
      <c r="Z79" s="2"/>
      <c r="AA79" s="11"/>
      <c r="AB79" s="3"/>
      <c r="AC79" s="11"/>
      <c r="AD79" s="11"/>
      <c r="AE79" s="11"/>
      <c r="AF79" s="11"/>
      <c r="AG79" s="13">
        <f t="shared" si="4"/>
        <v>0</v>
      </c>
      <c r="AH79" s="14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15" t="str">
        <f t="shared" si="5"/>
        <v>玹玹</v>
      </c>
      <c r="AJ79" s="17"/>
    </row>
    <row r="80" spans="1:36" ht="18" customHeight="1">
      <c r="A80" s="9" t="s">
        <v>58</v>
      </c>
      <c r="B80" s="10" t="s">
        <v>85</v>
      </c>
      <c r="C80" s="11"/>
      <c r="D80" s="11"/>
      <c r="E80" s="2"/>
      <c r="F80" s="11"/>
      <c r="G80" s="2"/>
      <c r="H80" s="11"/>
      <c r="I80" s="11"/>
      <c r="J80" s="11"/>
      <c r="K80" s="11"/>
      <c r="L80" s="2"/>
      <c r="M80" s="11"/>
      <c r="N80" s="12"/>
      <c r="O80" s="9"/>
      <c r="P80" s="9"/>
      <c r="Q80" s="9"/>
      <c r="R80" s="9"/>
      <c r="S80" s="12"/>
      <c r="T80" s="9"/>
      <c r="U80" s="12"/>
      <c r="V80" s="9"/>
      <c r="W80" s="9"/>
      <c r="X80" s="11"/>
      <c r="Y80" s="11"/>
      <c r="Z80" s="2"/>
      <c r="AA80" s="11"/>
      <c r="AB80" s="3"/>
      <c r="AC80" s="11"/>
      <c r="AD80" s="11"/>
      <c r="AE80" s="11"/>
      <c r="AF80" s="11"/>
      <c r="AG80" s="13">
        <f t="shared" si="4"/>
        <v>0</v>
      </c>
      <c r="AH80" s="14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15" t="str">
        <f t="shared" si="5"/>
        <v>阿璽</v>
      </c>
      <c r="AJ80" s="17"/>
    </row>
    <row r="81" spans="1:36" ht="18" customHeight="1">
      <c r="A81" s="9" t="s">
        <v>58</v>
      </c>
      <c r="B81" s="10" t="s">
        <v>33</v>
      </c>
      <c r="C81" s="11"/>
      <c r="D81" s="11"/>
      <c r="E81" s="2"/>
      <c r="F81" s="11"/>
      <c r="G81" s="2"/>
      <c r="H81" s="11"/>
      <c r="I81" s="11"/>
      <c r="J81" s="11">
        <v>1</v>
      </c>
      <c r="K81" s="11"/>
      <c r="L81" s="2"/>
      <c r="M81" s="11"/>
      <c r="N81" s="12"/>
      <c r="O81" s="9"/>
      <c r="P81" s="9"/>
      <c r="Q81" s="9"/>
      <c r="R81" s="9"/>
      <c r="S81" s="12"/>
      <c r="T81" s="9"/>
      <c r="U81" s="12"/>
      <c r="V81" s="9"/>
      <c r="W81" s="9"/>
      <c r="X81" s="11"/>
      <c r="Y81" s="11"/>
      <c r="Z81" s="2"/>
      <c r="AA81" s="11"/>
      <c r="AB81" s="3"/>
      <c r="AC81" s="11"/>
      <c r="AD81" s="11"/>
      <c r="AE81" s="11"/>
      <c r="AF81" s="11"/>
      <c r="AG81" s="13">
        <f t="shared" si="4"/>
        <v>1</v>
      </c>
      <c r="AH81" s="14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15" t="str">
        <f t="shared" si="5"/>
        <v>一飛</v>
      </c>
      <c r="AJ81" s="17"/>
    </row>
    <row r="82" spans="1:36" ht="18" customHeight="1">
      <c r="A82" s="18" t="s">
        <v>58</v>
      </c>
      <c r="B82" s="19" t="s">
        <v>151</v>
      </c>
      <c r="C82" s="20">
        <v>1</v>
      </c>
      <c r="D82" s="20"/>
      <c r="E82" s="2"/>
      <c r="F82" s="20">
        <v>1</v>
      </c>
      <c r="G82" s="2"/>
      <c r="H82" s="20">
        <v>1</v>
      </c>
      <c r="I82" s="20"/>
      <c r="J82" s="20">
        <v>1</v>
      </c>
      <c r="K82" s="20"/>
      <c r="L82" s="2"/>
      <c r="M82" s="20">
        <v>1</v>
      </c>
      <c r="N82" s="12"/>
      <c r="O82" s="18">
        <v>1</v>
      </c>
      <c r="P82" s="18"/>
      <c r="Q82" s="18">
        <v>1</v>
      </c>
      <c r="R82" s="18"/>
      <c r="S82" s="12"/>
      <c r="T82" s="18">
        <v>1</v>
      </c>
      <c r="U82" s="12"/>
      <c r="V82" s="18">
        <v>1</v>
      </c>
      <c r="W82" s="18"/>
      <c r="X82" s="20"/>
      <c r="Y82" s="20"/>
      <c r="Z82" s="2"/>
      <c r="AA82" s="20">
        <v>1</v>
      </c>
      <c r="AB82" s="3"/>
      <c r="AC82" s="20">
        <v>1</v>
      </c>
      <c r="AD82" s="20"/>
      <c r="AE82" s="20">
        <v>1</v>
      </c>
      <c r="AF82" s="20"/>
      <c r="AG82" s="21">
        <f t="shared" si="4"/>
        <v>12</v>
      </c>
      <c r="AH82" s="49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23" t="str">
        <f t="shared" si="5"/>
        <v>宇嬅</v>
      </c>
      <c r="AJ82" s="44"/>
    </row>
    <row r="83" spans="1:36" ht="18" customHeight="1">
      <c r="A83" s="18" t="s">
        <v>58</v>
      </c>
      <c r="B83" s="19" t="s">
        <v>92</v>
      </c>
      <c r="C83" s="20">
        <v>1</v>
      </c>
      <c r="D83" s="20"/>
      <c r="E83" s="2"/>
      <c r="F83" s="20">
        <v>1</v>
      </c>
      <c r="G83" s="2"/>
      <c r="H83" s="20">
        <v>1</v>
      </c>
      <c r="I83" s="20"/>
      <c r="J83" s="20">
        <v>1</v>
      </c>
      <c r="K83" s="20"/>
      <c r="L83" s="2"/>
      <c r="M83" s="20">
        <v>1</v>
      </c>
      <c r="N83" s="12"/>
      <c r="O83" s="18">
        <v>1</v>
      </c>
      <c r="P83" s="18"/>
      <c r="Q83" s="18">
        <v>1</v>
      </c>
      <c r="R83" s="18"/>
      <c r="S83" s="12"/>
      <c r="T83" s="18"/>
      <c r="U83" s="12"/>
      <c r="V83" s="18"/>
      <c r="W83" s="18"/>
      <c r="X83" s="20"/>
      <c r="Y83" s="20"/>
      <c r="Z83" s="2"/>
      <c r="AA83" s="20"/>
      <c r="AB83" s="3"/>
      <c r="AC83" s="20">
        <v>1</v>
      </c>
      <c r="AD83" s="20">
        <v>1</v>
      </c>
      <c r="AE83" s="20">
        <v>1</v>
      </c>
      <c r="AF83" s="20">
        <v>1</v>
      </c>
      <c r="AG83" s="21">
        <f t="shared" si="4"/>
        <v>11</v>
      </c>
      <c r="AH83" s="49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23" t="str">
        <f t="shared" si="5"/>
        <v>婉晴</v>
      </c>
      <c r="AJ83" s="44"/>
    </row>
    <row r="84" spans="1:36" ht="18" customHeight="1">
      <c r="A84" s="18" t="s">
        <v>58</v>
      </c>
      <c r="B84" s="19" t="s">
        <v>152</v>
      </c>
      <c r="C84" s="20"/>
      <c r="D84" s="20"/>
      <c r="E84" s="2"/>
      <c r="F84" s="20"/>
      <c r="G84" s="2"/>
      <c r="H84" s="20">
        <v>1</v>
      </c>
      <c r="I84" s="20"/>
      <c r="J84" s="20"/>
      <c r="K84" s="20"/>
      <c r="L84" s="2"/>
      <c r="M84" s="20"/>
      <c r="N84" s="12"/>
      <c r="O84" s="18"/>
      <c r="P84" s="18"/>
      <c r="Q84" s="18"/>
      <c r="R84" s="18"/>
      <c r="S84" s="12"/>
      <c r="T84" s="18"/>
      <c r="U84" s="12"/>
      <c r="V84" s="18"/>
      <c r="W84" s="18"/>
      <c r="X84" s="20"/>
      <c r="Y84" s="20"/>
      <c r="Z84" s="2"/>
      <c r="AA84" s="20"/>
      <c r="AB84" s="3"/>
      <c r="AC84" s="20"/>
      <c r="AD84" s="20"/>
      <c r="AE84" s="20"/>
      <c r="AF84" s="20"/>
      <c r="AG84" s="21">
        <f t="shared" si="4"/>
        <v>1</v>
      </c>
      <c r="AH84" s="49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23" t="str">
        <f t="shared" si="5"/>
        <v>阿俗</v>
      </c>
      <c r="AJ84" s="25"/>
    </row>
    <row r="85" spans="1:36" ht="18" customHeight="1">
      <c r="A85" s="18" t="s">
        <v>58</v>
      </c>
      <c r="B85" s="19" t="s">
        <v>153</v>
      </c>
      <c r="C85" s="20"/>
      <c r="D85" s="20"/>
      <c r="E85" s="2"/>
      <c r="F85" s="20"/>
      <c r="G85" s="2"/>
      <c r="H85" s="20"/>
      <c r="I85" s="20"/>
      <c r="J85" s="20"/>
      <c r="K85" s="20"/>
      <c r="L85" s="2"/>
      <c r="M85" s="20"/>
      <c r="N85" s="12"/>
      <c r="O85" s="18"/>
      <c r="P85" s="18"/>
      <c r="Q85" s="18"/>
      <c r="R85" s="18"/>
      <c r="S85" s="12"/>
      <c r="T85" s="18"/>
      <c r="U85" s="12"/>
      <c r="V85" s="18"/>
      <c r="W85" s="18"/>
      <c r="X85" s="20"/>
      <c r="Y85" s="20"/>
      <c r="Z85" s="2"/>
      <c r="AA85" s="20"/>
      <c r="AB85" s="3"/>
      <c r="AC85" s="20"/>
      <c r="AD85" s="20"/>
      <c r="AE85" s="20"/>
      <c r="AF85" s="20"/>
      <c r="AG85" s="21">
        <f t="shared" si="4"/>
        <v>0</v>
      </c>
      <c r="AH85" s="49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23" t="str">
        <f t="shared" si="5"/>
        <v>傻妹</v>
      </c>
      <c r="AJ85" s="44"/>
    </row>
    <row r="86" spans="1:36" ht="18" customHeight="1">
      <c r="A86" s="18" t="s">
        <v>58</v>
      </c>
      <c r="B86" s="19" t="s">
        <v>96</v>
      </c>
      <c r="C86" s="20"/>
      <c r="D86" s="20"/>
      <c r="E86" s="2"/>
      <c r="F86" s="20"/>
      <c r="G86" s="2"/>
      <c r="H86" s="20"/>
      <c r="I86" s="20"/>
      <c r="J86" s="20"/>
      <c r="K86" s="20"/>
      <c r="L86" s="2"/>
      <c r="M86" s="20"/>
      <c r="N86" s="12"/>
      <c r="O86" s="18"/>
      <c r="P86" s="18"/>
      <c r="Q86" s="18"/>
      <c r="R86" s="18"/>
      <c r="S86" s="12"/>
      <c r="T86" s="18"/>
      <c r="U86" s="12"/>
      <c r="V86" s="18"/>
      <c r="W86" s="18"/>
      <c r="X86" s="20"/>
      <c r="Y86" s="20"/>
      <c r="Z86" s="2"/>
      <c r="AA86" s="20"/>
      <c r="AB86" s="3"/>
      <c r="AC86" s="20"/>
      <c r="AD86" s="20"/>
      <c r="AE86" s="20"/>
      <c r="AF86" s="20"/>
      <c r="AG86" s="21">
        <f t="shared" si="4"/>
        <v>0</v>
      </c>
      <c r="AH86" s="49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23" t="str">
        <f t="shared" si="5"/>
        <v>靜婷</v>
      </c>
      <c r="AJ86" s="25"/>
    </row>
    <row r="87" spans="1:36" ht="18" customHeight="1">
      <c r="A87" s="18" t="s">
        <v>58</v>
      </c>
      <c r="B87" s="19" t="s">
        <v>197</v>
      </c>
      <c r="C87" s="20"/>
      <c r="D87" s="20"/>
      <c r="E87" s="2"/>
      <c r="F87" s="20"/>
      <c r="G87" s="2"/>
      <c r="H87" s="20"/>
      <c r="I87" s="20"/>
      <c r="J87" s="20"/>
      <c r="K87" s="20">
        <v>1</v>
      </c>
      <c r="L87" s="2"/>
      <c r="M87" s="20"/>
      <c r="N87" s="12"/>
      <c r="O87" s="18"/>
      <c r="P87" s="18">
        <v>1</v>
      </c>
      <c r="Q87" s="18"/>
      <c r="R87" s="18"/>
      <c r="S87" s="12"/>
      <c r="T87" s="18"/>
      <c r="U87" s="12"/>
      <c r="V87" s="18"/>
      <c r="W87" s="18">
        <v>1</v>
      </c>
      <c r="X87" s="20"/>
      <c r="Y87" s="20"/>
      <c r="Z87" s="2"/>
      <c r="AA87" s="20"/>
      <c r="AB87" s="3"/>
      <c r="AC87" s="20">
        <v>1</v>
      </c>
      <c r="AD87" s="20">
        <v>1</v>
      </c>
      <c r="AE87" s="20"/>
      <c r="AF87" s="20"/>
      <c r="AG87" s="21">
        <f t="shared" si="4"/>
        <v>5</v>
      </c>
      <c r="AH87" s="49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23" t="str">
        <f t="shared" si="5"/>
        <v>Abby</v>
      </c>
      <c r="AJ87" s="25"/>
    </row>
    <row r="88" spans="1:36" ht="18" customHeight="1">
      <c r="A88" s="18" t="s">
        <v>58</v>
      </c>
      <c r="B88" s="19" t="s">
        <v>95</v>
      </c>
      <c r="C88" s="20">
        <v>1</v>
      </c>
      <c r="D88" s="20"/>
      <c r="E88" s="2"/>
      <c r="F88" s="20">
        <v>1</v>
      </c>
      <c r="G88" s="2"/>
      <c r="H88" s="20">
        <v>1</v>
      </c>
      <c r="I88" s="20">
        <v>1</v>
      </c>
      <c r="J88" s="20"/>
      <c r="K88" s="20">
        <v>1</v>
      </c>
      <c r="L88" s="2"/>
      <c r="M88" s="20">
        <v>1</v>
      </c>
      <c r="N88" s="12"/>
      <c r="O88" s="18">
        <v>1</v>
      </c>
      <c r="P88" s="18">
        <v>1</v>
      </c>
      <c r="Q88" s="18">
        <v>1</v>
      </c>
      <c r="R88" s="18">
        <v>1</v>
      </c>
      <c r="S88" s="12"/>
      <c r="T88" s="18">
        <v>1</v>
      </c>
      <c r="U88" s="12"/>
      <c r="V88" s="18">
        <v>1</v>
      </c>
      <c r="W88" s="18">
        <v>1</v>
      </c>
      <c r="X88" s="20">
        <v>1</v>
      </c>
      <c r="Y88" s="20">
        <v>1</v>
      </c>
      <c r="Z88" s="2"/>
      <c r="AA88" s="20">
        <v>1</v>
      </c>
      <c r="AB88" s="3"/>
      <c r="AC88" s="20">
        <v>1</v>
      </c>
      <c r="AD88" s="20">
        <v>1</v>
      </c>
      <c r="AE88" s="20">
        <v>1</v>
      </c>
      <c r="AF88" s="20">
        <v>1</v>
      </c>
      <c r="AG88" s="21">
        <f t="shared" si="4"/>
        <v>20</v>
      </c>
      <c r="AH88" s="49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23" t="str">
        <f t="shared" si="5"/>
        <v>小吱</v>
      </c>
      <c r="AJ88" s="25"/>
    </row>
    <row r="89" spans="1:36" ht="18" customHeight="1">
      <c r="A89" s="18" t="s">
        <v>58</v>
      </c>
      <c r="B89" s="19" t="s">
        <v>148</v>
      </c>
      <c r="C89" s="20"/>
      <c r="D89" s="20"/>
      <c r="E89" s="2"/>
      <c r="F89" s="20"/>
      <c r="G89" s="2"/>
      <c r="H89" s="20"/>
      <c r="I89" s="20"/>
      <c r="J89" s="20"/>
      <c r="K89" s="20"/>
      <c r="L89" s="2"/>
      <c r="M89" s="20"/>
      <c r="N89" s="12"/>
      <c r="O89" s="18"/>
      <c r="P89" s="18"/>
      <c r="Q89" s="18"/>
      <c r="R89" s="18"/>
      <c r="S89" s="12"/>
      <c r="T89" s="18"/>
      <c r="U89" s="12"/>
      <c r="V89" s="18"/>
      <c r="W89" s="18"/>
      <c r="X89" s="20"/>
      <c r="Y89" s="20"/>
      <c r="Z89" s="2"/>
      <c r="AA89" s="20"/>
      <c r="AB89" s="3"/>
      <c r="AC89" s="20"/>
      <c r="AD89" s="20">
        <v>1</v>
      </c>
      <c r="AE89" s="20"/>
      <c r="AF89" s="20"/>
      <c r="AG89" s="21">
        <f t="shared" si="4"/>
        <v>1</v>
      </c>
      <c r="AH89" s="49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23" t="str">
        <f t="shared" si="5"/>
        <v>雅雅</v>
      </c>
      <c r="AJ89" s="25"/>
    </row>
    <row r="90" spans="1:36" ht="18" customHeight="1">
      <c r="A90" s="18" t="s">
        <v>58</v>
      </c>
      <c r="B90" s="19" t="s">
        <v>154</v>
      </c>
      <c r="C90" s="20"/>
      <c r="D90" s="20"/>
      <c r="E90" s="2"/>
      <c r="F90" s="20"/>
      <c r="G90" s="2"/>
      <c r="H90" s="20"/>
      <c r="I90" s="20"/>
      <c r="J90" s="20"/>
      <c r="K90" s="20"/>
      <c r="L90" s="2"/>
      <c r="M90" s="20"/>
      <c r="N90" s="12"/>
      <c r="O90" s="18"/>
      <c r="P90" s="18"/>
      <c r="Q90" s="18"/>
      <c r="R90" s="18"/>
      <c r="S90" s="12"/>
      <c r="T90" s="18"/>
      <c r="U90" s="12"/>
      <c r="V90" s="18"/>
      <c r="W90" s="18"/>
      <c r="X90" s="20"/>
      <c r="Y90" s="20"/>
      <c r="Z90" s="2"/>
      <c r="AA90" s="20"/>
      <c r="AB90" s="3"/>
      <c r="AC90" s="20"/>
      <c r="AD90" s="20"/>
      <c r="AE90" s="20"/>
      <c r="AF90" s="20"/>
      <c r="AG90" s="21">
        <f t="shared" si="4"/>
        <v>0</v>
      </c>
      <c r="AH90" s="49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23" t="str">
        <f t="shared" si="5"/>
        <v>筱攸</v>
      </c>
      <c r="AJ90" s="25"/>
    </row>
    <row r="91" spans="1:36" ht="18" customHeight="1">
      <c r="A91" s="18" t="s">
        <v>58</v>
      </c>
      <c r="B91" s="19" t="s">
        <v>155</v>
      </c>
      <c r="C91" s="20"/>
      <c r="D91" s="20"/>
      <c r="E91" s="2"/>
      <c r="F91" s="20"/>
      <c r="G91" s="2"/>
      <c r="H91" s="20"/>
      <c r="I91" s="20"/>
      <c r="J91" s="20"/>
      <c r="K91" s="20"/>
      <c r="L91" s="2"/>
      <c r="M91" s="20"/>
      <c r="N91" s="12"/>
      <c r="O91" s="18"/>
      <c r="P91" s="18"/>
      <c r="Q91" s="18"/>
      <c r="R91" s="18"/>
      <c r="S91" s="12"/>
      <c r="T91" s="18"/>
      <c r="U91" s="12"/>
      <c r="V91" s="18"/>
      <c r="W91" s="18"/>
      <c r="X91" s="20"/>
      <c r="Y91" s="20"/>
      <c r="Z91" s="2"/>
      <c r="AA91" s="20"/>
      <c r="AB91" s="3"/>
      <c r="AC91" s="20"/>
      <c r="AD91" s="20"/>
      <c r="AE91" s="20"/>
      <c r="AF91" s="20"/>
      <c r="AG91" s="21">
        <f t="shared" si="4"/>
        <v>0</v>
      </c>
      <c r="AH91" s="49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23" t="str">
        <f t="shared" si="5"/>
        <v>康康</v>
      </c>
      <c r="AJ91" s="25"/>
    </row>
    <row r="92" spans="1:36" ht="18" customHeight="1">
      <c r="A92" s="18" t="s">
        <v>58</v>
      </c>
      <c r="B92" s="19" t="s">
        <v>156</v>
      </c>
      <c r="C92" s="20"/>
      <c r="D92" s="20"/>
      <c r="E92" s="2"/>
      <c r="F92" s="20"/>
      <c r="G92" s="2"/>
      <c r="H92" s="20"/>
      <c r="I92" s="20"/>
      <c r="J92" s="20"/>
      <c r="K92" s="20"/>
      <c r="L92" s="2"/>
      <c r="M92" s="20"/>
      <c r="N92" s="12"/>
      <c r="O92" s="18"/>
      <c r="P92" s="18"/>
      <c r="Q92" s="18"/>
      <c r="R92" s="18"/>
      <c r="S92" s="12"/>
      <c r="T92" s="18"/>
      <c r="U92" s="12"/>
      <c r="V92" s="18"/>
      <c r="W92" s="18"/>
      <c r="X92" s="20"/>
      <c r="Y92" s="20"/>
      <c r="Z92" s="2"/>
      <c r="AA92" s="20"/>
      <c r="AB92" s="3"/>
      <c r="AC92" s="20"/>
      <c r="AD92" s="20"/>
      <c r="AE92" s="20"/>
      <c r="AF92" s="20"/>
      <c r="AG92" s="21">
        <f t="shared" si="4"/>
        <v>0</v>
      </c>
      <c r="AH92" s="49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23" t="str">
        <f t="shared" si="5"/>
        <v>阿金</v>
      </c>
      <c r="AJ92" s="25"/>
    </row>
    <row r="93" spans="1:36" ht="18" customHeight="1">
      <c r="A93" s="18" t="s">
        <v>58</v>
      </c>
      <c r="B93" s="19" t="s">
        <v>157</v>
      </c>
      <c r="C93" s="20"/>
      <c r="D93" s="20"/>
      <c r="E93" s="2"/>
      <c r="F93" s="20"/>
      <c r="G93" s="2"/>
      <c r="H93" s="20"/>
      <c r="I93" s="20"/>
      <c r="J93" s="20"/>
      <c r="K93" s="20"/>
      <c r="L93" s="2"/>
      <c r="M93" s="20"/>
      <c r="N93" s="12"/>
      <c r="O93" s="18"/>
      <c r="P93" s="18"/>
      <c r="Q93" s="18"/>
      <c r="R93" s="18"/>
      <c r="S93" s="12"/>
      <c r="T93" s="18"/>
      <c r="U93" s="12"/>
      <c r="V93" s="18"/>
      <c r="W93" s="18"/>
      <c r="X93" s="20"/>
      <c r="Y93" s="20"/>
      <c r="Z93" s="2"/>
      <c r="AA93" s="20"/>
      <c r="AB93" s="3"/>
      <c r="AC93" s="20"/>
      <c r="AD93" s="20"/>
      <c r="AE93" s="20"/>
      <c r="AF93" s="20"/>
      <c r="AG93" s="21">
        <f t="shared" si="4"/>
        <v>0</v>
      </c>
      <c r="AH93" s="49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23" t="str">
        <f t="shared" si="5"/>
        <v>派大</v>
      </c>
      <c r="AJ93" s="25"/>
    </row>
    <row r="94" spans="1:36" ht="18" customHeight="1">
      <c r="A94" s="18" t="s">
        <v>58</v>
      </c>
      <c r="B94" s="19" t="s">
        <v>158</v>
      </c>
      <c r="C94" s="20"/>
      <c r="D94" s="20"/>
      <c r="E94" s="2"/>
      <c r="F94" s="20"/>
      <c r="G94" s="2"/>
      <c r="H94" s="20"/>
      <c r="I94" s="20"/>
      <c r="J94" s="20"/>
      <c r="K94" s="20"/>
      <c r="L94" s="2"/>
      <c r="M94" s="20"/>
      <c r="N94" s="12"/>
      <c r="O94" s="18"/>
      <c r="P94" s="18"/>
      <c r="Q94" s="18"/>
      <c r="R94" s="18"/>
      <c r="S94" s="12"/>
      <c r="T94" s="18"/>
      <c r="U94" s="12"/>
      <c r="V94" s="18"/>
      <c r="W94" s="18"/>
      <c r="X94" s="20"/>
      <c r="Y94" s="20"/>
      <c r="Z94" s="2"/>
      <c r="AA94" s="20"/>
      <c r="AB94" s="3"/>
      <c r="AC94" s="20"/>
      <c r="AD94" s="20"/>
      <c r="AE94" s="20"/>
      <c r="AF94" s="20"/>
      <c r="AG94" s="21">
        <f t="shared" si="4"/>
        <v>0</v>
      </c>
      <c r="AH94" s="49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23" t="str">
        <f t="shared" si="5"/>
        <v>吉娃</v>
      </c>
      <c r="AJ94" s="25"/>
    </row>
    <row r="95" spans="1:36" ht="18" customHeight="1">
      <c r="A95" s="18" t="s">
        <v>58</v>
      </c>
      <c r="B95" s="19" t="s">
        <v>159</v>
      </c>
      <c r="C95" s="20"/>
      <c r="D95" s="20"/>
      <c r="E95" s="2"/>
      <c r="F95" s="20"/>
      <c r="G95" s="2"/>
      <c r="H95" s="20"/>
      <c r="I95" s="20"/>
      <c r="J95" s="20"/>
      <c r="K95" s="20"/>
      <c r="L95" s="2"/>
      <c r="M95" s="20"/>
      <c r="N95" s="12"/>
      <c r="O95" s="18"/>
      <c r="P95" s="18"/>
      <c r="Q95" s="18"/>
      <c r="R95" s="18"/>
      <c r="S95" s="12"/>
      <c r="T95" s="18"/>
      <c r="U95" s="12"/>
      <c r="V95" s="18"/>
      <c r="W95" s="18"/>
      <c r="X95" s="20"/>
      <c r="Y95" s="20"/>
      <c r="Z95" s="2"/>
      <c r="AA95" s="20"/>
      <c r="AB95" s="3"/>
      <c r="AC95" s="20"/>
      <c r="AD95" s="20"/>
      <c r="AE95" s="20"/>
      <c r="AF95" s="20"/>
      <c r="AG95" s="21">
        <f t="shared" si="4"/>
        <v>0</v>
      </c>
      <c r="AH95" s="49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23" t="str">
        <f t="shared" si="5"/>
        <v>小寧</v>
      </c>
      <c r="AJ95" s="25"/>
    </row>
    <row r="96" spans="1:36" ht="18" customHeight="1">
      <c r="A96" s="18" t="s">
        <v>58</v>
      </c>
      <c r="B96" s="19" t="s">
        <v>160</v>
      </c>
      <c r="C96" s="20"/>
      <c r="D96" s="20"/>
      <c r="E96" s="2"/>
      <c r="F96" s="20"/>
      <c r="G96" s="2"/>
      <c r="H96" s="20"/>
      <c r="I96" s="20"/>
      <c r="J96" s="20"/>
      <c r="K96" s="20"/>
      <c r="L96" s="2"/>
      <c r="M96" s="20"/>
      <c r="N96" s="12"/>
      <c r="O96" s="18"/>
      <c r="P96" s="18"/>
      <c r="Q96" s="18"/>
      <c r="R96" s="18"/>
      <c r="S96" s="12"/>
      <c r="T96" s="18"/>
      <c r="U96" s="12"/>
      <c r="V96" s="18"/>
      <c r="W96" s="18"/>
      <c r="X96" s="20"/>
      <c r="Y96" s="20"/>
      <c r="Z96" s="2"/>
      <c r="AA96" s="20"/>
      <c r="AB96" s="3"/>
      <c r="AC96" s="20"/>
      <c r="AD96" s="20"/>
      <c r="AE96" s="20"/>
      <c r="AF96" s="20"/>
      <c r="AG96" s="21">
        <f t="shared" si="4"/>
        <v>0</v>
      </c>
      <c r="AH96" s="49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23" t="str">
        <f t="shared" si="5"/>
        <v>小妹</v>
      </c>
      <c r="AJ96" s="25"/>
    </row>
    <row r="97" spans="1:36" ht="18" customHeight="1">
      <c r="A97" s="18" t="s">
        <v>58</v>
      </c>
      <c r="B97" s="19" t="s">
        <v>101</v>
      </c>
      <c r="C97" s="20"/>
      <c r="D97" s="20"/>
      <c r="E97" s="2"/>
      <c r="F97" s="20"/>
      <c r="G97" s="2"/>
      <c r="H97" s="20"/>
      <c r="I97" s="20"/>
      <c r="J97" s="20"/>
      <c r="K97" s="20"/>
      <c r="L97" s="2"/>
      <c r="M97" s="20"/>
      <c r="N97" s="12"/>
      <c r="O97" s="18"/>
      <c r="P97" s="18"/>
      <c r="Q97" s="18"/>
      <c r="R97" s="18"/>
      <c r="S97" s="12"/>
      <c r="T97" s="18"/>
      <c r="U97" s="12"/>
      <c r="V97" s="18"/>
      <c r="W97" s="18"/>
      <c r="X97" s="20"/>
      <c r="Y97" s="20"/>
      <c r="Z97" s="2"/>
      <c r="AA97" s="20"/>
      <c r="AB97" s="3"/>
      <c r="AC97" s="20"/>
      <c r="AD97" s="20"/>
      <c r="AE97" s="20"/>
      <c r="AF97" s="20"/>
      <c r="AG97" s="21">
        <f t="shared" si="4"/>
        <v>0</v>
      </c>
      <c r="AH97" s="49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23" t="str">
        <f t="shared" si="5"/>
        <v>文媛</v>
      </c>
      <c r="AJ97" s="25"/>
    </row>
    <row r="98" spans="1:36" ht="18" customHeight="1">
      <c r="A98" s="18" t="s">
        <v>58</v>
      </c>
      <c r="B98" s="19" t="s">
        <v>161</v>
      </c>
      <c r="C98" s="20"/>
      <c r="D98" s="20"/>
      <c r="E98" s="2"/>
      <c r="F98" s="20"/>
      <c r="G98" s="2"/>
      <c r="H98" s="20"/>
      <c r="I98" s="20"/>
      <c r="J98" s="20"/>
      <c r="K98" s="20"/>
      <c r="L98" s="2"/>
      <c r="M98" s="20"/>
      <c r="N98" s="12"/>
      <c r="O98" s="18"/>
      <c r="P98" s="18"/>
      <c r="Q98" s="18"/>
      <c r="R98" s="18"/>
      <c r="S98" s="12"/>
      <c r="T98" s="18"/>
      <c r="U98" s="12"/>
      <c r="V98" s="18"/>
      <c r="W98" s="18"/>
      <c r="X98" s="20"/>
      <c r="Y98" s="20"/>
      <c r="Z98" s="2"/>
      <c r="AA98" s="20"/>
      <c r="AB98" s="3"/>
      <c r="AC98" s="20"/>
      <c r="AD98" s="20"/>
      <c r="AE98" s="20"/>
      <c r="AF98" s="20"/>
      <c r="AG98" s="21">
        <f t="shared" si="4"/>
        <v>0</v>
      </c>
      <c r="AH98" s="49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23" t="str">
        <f t="shared" si="5"/>
        <v>佩鈺</v>
      </c>
      <c r="AJ98" s="25"/>
    </row>
    <row r="99" spans="1:36" ht="18" customHeight="1">
      <c r="A99" s="18" t="s">
        <v>58</v>
      </c>
      <c r="B99" s="19" t="s">
        <v>162</v>
      </c>
      <c r="C99" s="20"/>
      <c r="D99" s="20"/>
      <c r="E99" s="2"/>
      <c r="F99" s="20"/>
      <c r="G99" s="2"/>
      <c r="H99" s="20"/>
      <c r="I99" s="20"/>
      <c r="J99" s="20"/>
      <c r="K99" s="20"/>
      <c r="L99" s="2"/>
      <c r="M99" s="20"/>
      <c r="N99" s="12"/>
      <c r="O99" s="18"/>
      <c r="P99" s="18"/>
      <c r="Q99" s="18"/>
      <c r="R99" s="18"/>
      <c r="S99" s="12"/>
      <c r="T99" s="18"/>
      <c r="U99" s="12"/>
      <c r="V99" s="18"/>
      <c r="W99" s="18"/>
      <c r="X99" s="20"/>
      <c r="Y99" s="20"/>
      <c r="Z99" s="2"/>
      <c r="AA99" s="20"/>
      <c r="AB99" s="3"/>
      <c r="AC99" s="20"/>
      <c r="AD99" s="20"/>
      <c r="AE99" s="20"/>
      <c r="AF99" s="20"/>
      <c r="AG99" s="21">
        <f t="shared" si="4"/>
        <v>0</v>
      </c>
      <c r="AH99" s="49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23" t="str">
        <f t="shared" si="5"/>
        <v>阿布</v>
      </c>
      <c r="AJ99" s="25"/>
    </row>
    <row r="100" spans="1:36" ht="18" customHeight="1">
      <c r="A100" s="18" t="s">
        <v>58</v>
      </c>
      <c r="B100" s="19" t="s">
        <v>100</v>
      </c>
      <c r="C100" s="20">
        <v>1</v>
      </c>
      <c r="D100" s="20"/>
      <c r="E100" s="2"/>
      <c r="F100" s="20">
        <v>1</v>
      </c>
      <c r="G100" s="2"/>
      <c r="H100" s="20">
        <v>1</v>
      </c>
      <c r="I100" s="20"/>
      <c r="J100" s="20"/>
      <c r="K100" s="20"/>
      <c r="L100" s="2"/>
      <c r="M100" s="20">
        <v>1</v>
      </c>
      <c r="N100" s="12"/>
      <c r="O100" s="18">
        <v>1</v>
      </c>
      <c r="P100" s="18"/>
      <c r="Q100" s="18"/>
      <c r="R100" s="18"/>
      <c r="S100" s="12"/>
      <c r="T100" s="18">
        <v>1</v>
      </c>
      <c r="U100" s="12"/>
      <c r="V100" s="18"/>
      <c r="W100" s="18"/>
      <c r="X100" s="20"/>
      <c r="Y100" s="20"/>
      <c r="Z100" s="2"/>
      <c r="AA100" s="20"/>
      <c r="AB100" s="3"/>
      <c r="AC100" s="20">
        <v>1</v>
      </c>
      <c r="AD100" s="20"/>
      <c r="AE100" s="20">
        <v>1</v>
      </c>
      <c r="AF100" s="20"/>
      <c r="AG100" s="21">
        <f t="shared" ref="AG100:AG131" si="6">COUNTA(C100:AF100)</f>
        <v>8</v>
      </c>
      <c r="AH100" s="49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23" t="str">
        <f t="shared" ref="AI100:AI129" si="7">B100</f>
        <v>餅餅</v>
      </c>
      <c r="AJ100" s="25"/>
    </row>
    <row r="101" spans="1:36" ht="18" customHeight="1">
      <c r="A101" s="26" t="s">
        <v>58</v>
      </c>
      <c r="B101" s="27" t="s">
        <v>104</v>
      </c>
      <c r="C101" s="28">
        <v>1</v>
      </c>
      <c r="D101" s="28">
        <v>1</v>
      </c>
      <c r="E101" s="2"/>
      <c r="F101" s="28">
        <v>1</v>
      </c>
      <c r="G101" s="2"/>
      <c r="H101" s="28"/>
      <c r="I101" s="28">
        <v>1</v>
      </c>
      <c r="J101" s="28">
        <v>1</v>
      </c>
      <c r="K101" s="28"/>
      <c r="L101" s="2"/>
      <c r="M101" s="28">
        <v>1</v>
      </c>
      <c r="N101" s="12"/>
      <c r="O101" s="26"/>
      <c r="P101" s="26">
        <v>1</v>
      </c>
      <c r="Q101" s="26">
        <v>1</v>
      </c>
      <c r="R101" s="26">
        <v>1</v>
      </c>
      <c r="S101" s="12"/>
      <c r="T101" s="26">
        <v>1</v>
      </c>
      <c r="U101" s="12"/>
      <c r="V101" s="26">
        <v>1</v>
      </c>
      <c r="W101" s="26">
        <v>1</v>
      </c>
      <c r="X101" s="28">
        <v>1</v>
      </c>
      <c r="Y101" s="28"/>
      <c r="Z101" s="2"/>
      <c r="AA101" s="28">
        <v>1</v>
      </c>
      <c r="AB101" s="3"/>
      <c r="AC101" s="28"/>
      <c r="AD101" s="28">
        <v>1</v>
      </c>
      <c r="AE101" s="28">
        <v>1</v>
      </c>
      <c r="AF101" s="28">
        <v>1</v>
      </c>
      <c r="AG101" s="29">
        <f t="shared" si="6"/>
        <v>17</v>
      </c>
      <c r="AH101" s="50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31" t="str">
        <f t="shared" si="7"/>
        <v>卡丘</v>
      </c>
      <c r="AJ101" s="32"/>
    </row>
    <row r="102" spans="1:36" ht="18" customHeight="1">
      <c r="A102" s="26" t="s">
        <v>58</v>
      </c>
      <c r="B102" s="27" t="s">
        <v>124</v>
      </c>
      <c r="C102" s="28">
        <v>1</v>
      </c>
      <c r="D102" s="28"/>
      <c r="E102" s="2"/>
      <c r="F102" s="28">
        <v>1</v>
      </c>
      <c r="G102" s="2"/>
      <c r="H102" s="28"/>
      <c r="I102" s="28"/>
      <c r="J102" s="28">
        <v>1</v>
      </c>
      <c r="K102" s="28">
        <v>1</v>
      </c>
      <c r="L102" s="2"/>
      <c r="M102" s="28">
        <v>1</v>
      </c>
      <c r="N102" s="12"/>
      <c r="O102" s="26"/>
      <c r="P102" s="26">
        <v>1</v>
      </c>
      <c r="Q102" s="26"/>
      <c r="R102" s="26"/>
      <c r="S102" s="12"/>
      <c r="T102" s="26"/>
      <c r="U102" s="12"/>
      <c r="V102" s="26"/>
      <c r="W102" s="26"/>
      <c r="X102" s="28">
        <v>1</v>
      </c>
      <c r="Y102" s="28"/>
      <c r="Z102" s="2"/>
      <c r="AA102" s="28">
        <v>1</v>
      </c>
      <c r="AB102" s="3"/>
      <c r="AC102" s="28"/>
      <c r="AD102" s="28">
        <v>1</v>
      </c>
      <c r="AE102" s="28">
        <v>1</v>
      </c>
      <c r="AF102" s="28">
        <v>1</v>
      </c>
      <c r="AG102" s="29">
        <f t="shared" si="6"/>
        <v>11</v>
      </c>
      <c r="AH102" s="50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31" t="str">
        <f t="shared" si="7"/>
        <v>玉蕙</v>
      </c>
      <c r="AJ102" s="32"/>
    </row>
    <row r="103" spans="1:36" ht="18" customHeight="1">
      <c r="A103" s="26" t="s">
        <v>58</v>
      </c>
      <c r="B103" s="27" t="s">
        <v>125</v>
      </c>
      <c r="C103" s="28"/>
      <c r="D103" s="28"/>
      <c r="E103" s="2"/>
      <c r="F103" s="28">
        <v>1</v>
      </c>
      <c r="G103" s="2"/>
      <c r="H103" s="28"/>
      <c r="I103" s="28"/>
      <c r="J103" s="28"/>
      <c r="K103" s="28"/>
      <c r="L103" s="2"/>
      <c r="M103" s="28"/>
      <c r="N103" s="12"/>
      <c r="O103" s="26"/>
      <c r="P103" s="26"/>
      <c r="Q103" s="26"/>
      <c r="R103" s="26"/>
      <c r="S103" s="12"/>
      <c r="T103" s="26">
        <v>1</v>
      </c>
      <c r="U103" s="12"/>
      <c r="V103" s="26"/>
      <c r="W103" s="26"/>
      <c r="X103" s="28"/>
      <c r="Y103" s="28"/>
      <c r="Z103" s="2"/>
      <c r="AA103" s="28">
        <v>1</v>
      </c>
      <c r="AB103" s="3"/>
      <c r="AC103" s="28"/>
      <c r="AD103" s="28"/>
      <c r="AE103" s="28"/>
      <c r="AF103" s="28"/>
      <c r="AG103" s="29">
        <f t="shared" si="6"/>
        <v>3</v>
      </c>
      <c r="AH103" s="50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31" t="str">
        <f t="shared" si="7"/>
        <v>沛緁</v>
      </c>
      <c r="AJ103" s="32"/>
    </row>
    <row r="104" spans="1:36" ht="18" customHeight="1">
      <c r="A104" s="26" t="s">
        <v>58</v>
      </c>
      <c r="B104" s="27" t="s">
        <v>126</v>
      </c>
      <c r="C104" s="28">
        <v>1</v>
      </c>
      <c r="D104" s="28"/>
      <c r="E104" s="2"/>
      <c r="F104" s="28">
        <v>1</v>
      </c>
      <c r="G104" s="2"/>
      <c r="H104" s="28">
        <v>1</v>
      </c>
      <c r="I104" s="28"/>
      <c r="J104" s="28">
        <v>1</v>
      </c>
      <c r="K104" s="28"/>
      <c r="L104" s="2"/>
      <c r="M104" s="28">
        <v>1</v>
      </c>
      <c r="N104" s="12"/>
      <c r="O104" s="26"/>
      <c r="P104" s="26">
        <v>1</v>
      </c>
      <c r="Q104" s="26">
        <v>1</v>
      </c>
      <c r="R104" s="26"/>
      <c r="S104" s="12"/>
      <c r="T104" s="26">
        <v>1</v>
      </c>
      <c r="U104" s="12"/>
      <c r="V104" s="26">
        <v>1</v>
      </c>
      <c r="W104" s="26">
        <v>1</v>
      </c>
      <c r="X104" s="28">
        <v>1</v>
      </c>
      <c r="Y104" s="28"/>
      <c r="Z104" s="2"/>
      <c r="AA104" s="28">
        <v>1</v>
      </c>
      <c r="AB104" s="3"/>
      <c r="AC104" s="28">
        <v>1</v>
      </c>
      <c r="AD104" s="28">
        <v>1</v>
      </c>
      <c r="AE104" s="28"/>
      <c r="AF104" s="28"/>
      <c r="AG104" s="29">
        <f t="shared" si="6"/>
        <v>14</v>
      </c>
      <c r="AH104" s="50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31" t="str">
        <f t="shared" si="7"/>
        <v>妹妹</v>
      </c>
      <c r="AJ104" s="32"/>
    </row>
    <row r="105" spans="1:36" ht="18" customHeight="1">
      <c r="A105" s="26" t="s">
        <v>58</v>
      </c>
      <c r="B105" s="27" t="s">
        <v>127</v>
      </c>
      <c r="C105" s="28">
        <v>1</v>
      </c>
      <c r="D105" s="28">
        <v>1</v>
      </c>
      <c r="E105" s="2"/>
      <c r="F105" s="28">
        <v>1</v>
      </c>
      <c r="G105" s="2"/>
      <c r="H105" s="28"/>
      <c r="I105" s="28">
        <v>1</v>
      </c>
      <c r="J105" s="28">
        <v>1</v>
      </c>
      <c r="K105" s="28">
        <v>1</v>
      </c>
      <c r="L105" s="2"/>
      <c r="M105" s="28">
        <v>1</v>
      </c>
      <c r="N105" s="12"/>
      <c r="O105" s="26"/>
      <c r="P105" s="26"/>
      <c r="Q105" s="26">
        <v>1</v>
      </c>
      <c r="R105" s="26">
        <v>1</v>
      </c>
      <c r="S105" s="12"/>
      <c r="T105" s="26">
        <v>1</v>
      </c>
      <c r="U105" s="12"/>
      <c r="V105" s="26"/>
      <c r="W105" s="26">
        <v>1</v>
      </c>
      <c r="X105" s="28">
        <v>1</v>
      </c>
      <c r="Y105" s="28"/>
      <c r="Z105" s="2"/>
      <c r="AA105" s="28">
        <v>1</v>
      </c>
      <c r="AB105" s="3"/>
      <c r="AC105" s="28">
        <v>1</v>
      </c>
      <c r="AD105" s="28">
        <v>1</v>
      </c>
      <c r="AE105" s="28">
        <v>1</v>
      </c>
      <c r="AF105" s="28">
        <v>1</v>
      </c>
      <c r="AG105" s="29">
        <f t="shared" si="6"/>
        <v>17</v>
      </c>
      <c r="AH105" s="50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31" t="str">
        <f t="shared" si="7"/>
        <v>小雞</v>
      </c>
      <c r="AJ105" s="32"/>
    </row>
    <row r="106" spans="1:36" ht="18" customHeight="1">
      <c r="A106" s="26" t="s">
        <v>58</v>
      </c>
      <c r="B106" s="27" t="s">
        <v>128</v>
      </c>
      <c r="C106" s="28"/>
      <c r="D106" s="28"/>
      <c r="E106" s="2"/>
      <c r="F106" s="28"/>
      <c r="G106" s="2"/>
      <c r="H106" s="28"/>
      <c r="I106" s="28"/>
      <c r="J106" s="28"/>
      <c r="K106" s="28"/>
      <c r="L106" s="2"/>
      <c r="M106" s="28"/>
      <c r="N106" s="12"/>
      <c r="O106" s="26"/>
      <c r="P106" s="26"/>
      <c r="Q106" s="26"/>
      <c r="R106" s="26"/>
      <c r="S106" s="12"/>
      <c r="T106" s="26"/>
      <c r="U106" s="12"/>
      <c r="V106" s="26"/>
      <c r="W106" s="26"/>
      <c r="X106" s="28"/>
      <c r="Y106" s="28"/>
      <c r="Z106" s="2"/>
      <c r="AA106" s="28"/>
      <c r="AB106" s="3"/>
      <c r="AC106" s="28"/>
      <c r="AD106" s="28"/>
      <c r="AE106" s="28"/>
      <c r="AF106" s="28"/>
      <c r="AG106" s="29">
        <f t="shared" si="6"/>
        <v>0</v>
      </c>
      <c r="AH106" s="50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31" t="str">
        <f t="shared" si="7"/>
        <v>雨昕</v>
      </c>
      <c r="AJ106" s="32"/>
    </row>
    <row r="107" spans="1:36" ht="18" customHeight="1">
      <c r="A107" s="26" t="s">
        <v>58</v>
      </c>
      <c r="B107" s="27" t="s">
        <v>129</v>
      </c>
      <c r="C107" s="28">
        <v>1</v>
      </c>
      <c r="D107" s="28"/>
      <c r="E107" s="2"/>
      <c r="F107" s="28">
        <v>1</v>
      </c>
      <c r="G107" s="2"/>
      <c r="H107" s="28"/>
      <c r="I107" s="28">
        <v>1</v>
      </c>
      <c r="J107" s="28">
        <v>1</v>
      </c>
      <c r="K107" s="28"/>
      <c r="L107" s="2"/>
      <c r="M107" s="28">
        <v>1</v>
      </c>
      <c r="N107" s="12"/>
      <c r="O107" s="26"/>
      <c r="P107" s="26">
        <v>1</v>
      </c>
      <c r="Q107" s="26"/>
      <c r="R107" s="26"/>
      <c r="S107" s="12"/>
      <c r="T107" s="26"/>
      <c r="U107" s="12"/>
      <c r="V107" s="26">
        <v>1</v>
      </c>
      <c r="W107" s="26">
        <v>1</v>
      </c>
      <c r="X107" s="28">
        <v>1</v>
      </c>
      <c r="Y107" s="28"/>
      <c r="Z107" s="2"/>
      <c r="AA107" s="28">
        <v>1</v>
      </c>
      <c r="AB107" s="3"/>
      <c r="AC107" s="28"/>
      <c r="AD107" s="28">
        <v>1</v>
      </c>
      <c r="AE107" s="28"/>
      <c r="AF107" s="28"/>
      <c r="AG107" s="29">
        <f t="shared" si="6"/>
        <v>11</v>
      </c>
      <c r="AH107" s="50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31" t="str">
        <f t="shared" si="7"/>
        <v>矮矮</v>
      </c>
      <c r="AJ107" s="32"/>
    </row>
    <row r="108" spans="1:36" ht="18" customHeight="1">
      <c r="A108" s="26" t="s">
        <v>58</v>
      </c>
      <c r="B108" s="27" t="s">
        <v>130</v>
      </c>
      <c r="C108" s="28"/>
      <c r="D108" s="28">
        <v>1</v>
      </c>
      <c r="E108" s="2"/>
      <c r="F108" s="28"/>
      <c r="G108" s="2"/>
      <c r="H108" s="28"/>
      <c r="I108" s="28"/>
      <c r="J108" s="28"/>
      <c r="K108" s="28"/>
      <c r="L108" s="2"/>
      <c r="M108" s="28"/>
      <c r="N108" s="12"/>
      <c r="O108" s="26"/>
      <c r="P108" s="26"/>
      <c r="Q108" s="26">
        <v>1</v>
      </c>
      <c r="R108" s="26">
        <v>1</v>
      </c>
      <c r="S108" s="12"/>
      <c r="T108" s="26">
        <v>1</v>
      </c>
      <c r="U108" s="12"/>
      <c r="V108" s="26"/>
      <c r="W108" s="26"/>
      <c r="X108" s="28">
        <v>1</v>
      </c>
      <c r="Y108" s="28"/>
      <c r="Z108" s="2"/>
      <c r="AA108" s="28">
        <v>1</v>
      </c>
      <c r="AB108" s="3"/>
      <c r="AC108" s="28"/>
      <c r="AD108" s="28"/>
      <c r="AE108" s="28"/>
      <c r="AF108" s="28">
        <v>1</v>
      </c>
      <c r="AG108" s="29">
        <f t="shared" si="6"/>
        <v>7</v>
      </c>
      <c r="AH108" s="50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31" t="str">
        <f t="shared" si="7"/>
        <v>猛女</v>
      </c>
      <c r="AJ108" s="32"/>
    </row>
    <row r="109" spans="1:36" ht="18" customHeight="1">
      <c r="A109" s="26" t="s">
        <v>58</v>
      </c>
      <c r="B109" s="27" t="s">
        <v>131</v>
      </c>
      <c r="C109" s="28"/>
      <c r="D109" s="28"/>
      <c r="E109" s="2"/>
      <c r="F109" s="28"/>
      <c r="G109" s="2"/>
      <c r="H109" s="28"/>
      <c r="I109" s="28"/>
      <c r="J109" s="28"/>
      <c r="K109" s="28"/>
      <c r="L109" s="2"/>
      <c r="M109" s="28"/>
      <c r="N109" s="12"/>
      <c r="O109" s="26"/>
      <c r="P109" s="26"/>
      <c r="Q109" s="26"/>
      <c r="R109" s="26"/>
      <c r="S109" s="12"/>
      <c r="T109" s="26"/>
      <c r="U109" s="12"/>
      <c r="V109" s="26"/>
      <c r="W109" s="26"/>
      <c r="X109" s="28"/>
      <c r="Y109" s="28"/>
      <c r="Z109" s="2"/>
      <c r="AA109" s="28"/>
      <c r="AB109" s="3"/>
      <c r="AC109" s="28"/>
      <c r="AD109" s="28"/>
      <c r="AE109" s="28"/>
      <c r="AF109" s="28"/>
      <c r="AG109" s="29">
        <f t="shared" si="6"/>
        <v>0</v>
      </c>
      <c r="AH109" s="50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31" t="str">
        <f t="shared" si="7"/>
        <v>欣容</v>
      </c>
      <c r="AJ109" s="32"/>
    </row>
    <row r="110" spans="1:36" ht="18" customHeight="1">
      <c r="A110" s="26" t="s">
        <v>58</v>
      </c>
      <c r="B110" s="27" t="s">
        <v>132</v>
      </c>
      <c r="C110" s="28"/>
      <c r="D110" s="28"/>
      <c r="E110" s="2"/>
      <c r="F110" s="28"/>
      <c r="G110" s="2"/>
      <c r="H110" s="28"/>
      <c r="I110" s="28"/>
      <c r="J110" s="28"/>
      <c r="K110" s="28"/>
      <c r="L110" s="2"/>
      <c r="M110" s="28"/>
      <c r="N110" s="12"/>
      <c r="O110" s="26"/>
      <c r="P110" s="26"/>
      <c r="Q110" s="26"/>
      <c r="R110" s="26"/>
      <c r="S110" s="12"/>
      <c r="T110" s="26"/>
      <c r="U110" s="12"/>
      <c r="V110" s="26"/>
      <c r="W110" s="26"/>
      <c r="X110" s="28"/>
      <c r="Y110" s="28"/>
      <c r="Z110" s="2"/>
      <c r="AA110" s="28"/>
      <c r="AB110" s="3"/>
      <c r="AC110" s="28"/>
      <c r="AD110" s="28"/>
      <c r="AE110" s="28"/>
      <c r="AF110" s="28"/>
      <c r="AG110" s="29">
        <f t="shared" si="6"/>
        <v>0</v>
      </c>
      <c r="AH110" s="50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31" t="str">
        <f t="shared" si="7"/>
        <v>萁萁</v>
      </c>
      <c r="AJ110" s="32"/>
    </row>
    <row r="111" spans="1:36" ht="18" customHeight="1">
      <c r="A111" s="26" t="s">
        <v>58</v>
      </c>
      <c r="B111" s="27" t="s">
        <v>133</v>
      </c>
      <c r="C111" s="28"/>
      <c r="D111" s="28"/>
      <c r="E111" s="2"/>
      <c r="F111" s="28"/>
      <c r="G111" s="2"/>
      <c r="H111" s="28">
        <v>1</v>
      </c>
      <c r="I111" s="28"/>
      <c r="J111" s="28"/>
      <c r="K111" s="28"/>
      <c r="L111" s="2"/>
      <c r="M111" s="28"/>
      <c r="N111" s="12"/>
      <c r="O111" s="26"/>
      <c r="P111" s="26"/>
      <c r="Q111" s="26"/>
      <c r="R111" s="26"/>
      <c r="S111" s="12"/>
      <c r="T111" s="26"/>
      <c r="U111" s="12"/>
      <c r="V111" s="26"/>
      <c r="W111" s="26"/>
      <c r="X111" s="28"/>
      <c r="Y111" s="28"/>
      <c r="Z111" s="2"/>
      <c r="AA111" s="28"/>
      <c r="AB111" s="3"/>
      <c r="AC111" s="28"/>
      <c r="AD111" s="28"/>
      <c r="AE111" s="28"/>
      <c r="AF111" s="28"/>
      <c r="AG111" s="29">
        <f t="shared" si="6"/>
        <v>1</v>
      </c>
      <c r="AH111" s="50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31" t="str">
        <f t="shared" si="7"/>
        <v>萱</v>
      </c>
      <c r="AJ111" s="32"/>
    </row>
    <row r="112" spans="1:36" ht="18" customHeight="1">
      <c r="A112" s="26" t="s">
        <v>58</v>
      </c>
      <c r="B112" s="27" t="s">
        <v>134</v>
      </c>
      <c r="C112" s="28"/>
      <c r="D112" s="28"/>
      <c r="E112" s="2"/>
      <c r="F112" s="28"/>
      <c r="G112" s="2"/>
      <c r="H112" s="28"/>
      <c r="I112" s="28"/>
      <c r="J112" s="28"/>
      <c r="K112" s="28"/>
      <c r="L112" s="2"/>
      <c r="M112" s="28"/>
      <c r="N112" s="12"/>
      <c r="O112" s="26"/>
      <c r="P112" s="26"/>
      <c r="Q112" s="26"/>
      <c r="R112" s="26"/>
      <c r="S112" s="12"/>
      <c r="T112" s="26"/>
      <c r="U112" s="12"/>
      <c r="V112" s="26"/>
      <c r="W112" s="26"/>
      <c r="X112" s="28"/>
      <c r="Y112" s="28"/>
      <c r="Z112" s="2"/>
      <c r="AA112" s="28"/>
      <c r="AB112" s="3"/>
      <c r="AC112" s="28"/>
      <c r="AD112" s="28"/>
      <c r="AE112" s="28"/>
      <c r="AF112" s="28"/>
      <c r="AG112" s="29">
        <f t="shared" si="6"/>
        <v>0</v>
      </c>
      <c r="AH112" s="50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31" t="str">
        <f t="shared" si="7"/>
        <v>Mei</v>
      </c>
      <c r="AJ112" s="32"/>
    </row>
    <row r="113" spans="1:36" ht="18" customHeight="1">
      <c r="A113" s="26" t="s">
        <v>58</v>
      </c>
      <c r="B113" s="27" t="s">
        <v>135</v>
      </c>
      <c r="C113" s="28"/>
      <c r="D113" s="28"/>
      <c r="E113" s="2"/>
      <c r="F113" s="28"/>
      <c r="G113" s="2"/>
      <c r="H113" s="28"/>
      <c r="I113" s="28"/>
      <c r="J113" s="28"/>
      <c r="K113" s="28"/>
      <c r="L113" s="2"/>
      <c r="M113" s="28"/>
      <c r="N113" s="12"/>
      <c r="O113" s="26"/>
      <c r="P113" s="26"/>
      <c r="Q113" s="26"/>
      <c r="R113" s="26"/>
      <c r="S113" s="12"/>
      <c r="T113" s="26"/>
      <c r="U113" s="12"/>
      <c r="V113" s="26"/>
      <c r="W113" s="26"/>
      <c r="X113" s="28"/>
      <c r="Y113" s="28"/>
      <c r="Z113" s="2"/>
      <c r="AA113" s="28"/>
      <c r="AB113" s="3"/>
      <c r="AC113" s="28"/>
      <c r="AD113" s="28"/>
      <c r="AE113" s="28"/>
      <c r="AF113" s="28"/>
      <c r="AG113" s="29">
        <f t="shared" si="6"/>
        <v>0</v>
      </c>
      <c r="AH113" s="50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31" t="str">
        <f t="shared" si="7"/>
        <v>屁屁</v>
      </c>
      <c r="AJ113" s="32"/>
    </row>
    <row r="114" spans="1:36" ht="18" customHeight="1">
      <c r="A114" s="26" t="s">
        <v>58</v>
      </c>
      <c r="B114" s="27" t="s">
        <v>136</v>
      </c>
      <c r="C114" s="28"/>
      <c r="D114" s="28"/>
      <c r="E114" s="2"/>
      <c r="F114" s="28"/>
      <c r="G114" s="2"/>
      <c r="H114" s="28"/>
      <c r="I114" s="28"/>
      <c r="J114" s="28"/>
      <c r="K114" s="28"/>
      <c r="L114" s="2"/>
      <c r="M114" s="28"/>
      <c r="N114" s="12"/>
      <c r="O114" s="26"/>
      <c r="P114" s="26"/>
      <c r="Q114" s="26"/>
      <c r="R114" s="26"/>
      <c r="S114" s="12"/>
      <c r="T114" s="26"/>
      <c r="U114" s="12"/>
      <c r="V114" s="26"/>
      <c r="W114" s="26"/>
      <c r="X114" s="28"/>
      <c r="Y114" s="28"/>
      <c r="Z114" s="2"/>
      <c r="AA114" s="28"/>
      <c r="AB114" s="3"/>
      <c r="AC114" s="28"/>
      <c r="AD114" s="28"/>
      <c r="AE114" s="28"/>
      <c r="AF114" s="28"/>
      <c r="AG114" s="29">
        <f t="shared" si="6"/>
        <v>0</v>
      </c>
      <c r="AH114" s="50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31" t="str">
        <f t="shared" si="7"/>
        <v>泡泡</v>
      </c>
      <c r="AJ114" s="32"/>
    </row>
    <row r="115" spans="1:36" ht="18" customHeight="1">
      <c r="A115" s="26" t="s">
        <v>58</v>
      </c>
      <c r="B115" s="27" t="s">
        <v>137</v>
      </c>
      <c r="C115" s="28"/>
      <c r="D115" s="28"/>
      <c r="E115" s="2"/>
      <c r="F115" s="28"/>
      <c r="G115" s="2"/>
      <c r="H115" s="28"/>
      <c r="I115" s="28"/>
      <c r="J115" s="28"/>
      <c r="K115" s="28"/>
      <c r="L115" s="2"/>
      <c r="M115" s="28"/>
      <c r="N115" s="12"/>
      <c r="O115" s="26"/>
      <c r="P115" s="26"/>
      <c r="Q115" s="26"/>
      <c r="R115" s="26"/>
      <c r="S115" s="12"/>
      <c r="T115" s="26"/>
      <c r="U115" s="12"/>
      <c r="V115" s="26"/>
      <c r="W115" s="26"/>
      <c r="X115" s="28"/>
      <c r="Y115" s="28"/>
      <c r="Z115" s="2"/>
      <c r="AA115" s="28"/>
      <c r="AB115" s="3"/>
      <c r="AC115" s="28"/>
      <c r="AD115" s="28"/>
      <c r="AE115" s="28"/>
      <c r="AF115" s="28"/>
      <c r="AG115" s="29">
        <f t="shared" si="6"/>
        <v>0</v>
      </c>
      <c r="AH115" s="50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31" t="str">
        <f t="shared" si="7"/>
        <v>姚</v>
      </c>
      <c r="AJ115" s="32"/>
    </row>
    <row r="116" spans="1:36" ht="18" customHeight="1">
      <c r="A116" s="26" t="s">
        <v>58</v>
      </c>
      <c r="B116" s="27" t="s">
        <v>138</v>
      </c>
      <c r="C116" s="28"/>
      <c r="D116" s="28"/>
      <c r="E116" s="2"/>
      <c r="F116" s="28"/>
      <c r="G116" s="2"/>
      <c r="H116" s="28"/>
      <c r="I116" s="28"/>
      <c r="J116" s="28"/>
      <c r="K116" s="28"/>
      <c r="L116" s="2"/>
      <c r="M116" s="28"/>
      <c r="N116" s="12"/>
      <c r="O116" s="26"/>
      <c r="P116" s="26"/>
      <c r="Q116" s="26"/>
      <c r="R116" s="26"/>
      <c r="S116" s="12"/>
      <c r="T116" s="26"/>
      <c r="U116" s="12"/>
      <c r="V116" s="26"/>
      <c r="W116" s="26"/>
      <c r="X116" s="28"/>
      <c r="Y116" s="28"/>
      <c r="Z116" s="2"/>
      <c r="AA116" s="28"/>
      <c r="AB116" s="3"/>
      <c r="AC116" s="28"/>
      <c r="AD116" s="28"/>
      <c r="AE116" s="28"/>
      <c r="AF116" s="28"/>
      <c r="AG116" s="29">
        <f t="shared" si="6"/>
        <v>0</v>
      </c>
      <c r="AH116" s="50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31" t="str">
        <f t="shared" si="7"/>
        <v>奜茜</v>
      </c>
      <c r="AJ116" s="32"/>
    </row>
    <row r="117" spans="1:36" ht="18" customHeight="1">
      <c r="A117" s="35" t="s">
        <v>58</v>
      </c>
      <c r="B117" s="36" t="s">
        <v>121</v>
      </c>
      <c r="C117" s="37">
        <v>1</v>
      </c>
      <c r="D117" s="37"/>
      <c r="E117" s="2"/>
      <c r="F117" s="37">
        <v>1</v>
      </c>
      <c r="G117" s="2"/>
      <c r="H117" s="37">
        <v>1</v>
      </c>
      <c r="I117" s="37">
        <v>1</v>
      </c>
      <c r="J117" s="37">
        <v>1</v>
      </c>
      <c r="K117" s="37"/>
      <c r="L117" s="2"/>
      <c r="M117" s="37">
        <v>1</v>
      </c>
      <c r="N117" s="12"/>
      <c r="O117" s="35"/>
      <c r="P117" s="35">
        <v>1</v>
      </c>
      <c r="Q117" s="35">
        <v>1</v>
      </c>
      <c r="R117" s="35"/>
      <c r="S117" s="12"/>
      <c r="T117" s="35">
        <v>1</v>
      </c>
      <c r="U117" s="12"/>
      <c r="V117" s="35">
        <v>1</v>
      </c>
      <c r="W117" s="35">
        <v>1</v>
      </c>
      <c r="X117" s="37">
        <v>1</v>
      </c>
      <c r="Y117" s="37"/>
      <c r="Z117" s="2"/>
      <c r="AA117" s="37">
        <v>1</v>
      </c>
      <c r="AB117" s="3"/>
      <c r="AC117" s="37">
        <v>1</v>
      </c>
      <c r="AD117" s="37">
        <v>1</v>
      </c>
      <c r="AE117" s="37">
        <v>1</v>
      </c>
      <c r="AF117" s="37"/>
      <c r="AG117" s="38">
        <f t="shared" si="6"/>
        <v>16</v>
      </c>
      <c r="AH117" s="39">
        <v>1000</v>
      </c>
      <c r="AI117" s="40" t="str">
        <f t="shared" si="7"/>
        <v>冰沙</v>
      </c>
      <c r="AJ117" s="41"/>
    </row>
    <row r="118" spans="1:36" ht="18" customHeight="1">
      <c r="A118" s="35" t="s">
        <v>58</v>
      </c>
      <c r="B118" s="36" t="s">
        <v>139</v>
      </c>
      <c r="C118" s="37">
        <v>1</v>
      </c>
      <c r="D118" s="37">
        <v>1</v>
      </c>
      <c r="E118" s="2"/>
      <c r="F118" s="37">
        <v>1</v>
      </c>
      <c r="G118" s="2"/>
      <c r="H118" s="37"/>
      <c r="I118" s="37"/>
      <c r="J118" s="37">
        <v>1</v>
      </c>
      <c r="K118" s="37"/>
      <c r="L118" s="2"/>
      <c r="M118" s="37">
        <v>1</v>
      </c>
      <c r="N118" s="12"/>
      <c r="O118" s="35"/>
      <c r="P118" s="35">
        <v>1</v>
      </c>
      <c r="Q118" s="35">
        <v>1</v>
      </c>
      <c r="R118" s="35">
        <v>1</v>
      </c>
      <c r="S118" s="12"/>
      <c r="T118" s="35">
        <v>1</v>
      </c>
      <c r="U118" s="12"/>
      <c r="V118" s="35"/>
      <c r="W118" s="35">
        <v>1</v>
      </c>
      <c r="X118" s="37">
        <v>1</v>
      </c>
      <c r="Y118" s="37"/>
      <c r="Z118" s="2"/>
      <c r="AA118" s="37">
        <v>1</v>
      </c>
      <c r="AB118" s="3"/>
      <c r="AC118" s="37"/>
      <c r="AD118" s="37">
        <v>1</v>
      </c>
      <c r="AE118" s="37">
        <v>1</v>
      </c>
      <c r="AF118" s="37">
        <v>1</v>
      </c>
      <c r="AG118" s="38">
        <f t="shared" si="6"/>
        <v>15</v>
      </c>
      <c r="AH118" s="39">
        <v>1000</v>
      </c>
      <c r="AI118" s="40" t="str">
        <f t="shared" si="7"/>
        <v>Tina</v>
      </c>
      <c r="AJ118" s="41"/>
    </row>
    <row r="119" spans="1:36" ht="18" customHeight="1">
      <c r="A119" s="35" t="s">
        <v>58</v>
      </c>
      <c r="B119" s="36" t="s">
        <v>113</v>
      </c>
      <c r="C119" s="37"/>
      <c r="D119" s="37"/>
      <c r="E119" s="2"/>
      <c r="F119" s="37">
        <v>1</v>
      </c>
      <c r="G119" s="2"/>
      <c r="H119" s="37"/>
      <c r="I119" s="37"/>
      <c r="J119" s="37"/>
      <c r="K119" s="37"/>
      <c r="L119" s="2"/>
      <c r="M119" s="37">
        <v>1</v>
      </c>
      <c r="N119" s="12"/>
      <c r="O119" s="35"/>
      <c r="P119" s="35"/>
      <c r="Q119" s="35"/>
      <c r="R119" s="35"/>
      <c r="S119" s="12"/>
      <c r="T119" s="35">
        <v>1</v>
      </c>
      <c r="U119" s="12"/>
      <c r="V119" s="35"/>
      <c r="W119" s="35">
        <v>1</v>
      </c>
      <c r="X119" s="37">
        <v>1</v>
      </c>
      <c r="Y119" s="37"/>
      <c r="Z119" s="2"/>
      <c r="AA119" s="37">
        <v>1</v>
      </c>
      <c r="AB119" s="3"/>
      <c r="AC119" s="37"/>
      <c r="AD119" s="37">
        <v>1</v>
      </c>
      <c r="AE119" s="37"/>
      <c r="AF119" s="37"/>
      <c r="AG119" s="38">
        <f t="shared" si="6"/>
        <v>7</v>
      </c>
      <c r="AH119" s="39">
        <v>1000</v>
      </c>
      <c r="AI119" s="40" t="str">
        <f t="shared" si="7"/>
        <v>容容</v>
      </c>
      <c r="AJ119" s="41"/>
    </row>
    <row r="120" spans="1:36" ht="18" customHeight="1">
      <c r="A120" s="35" t="s">
        <v>58</v>
      </c>
      <c r="B120" s="36" t="s">
        <v>117</v>
      </c>
      <c r="C120" s="37">
        <v>1</v>
      </c>
      <c r="D120" s="37">
        <v>1</v>
      </c>
      <c r="E120" s="2"/>
      <c r="F120" s="37">
        <v>1</v>
      </c>
      <c r="G120" s="2"/>
      <c r="H120" s="37"/>
      <c r="I120" s="37">
        <v>1</v>
      </c>
      <c r="J120" s="37">
        <v>1</v>
      </c>
      <c r="K120" s="37"/>
      <c r="L120" s="2"/>
      <c r="M120" s="37">
        <v>1</v>
      </c>
      <c r="N120" s="12"/>
      <c r="O120" s="35"/>
      <c r="P120" s="35">
        <v>1</v>
      </c>
      <c r="Q120" s="35">
        <v>1</v>
      </c>
      <c r="R120" s="35">
        <v>1</v>
      </c>
      <c r="S120" s="12"/>
      <c r="T120" s="35">
        <v>1</v>
      </c>
      <c r="U120" s="12"/>
      <c r="V120" s="35"/>
      <c r="W120" s="35">
        <v>1</v>
      </c>
      <c r="X120" s="37">
        <v>1</v>
      </c>
      <c r="Y120" s="37"/>
      <c r="Z120" s="2"/>
      <c r="AA120" s="37">
        <v>1</v>
      </c>
      <c r="AB120" s="3"/>
      <c r="AC120" s="37"/>
      <c r="AD120" s="37">
        <v>1</v>
      </c>
      <c r="AE120" s="37">
        <v>1</v>
      </c>
      <c r="AF120" s="37">
        <v>1</v>
      </c>
      <c r="AG120" s="38">
        <f t="shared" si="6"/>
        <v>16</v>
      </c>
      <c r="AH120" s="39">
        <v>1000</v>
      </c>
      <c r="AI120" s="40" t="str">
        <f t="shared" si="7"/>
        <v>依凡</v>
      </c>
      <c r="AJ120" s="41"/>
    </row>
    <row r="121" spans="1:36" ht="18" customHeight="1">
      <c r="A121" s="35" t="s">
        <v>58</v>
      </c>
      <c r="B121" s="36" t="s">
        <v>122</v>
      </c>
      <c r="C121" s="37">
        <v>1</v>
      </c>
      <c r="D121" s="37"/>
      <c r="E121" s="2"/>
      <c r="F121" s="37">
        <v>1</v>
      </c>
      <c r="G121" s="2"/>
      <c r="H121" s="37">
        <v>1</v>
      </c>
      <c r="I121" s="37">
        <v>1</v>
      </c>
      <c r="J121" s="37">
        <v>1</v>
      </c>
      <c r="K121" s="37"/>
      <c r="L121" s="2"/>
      <c r="M121" s="37">
        <v>1</v>
      </c>
      <c r="N121" s="12"/>
      <c r="O121" s="35">
        <v>1</v>
      </c>
      <c r="P121" s="35">
        <v>1</v>
      </c>
      <c r="Q121" s="35">
        <v>1</v>
      </c>
      <c r="R121" s="35"/>
      <c r="S121" s="12"/>
      <c r="T121" s="35">
        <v>1</v>
      </c>
      <c r="U121" s="12"/>
      <c r="V121" s="35"/>
      <c r="W121" s="35">
        <v>1</v>
      </c>
      <c r="X121" s="37">
        <v>1</v>
      </c>
      <c r="Y121" s="37"/>
      <c r="Z121" s="2"/>
      <c r="AA121" s="37">
        <v>1</v>
      </c>
      <c r="AB121" s="3"/>
      <c r="AC121" s="37"/>
      <c r="AD121" s="37">
        <v>1</v>
      </c>
      <c r="AE121" s="37">
        <v>1</v>
      </c>
      <c r="AF121" s="37">
        <v>1</v>
      </c>
      <c r="AG121" s="38">
        <f t="shared" si="6"/>
        <v>16</v>
      </c>
      <c r="AH121" s="39">
        <v>1000</v>
      </c>
      <c r="AI121" s="40" t="str">
        <f t="shared" si="7"/>
        <v>幸恩</v>
      </c>
      <c r="AJ121" s="41"/>
    </row>
    <row r="122" spans="1:36" ht="18" customHeight="1">
      <c r="A122" s="35" t="s">
        <v>58</v>
      </c>
      <c r="B122" s="36" t="s">
        <v>140</v>
      </c>
      <c r="C122" s="37"/>
      <c r="D122" s="37"/>
      <c r="E122" s="2"/>
      <c r="F122" s="37"/>
      <c r="G122" s="2"/>
      <c r="H122" s="37"/>
      <c r="I122" s="37"/>
      <c r="J122" s="37"/>
      <c r="K122" s="37"/>
      <c r="L122" s="2"/>
      <c r="M122" s="37">
        <v>1</v>
      </c>
      <c r="N122" s="12"/>
      <c r="O122" s="35"/>
      <c r="P122" s="35">
        <v>1</v>
      </c>
      <c r="Q122" s="35"/>
      <c r="R122" s="35"/>
      <c r="S122" s="12"/>
      <c r="T122" s="35">
        <v>1</v>
      </c>
      <c r="U122" s="12"/>
      <c r="V122" s="35"/>
      <c r="W122" s="35"/>
      <c r="X122" s="37"/>
      <c r="Y122" s="37"/>
      <c r="Z122" s="2"/>
      <c r="AA122" s="37">
        <v>1</v>
      </c>
      <c r="AB122" s="3"/>
      <c r="AC122" s="37"/>
      <c r="AD122" s="37">
        <v>1</v>
      </c>
      <c r="AE122" s="37"/>
      <c r="AF122" s="37"/>
      <c r="AG122" s="38">
        <f t="shared" si="6"/>
        <v>5</v>
      </c>
      <c r="AH122" s="39">
        <v>1000</v>
      </c>
      <c r="AI122" s="40" t="str">
        <f t="shared" si="7"/>
        <v>芷琦</v>
      </c>
      <c r="AJ122" s="41"/>
    </row>
    <row r="123" spans="1:36" ht="18" customHeight="1">
      <c r="A123" s="35" t="s">
        <v>58</v>
      </c>
      <c r="B123" s="36" t="s">
        <v>106</v>
      </c>
      <c r="C123" s="37">
        <v>1</v>
      </c>
      <c r="D123" s="37"/>
      <c r="E123" s="2"/>
      <c r="F123" s="37">
        <v>1</v>
      </c>
      <c r="G123" s="2"/>
      <c r="H123" s="37">
        <v>1</v>
      </c>
      <c r="I123" s="37"/>
      <c r="J123" s="37"/>
      <c r="K123" s="37"/>
      <c r="L123" s="2"/>
      <c r="M123" s="37">
        <v>1</v>
      </c>
      <c r="N123" s="12"/>
      <c r="O123" s="35">
        <v>1</v>
      </c>
      <c r="P123" s="35">
        <v>1</v>
      </c>
      <c r="Q123" s="35"/>
      <c r="R123" s="35"/>
      <c r="S123" s="12"/>
      <c r="T123" s="35"/>
      <c r="U123" s="12"/>
      <c r="V123" s="35">
        <v>1</v>
      </c>
      <c r="W123" s="35">
        <v>1</v>
      </c>
      <c r="X123" s="37">
        <v>1</v>
      </c>
      <c r="Y123" s="37"/>
      <c r="Z123" s="2"/>
      <c r="AA123" s="37">
        <v>1</v>
      </c>
      <c r="AB123" s="3"/>
      <c r="AC123" s="37"/>
      <c r="AD123" s="37">
        <v>1</v>
      </c>
      <c r="AE123" s="37"/>
      <c r="AF123" s="37"/>
      <c r="AG123" s="38">
        <f t="shared" si="6"/>
        <v>11</v>
      </c>
      <c r="AH123" s="39">
        <v>1000</v>
      </c>
      <c r="AI123" s="40" t="str">
        <f t="shared" si="7"/>
        <v>Nina</v>
      </c>
      <c r="AJ123" s="41"/>
    </row>
    <row r="124" spans="1:36" ht="18" customHeight="1">
      <c r="A124" s="35" t="s">
        <v>58</v>
      </c>
      <c r="B124" s="36" t="s">
        <v>34</v>
      </c>
      <c r="C124" s="37">
        <v>1</v>
      </c>
      <c r="D124" s="37"/>
      <c r="E124" s="2"/>
      <c r="F124" s="37">
        <v>1</v>
      </c>
      <c r="G124" s="2"/>
      <c r="H124" s="37">
        <v>1</v>
      </c>
      <c r="I124" s="37"/>
      <c r="J124" s="37"/>
      <c r="K124" s="37"/>
      <c r="L124" s="2"/>
      <c r="M124" s="37">
        <v>1</v>
      </c>
      <c r="N124" s="12"/>
      <c r="O124" s="35"/>
      <c r="P124" s="35"/>
      <c r="Q124" s="35"/>
      <c r="R124" s="35"/>
      <c r="S124" s="12"/>
      <c r="T124" s="35">
        <v>1</v>
      </c>
      <c r="U124" s="12"/>
      <c r="V124" s="35"/>
      <c r="W124" s="35"/>
      <c r="X124" s="37"/>
      <c r="Y124" s="37"/>
      <c r="Z124" s="2"/>
      <c r="AA124" s="37"/>
      <c r="AB124" s="3"/>
      <c r="AC124" s="37">
        <v>1</v>
      </c>
      <c r="AD124" s="37"/>
      <c r="AE124" s="37">
        <v>1</v>
      </c>
      <c r="AF124" s="37"/>
      <c r="AG124" s="38">
        <f t="shared" si="6"/>
        <v>7</v>
      </c>
      <c r="AH124" s="39">
        <v>1000</v>
      </c>
      <c r="AI124" s="40" t="str">
        <f t="shared" si="7"/>
        <v>雲翔</v>
      </c>
      <c r="AJ124" s="41"/>
    </row>
    <row r="125" spans="1:36" ht="18" customHeight="1">
      <c r="A125" s="35" t="s">
        <v>58</v>
      </c>
      <c r="B125" s="36" t="s">
        <v>88</v>
      </c>
      <c r="C125" s="37">
        <v>1</v>
      </c>
      <c r="D125" s="37"/>
      <c r="E125" s="2"/>
      <c r="F125" s="37">
        <v>1</v>
      </c>
      <c r="G125" s="2"/>
      <c r="H125" s="37">
        <v>1</v>
      </c>
      <c r="I125" s="37"/>
      <c r="J125" s="37"/>
      <c r="K125" s="37"/>
      <c r="L125" s="2"/>
      <c r="M125" s="37"/>
      <c r="N125" s="12"/>
      <c r="O125" s="35">
        <v>1</v>
      </c>
      <c r="P125" s="35"/>
      <c r="Q125" s="35"/>
      <c r="R125" s="35"/>
      <c r="S125" s="12"/>
      <c r="T125" s="35">
        <v>1</v>
      </c>
      <c r="U125" s="12"/>
      <c r="V125" s="35"/>
      <c r="W125" s="35"/>
      <c r="X125" s="37"/>
      <c r="Y125" s="37"/>
      <c r="Z125" s="2"/>
      <c r="AA125" s="37"/>
      <c r="AB125" s="3"/>
      <c r="AC125" s="37">
        <v>1</v>
      </c>
      <c r="AD125" s="37"/>
      <c r="AE125" s="37">
        <v>1</v>
      </c>
      <c r="AF125" s="37"/>
      <c r="AG125" s="38">
        <f t="shared" si="6"/>
        <v>7</v>
      </c>
      <c r="AH125" s="39">
        <v>1000</v>
      </c>
      <c r="AI125" s="40" t="str">
        <f t="shared" si="7"/>
        <v>皓皓</v>
      </c>
      <c r="AJ125" s="41"/>
    </row>
    <row r="126" spans="1:36" ht="18" customHeight="1">
      <c r="A126" s="35" t="s">
        <v>58</v>
      </c>
      <c r="B126" s="36" t="s">
        <v>35</v>
      </c>
      <c r="C126" s="37"/>
      <c r="D126" s="37"/>
      <c r="E126" s="2"/>
      <c r="F126" s="37">
        <v>1</v>
      </c>
      <c r="G126" s="2"/>
      <c r="H126" s="37"/>
      <c r="I126" s="37"/>
      <c r="J126" s="37"/>
      <c r="K126" s="37"/>
      <c r="L126" s="2"/>
      <c r="M126" s="37">
        <v>1</v>
      </c>
      <c r="N126" s="12"/>
      <c r="O126" s="35">
        <v>1</v>
      </c>
      <c r="P126" s="35"/>
      <c r="Q126" s="35"/>
      <c r="R126" s="35"/>
      <c r="S126" s="12"/>
      <c r="T126" s="35">
        <v>1</v>
      </c>
      <c r="U126" s="12"/>
      <c r="V126" s="35"/>
      <c r="W126" s="35"/>
      <c r="X126" s="37"/>
      <c r="Y126" s="37"/>
      <c r="Z126" s="2"/>
      <c r="AA126" s="37"/>
      <c r="AB126" s="3"/>
      <c r="AC126" s="37">
        <v>1</v>
      </c>
      <c r="AD126" s="37"/>
      <c r="AE126" s="37">
        <v>1</v>
      </c>
      <c r="AF126" s="37"/>
      <c r="AG126" s="38">
        <f t="shared" si="6"/>
        <v>6</v>
      </c>
      <c r="AH126" s="39">
        <v>1000</v>
      </c>
      <c r="AI126" s="40" t="str">
        <f t="shared" si="7"/>
        <v>阿戴</v>
      </c>
      <c r="AJ126" s="41"/>
    </row>
    <row r="127" spans="1:36" ht="18" customHeight="1">
      <c r="A127" s="35" t="s">
        <v>58</v>
      </c>
      <c r="B127" s="36" t="s">
        <v>41</v>
      </c>
      <c r="C127" s="37"/>
      <c r="D127" s="37"/>
      <c r="E127" s="2"/>
      <c r="F127" s="37"/>
      <c r="G127" s="2"/>
      <c r="H127" s="37"/>
      <c r="I127" s="37"/>
      <c r="J127" s="37"/>
      <c r="K127" s="37"/>
      <c r="L127" s="2"/>
      <c r="M127" s="37"/>
      <c r="N127" s="12"/>
      <c r="O127" s="35"/>
      <c r="P127" s="35"/>
      <c r="Q127" s="35"/>
      <c r="R127" s="35"/>
      <c r="S127" s="12"/>
      <c r="T127" s="35"/>
      <c r="U127" s="12"/>
      <c r="V127" s="35"/>
      <c r="W127" s="35"/>
      <c r="X127" s="37"/>
      <c r="Y127" s="37"/>
      <c r="Z127" s="2"/>
      <c r="AA127" s="37"/>
      <c r="AB127" s="3"/>
      <c r="AC127" s="37"/>
      <c r="AD127" s="37"/>
      <c r="AE127" s="37"/>
      <c r="AF127" s="37"/>
      <c r="AG127" s="38">
        <f t="shared" si="6"/>
        <v>0</v>
      </c>
      <c r="AH127" s="39">
        <v>1000</v>
      </c>
      <c r="AI127" s="40" t="str">
        <f t="shared" si="7"/>
        <v>軟軟</v>
      </c>
      <c r="AJ127" s="41"/>
    </row>
    <row r="128" spans="1:36" ht="18" customHeight="1">
      <c r="A128" s="35" t="s">
        <v>58</v>
      </c>
      <c r="B128" s="36" t="s">
        <v>163</v>
      </c>
      <c r="C128" s="37">
        <v>1</v>
      </c>
      <c r="D128" s="37"/>
      <c r="E128" s="2"/>
      <c r="F128" s="37">
        <v>1</v>
      </c>
      <c r="G128" s="2"/>
      <c r="H128" s="37"/>
      <c r="I128" s="37"/>
      <c r="J128" s="37">
        <v>1</v>
      </c>
      <c r="K128" s="37"/>
      <c r="L128" s="2"/>
      <c r="M128" s="37">
        <v>1</v>
      </c>
      <c r="N128" s="12"/>
      <c r="O128" s="35"/>
      <c r="P128" s="35"/>
      <c r="Q128" s="35"/>
      <c r="R128" s="35"/>
      <c r="S128" s="12"/>
      <c r="T128" s="35">
        <v>1</v>
      </c>
      <c r="U128" s="12"/>
      <c r="V128" s="35">
        <v>1</v>
      </c>
      <c r="W128" s="35"/>
      <c r="X128" s="37"/>
      <c r="Y128" s="37"/>
      <c r="Z128" s="2"/>
      <c r="AA128" s="37">
        <v>1</v>
      </c>
      <c r="AB128" s="3"/>
      <c r="AC128" s="37">
        <v>1</v>
      </c>
      <c r="AD128" s="37"/>
      <c r="AE128" s="37">
        <v>1</v>
      </c>
      <c r="AF128" s="37"/>
      <c r="AG128" s="38">
        <f t="shared" si="6"/>
        <v>9</v>
      </c>
      <c r="AH128" s="39">
        <v>1000</v>
      </c>
      <c r="AI128" s="40" t="str">
        <f t="shared" si="7"/>
        <v>小個</v>
      </c>
      <c r="AJ128" s="41"/>
    </row>
    <row r="129" spans="1:36" ht="18" customHeight="1">
      <c r="A129" s="35" t="s">
        <v>58</v>
      </c>
      <c r="B129" s="36" t="s">
        <v>36</v>
      </c>
      <c r="C129" s="37"/>
      <c r="D129" s="37"/>
      <c r="E129" s="2"/>
      <c r="F129" s="37"/>
      <c r="G129" s="2"/>
      <c r="H129" s="37"/>
      <c r="I129" s="37"/>
      <c r="J129" s="37"/>
      <c r="K129" s="37">
        <v>1</v>
      </c>
      <c r="L129" s="2"/>
      <c r="M129" s="37"/>
      <c r="N129" s="12"/>
      <c r="O129" s="35"/>
      <c r="P129" s="35"/>
      <c r="Q129" s="35"/>
      <c r="R129" s="35"/>
      <c r="S129" s="12"/>
      <c r="T129" s="35"/>
      <c r="U129" s="12"/>
      <c r="V129" s="35"/>
      <c r="W129" s="35"/>
      <c r="X129" s="37"/>
      <c r="Y129" s="37"/>
      <c r="Z129" s="2"/>
      <c r="AA129" s="37"/>
      <c r="AB129" s="3"/>
      <c r="AC129" s="37"/>
      <c r="AD129" s="37"/>
      <c r="AE129" s="37"/>
      <c r="AF129" s="37">
        <v>1</v>
      </c>
      <c r="AG129" s="38">
        <f t="shared" si="6"/>
        <v>2</v>
      </c>
      <c r="AH129" s="39">
        <v>1000</v>
      </c>
      <c r="AI129" s="40" t="str">
        <f t="shared" si="7"/>
        <v>子澔</v>
      </c>
      <c r="AJ129" s="41"/>
    </row>
  </sheetData>
  <mergeCells count="5">
    <mergeCell ref="AI1:AI3"/>
    <mergeCell ref="AJ1:AJ2"/>
    <mergeCell ref="AH1:AH3"/>
    <mergeCell ref="A1:B1"/>
    <mergeCell ref="AG1:AG3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9999"/>
    <outlinePr summaryBelow="0" summaryRight="0"/>
  </sheetPr>
  <dimension ref="A1:AJ1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customWidth="1"/>
  </cols>
  <sheetData>
    <row r="1" spans="1:36" ht="18" customHeight="1">
      <c r="A1" s="279" t="s">
        <v>0</v>
      </c>
      <c r="B1" s="280"/>
      <c r="C1" s="1" t="s">
        <v>183</v>
      </c>
      <c r="D1" s="2"/>
      <c r="E1" s="1" t="s">
        <v>184</v>
      </c>
      <c r="F1" s="1" t="s">
        <v>186</v>
      </c>
      <c r="G1" s="1" t="s">
        <v>186</v>
      </c>
      <c r="H1" s="1" t="s">
        <v>182</v>
      </c>
      <c r="I1" s="2"/>
      <c r="J1" s="1" t="s">
        <v>183</v>
      </c>
      <c r="K1" s="2"/>
      <c r="L1" s="1" t="s">
        <v>184</v>
      </c>
      <c r="M1" s="1" t="s">
        <v>185</v>
      </c>
      <c r="N1" s="1" t="s">
        <v>186</v>
      </c>
      <c r="O1" s="1" t="s">
        <v>182</v>
      </c>
      <c r="P1" s="2"/>
      <c r="Q1" s="1" t="s">
        <v>183</v>
      </c>
      <c r="R1" s="2" t="s">
        <v>184</v>
      </c>
      <c r="S1" s="1" t="s">
        <v>184</v>
      </c>
      <c r="T1" s="1" t="s">
        <v>185</v>
      </c>
      <c r="U1" s="1" t="s">
        <v>186</v>
      </c>
      <c r="V1" s="1" t="s">
        <v>182</v>
      </c>
      <c r="W1" s="2"/>
      <c r="X1" s="1" t="s">
        <v>183</v>
      </c>
      <c r="Y1" s="2"/>
      <c r="Z1" s="1" t="s">
        <v>184</v>
      </c>
      <c r="AA1" s="1" t="s">
        <v>185</v>
      </c>
      <c r="AB1" s="1" t="s">
        <v>186</v>
      </c>
      <c r="AC1" s="1" t="s">
        <v>182</v>
      </c>
      <c r="AD1" s="2"/>
      <c r="AE1" s="1" t="s">
        <v>183</v>
      </c>
      <c r="AF1" s="1" t="s">
        <v>183</v>
      </c>
      <c r="AG1" s="281" t="s">
        <v>6</v>
      </c>
      <c r="AH1" s="276" t="s">
        <v>7</v>
      </c>
      <c r="AI1" s="271" t="s">
        <v>172</v>
      </c>
      <c r="AJ1" s="274" t="s">
        <v>204</v>
      </c>
    </row>
    <row r="2" spans="1:36" ht="18" customHeight="1">
      <c r="A2" s="4" t="s">
        <v>2</v>
      </c>
      <c r="B2" s="5" t="s">
        <v>3</v>
      </c>
      <c r="C2" s="7">
        <v>45231</v>
      </c>
      <c r="D2" s="6">
        <v>45232</v>
      </c>
      <c r="E2" s="7">
        <v>45233</v>
      </c>
      <c r="F2" s="7">
        <v>45234</v>
      </c>
      <c r="G2" s="7">
        <v>45235</v>
      </c>
      <c r="H2" s="7">
        <v>45236</v>
      </c>
      <c r="I2" s="6">
        <v>45237</v>
      </c>
      <c r="J2" s="7">
        <v>45238</v>
      </c>
      <c r="K2" s="6">
        <v>45239</v>
      </c>
      <c r="L2" s="7">
        <v>45240</v>
      </c>
      <c r="M2" s="7">
        <v>45241</v>
      </c>
      <c r="N2" s="7">
        <v>45242</v>
      </c>
      <c r="O2" s="7">
        <v>45243</v>
      </c>
      <c r="P2" s="6">
        <v>45244</v>
      </c>
      <c r="Q2" s="7">
        <v>45245</v>
      </c>
      <c r="R2" s="6">
        <v>45246</v>
      </c>
      <c r="S2" s="7">
        <v>45247</v>
      </c>
      <c r="T2" s="7">
        <v>45248</v>
      </c>
      <c r="U2" s="7">
        <v>45249</v>
      </c>
      <c r="V2" s="7">
        <v>45250</v>
      </c>
      <c r="W2" s="6">
        <v>45251</v>
      </c>
      <c r="X2" s="7">
        <v>45252</v>
      </c>
      <c r="Y2" s="6">
        <v>45253</v>
      </c>
      <c r="Z2" s="7">
        <v>45254</v>
      </c>
      <c r="AA2" s="7">
        <v>45255</v>
      </c>
      <c r="AB2" s="7">
        <v>45256</v>
      </c>
      <c r="AC2" s="7">
        <v>45257</v>
      </c>
      <c r="AD2" s="6">
        <v>45258</v>
      </c>
      <c r="AE2" s="7">
        <v>45259</v>
      </c>
      <c r="AF2" s="7">
        <v>45260</v>
      </c>
      <c r="AG2" s="282"/>
      <c r="AH2" s="277"/>
      <c r="AI2" s="272"/>
      <c r="AJ2" s="275"/>
    </row>
    <row r="3" spans="1:36" ht="18" customHeight="1">
      <c r="A3" s="4" t="s">
        <v>4</v>
      </c>
      <c r="B3" s="5" t="s">
        <v>5</v>
      </c>
      <c r="C3" s="1">
        <f t="shared" ref="C3:AF3" si="0">WEEKDAY(C2-1)</f>
        <v>3</v>
      </c>
      <c r="D3" s="2">
        <f t="shared" si="0"/>
        <v>4</v>
      </c>
      <c r="E3" s="1">
        <f t="shared" si="0"/>
        <v>5</v>
      </c>
      <c r="F3" s="1">
        <f t="shared" si="0"/>
        <v>6</v>
      </c>
      <c r="G3" s="1">
        <f t="shared" si="0"/>
        <v>7</v>
      </c>
      <c r="H3" s="1">
        <f t="shared" si="0"/>
        <v>1</v>
      </c>
      <c r="I3" s="2">
        <f t="shared" si="0"/>
        <v>2</v>
      </c>
      <c r="J3" s="1">
        <f t="shared" si="0"/>
        <v>3</v>
      </c>
      <c r="K3" s="2">
        <f t="shared" si="0"/>
        <v>4</v>
      </c>
      <c r="L3" s="1">
        <f t="shared" si="0"/>
        <v>5</v>
      </c>
      <c r="M3" s="1">
        <f t="shared" si="0"/>
        <v>6</v>
      </c>
      <c r="N3" s="1">
        <f t="shared" si="0"/>
        <v>7</v>
      </c>
      <c r="O3" s="1">
        <f t="shared" si="0"/>
        <v>1</v>
      </c>
      <c r="P3" s="2">
        <f t="shared" si="0"/>
        <v>2</v>
      </c>
      <c r="Q3" s="1">
        <f t="shared" si="0"/>
        <v>3</v>
      </c>
      <c r="R3" s="2">
        <f t="shared" si="0"/>
        <v>4</v>
      </c>
      <c r="S3" s="1">
        <f t="shared" si="0"/>
        <v>5</v>
      </c>
      <c r="T3" s="1">
        <f t="shared" si="0"/>
        <v>6</v>
      </c>
      <c r="U3" s="1">
        <f t="shared" si="0"/>
        <v>7</v>
      </c>
      <c r="V3" s="1">
        <f t="shared" si="0"/>
        <v>1</v>
      </c>
      <c r="W3" s="2">
        <f t="shared" si="0"/>
        <v>2</v>
      </c>
      <c r="X3" s="1">
        <f t="shared" si="0"/>
        <v>3</v>
      </c>
      <c r="Y3" s="2">
        <f t="shared" si="0"/>
        <v>4</v>
      </c>
      <c r="Z3" s="1">
        <f t="shared" si="0"/>
        <v>5</v>
      </c>
      <c r="AA3" s="1">
        <f t="shared" si="0"/>
        <v>6</v>
      </c>
      <c r="AB3" s="1">
        <f t="shared" si="0"/>
        <v>7</v>
      </c>
      <c r="AC3" s="1">
        <f t="shared" si="0"/>
        <v>1</v>
      </c>
      <c r="AD3" s="2">
        <f t="shared" si="0"/>
        <v>2</v>
      </c>
      <c r="AE3" s="1">
        <f t="shared" si="0"/>
        <v>3</v>
      </c>
      <c r="AF3" s="1">
        <f t="shared" si="0"/>
        <v>4</v>
      </c>
      <c r="AG3" s="283"/>
      <c r="AH3" s="278"/>
      <c r="AI3" s="273"/>
      <c r="AJ3" s="8" t="e">
        <f ca="1">SUM(AH4:AH132)</f>
        <v>#NAME?</v>
      </c>
    </row>
    <row r="4" spans="1:36" ht="18" customHeight="1">
      <c r="A4" s="9" t="s">
        <v>174</v>
      </c>
      <c r="B4" s="10" t="s">
        <v>10</v>
      </c>
      <c r="C4" s="11"/>
      <c r="D4" s="2"/>
      <c r="E4" s="11">
        <v>1</v>
      </c>
      <c r="F4" s="11">
        <v>1</v>
      </c>
      <c r="G4" s="11">
        <v>1</v>
      </c>
      <c r="H4" s="11"/>
      <c r="I4" s="2"/>
      <c r="J4" s="11"/>
      <c r="K4" s="2"/>
      <c r="L4" s="11">
        <v>1</v>
      </c>
      <c r="M4" s="11"/>
      <c r="N4" s="11"/>
      <c r="O4" s="11"/>
      <c r="P4" s="2"/>
      <c r="Q4" s="11"/>
      <c r="R4" s="2"/>
      <c r="S4" s="11">
        <v>1</v>
      </c>
      <c r="T4" s="11"/>
      <c r="U4" s="11"/>
      <c r="V4" s="11"/>
      <c r="W4" s="2"/>
      <c r="X4" s="11">
        <v>1</v>
      </c>
      <c r="Y4" s="2"/>
      <c r="Z4" s="11"/>
      <c r="AA4" s="11"/>
      <c r="AB4" s="11"/>
      <c r="AC4" s="11">
        <v>1</v>
      </c>
      <c r="AD4" s="2"/>
      <c r="AE4" s="11"/>
      <c r="AF4" s="11"/>
      <c r="AG4" s="13">
        <f t="shared" ref="AG4:AG35" si="1">COUNTA(C4:AF4)</f>
        <v>7</v>
      </c>
      <c r="AH4" s="14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15" t="str">
        <f t="shared" ref="AI4:AI35" si="2">B4</f>
        <v>阿發</v>
      </c>
      <c r="AJ4" s="43"/>
    </row>
    <row r="5" spans="1:36" ht="18" customHeight="1">
      <c r="A5" s="9" t="s">
        <v>174</v>
      </c>
      <c r="B5" s="10" t="s">
        <v>13</v>
      </c>
      <c r="C5" s="11">
        <v>1</v>
      </c>
      <c r="D5" s="2"/>
      <c r="E5" s="11">
        <v>1</v>
      </c>
      <c r="F5" s="11"/>
      <c r="G5" s="11">
        <v>1</v>
      </c>
      <c r="H5" s="11">
        <v>1</v>
      </c>
      <c r="I5" s="2"/>
      <c r="J5" s="11">
        <v>1</v>
      </c>
      <c r="K5" s="2"/>
      <c r="L5" s="11">
        <v>1</v>
      </c>
      <c r="M5" s="11">
        <v>1</v>
      </c>
      <c r="N5" s="11">
        <v>1</v>
      </c>
      <c r="O5" s="11">
        <v>1</v>
      </c>
      <c r="P5" s="2"/>
      <c r="Q5" s="11">
        <v>1</v>
      </c>
      <c r="R5" s="2">
        <v>1</v>
      </c>
      <c r="S5" s="11">
        <v>1</v>
      </c>
      <c r="T5" s="11">
        <v>1</v>
      </c>
      <c r="U5" s="11">
        <v>1</v>
      </c>
      <c r="V5" s="11">
        <v>1</v>
      </c>
      <c r="W5" s="2"/>
      <c r="X5" s="11">
        <v>1</v>
      </c>
      <c r="Y5" s="2"/>
      <c r="Z5" s="11">
        <v>1</v>
      </c>
      <c r="AA5" s="11">
        <v>1</v>
      </c>
      <c r="AB5" s="11">
        <v>1</v>
      </c>
      <c r="AC5" s="11">
        <v>1</v>
      </c>
      <c r="AD5" s="2"/>
      <c r="AE5" s="11">
        <v>1</v>
      </c>
      <c r="AF5" s="11">
        <v>1</v>
      </c>
      <c r="AG5" s="13">
        <f t="shared" si="1"/>
        <v>22</v>
      </c>
      <c r="AH5" s="14" t="e">
        <f ca="1">IF(A5="O", (VALUE(_xludf.IFS(AG5=0,"0",AG5=1,"150",AG5=2,"300",AG5=3,"450",AG5=4,"600",AG5=5,"750",AG5&gt;=6,"800"))),(VALUE(_xludf.IFS(AG5=0,"0",AG5=1,"150",AG5=2,"300",AG5=3,"450",AG5=4,"600",AG5=5,"750",AG5=6,"900",AG5&gt;=7,"1,000"))))</f>
        <v>#NAME?</v>
      </c>
      <c r="AI5" s="15" t="str">
        <f t="shared" si="2"/>
        <v>李洋</v>
      </c>
      <c r="AJ5" s="43"/>
    </row>
    <row r="6" spans="1:36" ht="18" customHeight="1">
      <c r="A6" s="9" t="s">
        <v>174</v>
      </c>
      <c r="B6" s="10" t="s">
        <v>11</v>
      </c>
      <c r="C6" s="11">
        <v>1</v>
      </c>
      <c r="D6" s="2"/>
      <c r="E6" s="11">
        <v>1</v>
      </c>
      <c r="F6" s="11"/>
      <c r="G6" s="11">
        <v>1</v>
      </c>
      <c r="H6" s="11">
        <v>1</v>
      </c>
      <c r="I6" s="2"/>
      <c r="J6" s="11">
        <v>1</v>
      </c>
      <c r="K6" s="2"/>
      <c r="L6" s="11">
        <v>1</v>
      </c>
      <c r="M6" s="11">
        <v>1</v>
      </c>
      <c r="N6" s="11">
        <v>1</v>
      </c>
      <c r="O6" s="11">
        <v>1</v>
      </c>
      <c r="P6" s="2"/>
      <c r="Q6" s="11">
        <v>1</v>
      </c>
      <c r="R6" s="2">
        <v>1</v>
      </c>
      <c r="S6" s="11">
        <v>1</v>
      </c>
      <c r="T6" s="11">
        <v>1</v>
      </c>
      <c r="U6" s="11">
        <v>1</v>
      </c>
      <c r="V6" s="11">
        <v>1</v>
      </c>
      <c r="W6" s="2"/>
      <c r="X6" s="11"/>
      <c r="Y6" s="2"/>
      <c r="Z6" s="11">
        <v>1</v>
      </c>
      <c r="AA6" s="11">
        <v>1</v>
      </c>
      <c r="AB6" s="11">
        <v>1</v>
      </c>
      <c r="AC6" s="11">
        <v>1</v>
      </c>
      <c r="AD6" s="2"/>
      <c r="AE6" s="11">
        <v>1</v>
      </c>
      <c r="AF6" s="11">
        <v>1</v>
      </c>
      <c r="AG6" s="13">
        <f t="shared" si="1"/>
        <v>21</v>
      </c>
      <c r="AH6" s="14" t="e">
        <f ca="1">IF(A6="O", (VALUE(_xludf.IFS(AG6=0,"0",AG6=1,"150",AG6=2,"300",AG6=3,"450",AG6=4,"600",AG6=5,"750",AG6&gt;=6,"800"))),(VALUE(_xludf.IFS(AG6=0,"0",AG6=1,"150",AG6=2,"300",AG6=3,"450",AG6=4,"600",AG6=5,"750",AG6=6,"900",AG6&gt;=7,"1,000"))))</f>
        <v>#NAME?</v>
      </c>
      <c r="AI6" s="15" t="str">
        <f t="shared" si="2"/>
        <v>捷升</v>
      </c>
      <c r="AJ6" s="43"/>
    </row>
    <row r="7" spans="1:36" ht="18" customHeight="1">
      <c r="A7" s="9" t="s">
        <v>174</v>
      </c>
      <c r="B7" s="10" t="s">
        <v>19</v>
      </c>
      <c r="C7" s="11">
        <v>1</v>
      </c>
      <c r="D7" s="2"/>
      <c r="E7" s="11">
        <v>1</v>
      </c>
      <c r="F7" s="11"/>
      <c r="G7" s="11">
        <v>1</v>
      </c>
      <c r="H7" s="11">
        <v>1</v>
      </c>
      <c r="I7" s="2"/>
      <c r="J7" s="11">
        <v>1</v>
      </c>
      <c r="K7" s="2"/>
      <c r="L7" s="11">
        <v>1</v>
      </c>
      <c r="M7" s="11">
        <v>1</v>
      </c>
      <c r="N7" s="11">
        <v>1</v>
      </c>
      <c r="O7" s="11">
        <v>1</v>
      </c>
      <c r="P7" s="2"/>
      <c r="Q7" s="11">
        <v>1</v>
      </c>
      <c r="R7" s="2">
        <v>1</v>
      </c>
      <c r="S7" s="11">
        <v>1</v>
      </c>
      <c r="T7" s="11">
        <v>1</v>
      </c>
      <c r="U7" s="11">
        <v>1</v>
      </c>
      <c r="V7" s="11">
        <v>1</v>
      </c>
      <c r="W7" s="2"/>
      <c r="X7" s="11">
        <v>1</v>
      </c>
      <c r="Y7" s="2"/>
      <c r="Z7" s="11">
        <v>1</v>
      </c>
      <c r="AA7" s="11">
        <v>1</v>
      </c>
      <c r="AB7" s="11">
        <v>1</v>
      </c>
      <c r="AC7" s="11">
        <v>1</v>
      </c>
      <c r="AD7" s="2"/>
      <c r="AE7" s="11">
        <v>1</v>
      </c>
      <c r="AF7" s="11">
        <v>1</v>
      </c>
      <c r="AG7" s="13">
        <f t="shared" si="1"/>
        <v>22</v>
      </c>
      <c r="AH7" s="14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15" t="str">
        <f t="shared" si="2"/>
        <v>青蛙</v>
      </c>
      <c r="AJ7" s="43"/>
    </row>
    <row r="8" spans="1:36" ht="18" customHeight="1">
      <c r="A8" s="9" t="s">
        <v>174</v>
      </c>
      <c r="B8" s="10" t="s">
        <v>14</v>
      </c>
      <c r="C8" s="11">
        <v>1</v>
      </c>
      <c r="D8" s="2"/>
      <c r="E8" s="11">
        <v>1</v>
      </c>
      <c r="F8" s="11"/>
      <c r="G8" s="11">
        <v>1</v>
      </c>
      <c r="H8" s="11">
        <v>1</v>
      </c>
      <c r="I8" s="2"/>
      <c r="J8" s="11">
        <v>1</v>
      </c>
      <c r="K8" s="2"/>
      <c r="L8" s="11">
        <v>1</v>
      </c>
      <c r="M8" s="11">
        <v>1</v>
      </c>
      <c r="N8" s="11">
        <v>1</v>
      </c>
      <c r="O8" s="11">
        <v>1</v>
      </c>
      <c r="P8" s="2"/>
      <c r="Q8" s="11">
        <v>1</v>
      </c>
      <c r="R8" s="2">
        <v>1</v>
      </c>
      <c r="S8" s="11">
        <v>1</v>
      </c>
      <c r="T8" s="11">
        <v>1</v>
      </c>
      <c r="U8" s="11">
        <v>1</v>
      </c>
      <c r="V8" s="11">
        <v>1</v>
      </c>
      <c r="W8" s="2"/>
      <c r="X8" s="11">
        <v>1</v>
      </c>
      <c r="Y8" s="2"/>
      <c r="Z8" s="11">
        <v>1</v>
      </c>
      <c r="AA8" s="11">
        <v>1</v>
      </c>
      <c r="AB8" s="11">
        <v>1</v>
      </c>
      <c r="AC8" s="11">
        <v>1</v>
      </c>
      <c r="AD8" s="2"/>
      <c r="AE8" s="11">
        <v>1</v>
      </c>
      <c r="AF8" s="11">
        <v>1</v>
      </c>
      <c r="AG8" s="13">
        <f t="shared" si="1"/>
        <v>22</v>
      </c>
      <c r="AH8" s="14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15" t="str">
        <f t="shared" si="2"/>
        <v>曉明</v>
      </c>
      <c r="AJ8" s="43"/>
    </row>
    <row r="9" spans="1:36" ht="18" customHeight="1">
      <c r="A9" s="9" t="s">
        <v>174</v>
      </c>
      <c r="B9" s="10" t="s">
        <v>18</v>
      </c>
      <c r="C9" s="11">
        <v>1</v>
      </c>
      <c r="D9" s="2"/>
      <c r="E9" s="11">
        <v>1</v>
      </c>
      <c r="F9" s="11">
        <v>1</v>
      </c>
      <c r="G9" s="11">
        <v>1</v>
      </c>
      <c r="H9" s="11">
        <v>1</v>
      </c>
      <c r="I9" s="2"/>
      <c r="J9" s="11">
        <v>1</v>
      </c>
      <c r="K9" s="2"/>
      <c r="L9" s="11">
        <v>1</v>
      </c>
      <c r="M9" s="11">
        <v>1</v>
      </c>
      <c r="N9" s="11">
        <v>1</v>
      </c>
      <c r="O9" s="11">
        <v>1</v>
      </c>
      <c r="P9" s="2"/>
      <c r="Q9" s="11">
        <v>1</v>
      </c>
      <c r="R9" s="2">
        <v>1</v>
      </c>
      <c r="S9" s="11">
        <v>1</v>
      </c>
      <c r="T9" s="11">
        <v>1</v>
      </c>
      <c r="U9" s="11">
        <v>1</v>
      </c>
      <c r="V9" s="11">
        <v>1</v>
      </c>
      <c r="W9" s="2"/>
      <c r="X9" s="11">
        <v>1</v>
      </c>
      <c r="Y9" s="2"/>
      <c r="Z9" s="11">
        <v>1</v>
      </c>
      <c r="AA9" s="11">
        <v>1</v>
      </c>
      <c r="AB9" s="11">
        <v>1</v>
      </c>
      <c r="AC9" s="11">
        <v>1</v>
      </c>
      <c r="AD9" s="2"/>
      <c r="AE9" s="11">
        <v>1</v>
      </c>
      <c r="AF9" s="11">
        <v>1</v>
      </c>
      <c r="AG9" s="13">
        <f t="shared" si="1"/>
        <v>23</v>
      </c>
      <c r="AH9" s="14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15" t="str">
        <f t="shared" si="2"/>
        <v>皓元</v>
      </c>
      <c r="AJ9" s="43"/>
    </row>
    <row r="10" spans="1:36" ht="18" customHeight="1">
      <c r="A10" s="9" t="s">
        <v>174</v>
      </c>
      <c r="B10" s="10" t="s">
        <v>21</v>
      </c>
      <c r="C10" s="11"/>
      <c r="D10" s="2"/>
      <c r="E10" s="11">
        <v>1</v>
      </c>
      <c r="F10" s="11"/>
      <c r="G10" s="11">
        <v>1</v>
      </c>
      <c r="H10" s="11">
        <v>1</v>
      </c>
      <c r="I10" s="2"/>
      <c r="J10" s="11">
        <v>1</v>
      </c>
      <c r="K10" s="2"/>
      <c r="L10" s="11">
        <v>1</v>
      </c>
      <c r="M10" s="11">
        <v>1</v>
      </c>
      <c r="N10" s="11">
        <v>1</v>
      </c>
      <c r="O10" s="11"/>
      <c r="P10" s="2"/>
      <c r="Q10" s="11">
        <v>1</v>
      </c>
      <c r="R10" s="2"/>
      <c r="S10" s="11">
        <v>1</v>
      </c>
      <c r="T10" s="11">
        <v>1</v>
      </c>
      <c r="U10" s="11">
        <v>1</v>
      </c>
      <c r="V10" s="11"/>
      <c r="W10" s="2"/>
      <c r="X10" s="11">
        <v>1</v>
      </c>
      <c r="Y10" s="2"/>
      <c r="Z10" s="11">
        <v>1</v>
      </c>
      <c r="AA10" s="11">
        <v>1</v>
      </c>
      <c r="AB10" s="11">
        <v>1</v>
      </c>
      <c r="AC10" s="11"/>
      <c r="AD10" s="2"/>
      <c r="AE10" s="11">
        <v>1</v>
      </c>
      <c r="AF10" s="11"/>
      <c r="AG10" s="13">
        <f t="shared" si="1"/>
        <v>16</v>
      </c>
      <c r="AH10" s="14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</f>
        <v>#NAME?</v>
      </c>
      <c r="AI10" s="15" t="str">
        <f t="shared" si="2"/>
        <v>晧全</v>
      </c>
      <c r="AJ10" s="43"/>
    </row>
    <row r="11" spans="1:36" ht="18" customHeight="1">
      <c r="A11" s="9" t="s">
        <v>174</v>
      </c>
      <c r="B11" s="10" t="s">
        <v>72</v>
      </c>
      <c r="C11" s="11"/>
      <c r="D11" s="2"/>
      <c r="E11" s="11"/>
      <c r="F11" s="11"/>
      <c r="G11" s="11">
        <v>1</v>
      </c>
      <c r="H11" s="11"/>
      <c r="I11" s="2"/>
      <c r="J11" s="11">
        <v>1</v>
      </c>
      <c r="K11" s="2"/>
      <c r="L11" s="11">
        <v>1</v>
      </c>
      <c r="M11" s="11">
        <v>1</v>
      </c>
      <c r="N11" s="11">
        <v>1</v>
      </c>
      <c r="O11" s="11">
        <v>1</v>
      </c>
      <c r="P11" s="2"/>
      <c r="Q11" s="11">
        <v>1</v>
      </c>
      <c r="R11" s="2"/>
      <c r="S11" s="11">
        <v>1</v>
      </c>
      <c r="T11" s="11">
        <v>1</v>
      </c>
      <c r="U11" s="11">
        <v>1</v>
      </c>
      <c r="V11" s="11"/>
      <c r="W11" s="2"/>
      <c r="X11" s="11">
        <v>1</v>
      </c>
      <c r="Y11" s="2"/>
      <c r="Z11" s="11">
        <v>1</v>
      </c>
      <c r="AA11" s="11">
        <v>1</v>
      </c>
      <c r="AB11" s="11">
        <v>1</v>
      </c>
      <c r="AC11" s="11">
        <v>1</v>
      </c>
      <c r="AD11" s="2"/>
      <c r="AE11" s="11">
        <v>1</v>
      </c>
      <c r="AF11" s="11"/>
      <c r="AG11" s="13">
        <f t="shared" si="1"/>
        <v>16</v>
      </c>
      <c r="AH11" s="14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15" t="str">
        <f t="shared" si="2"/>
        <v>八卦</v>
      </c>
      <c r="AJ11" s="43"/>
    </row>
    <row r="12" spans="1:36" ht="18" customHeight="1">
      <c r="A12" s="9" t="s">
        <v>174</v>
      </c>
      <c r="B12" s="10" t="s">
        <v>175</v>
      </c>
      <c r="C12" s="11">
        <v>1</v>
      </c>
      <c r="D12" s="2"/>
      <c r="E12" s="11">
        <v>1</v>
      </c>
      <c r="F12" s="11"/>
      <c r="G12" s="11">
        <v>1</v>
      </c>
      <c r="H12" s="11"/>
      <c r="I12" s="2"/>
      <c r="J12" s="11">
        <v>1</v>
      </c>
      <c r="K12" s="2"/>
      <c r="L12" s="11">
        <v>1</v>
      </c>
      <c r="M12" s="11">
        <v>1</v>
      </c>
      <c r="N12" s="11">
        <v>1</v>
      </c>
      <c r="O12" s="11"/>
      <c r="P12" s="2"/>
      <c r="Q12" s="11">
        <v>1</v>
      </c>
      <c r="R12" s="2"/>
      <c r="S12" s="11">
        <v>1</v>
      </c>
      <c r="T12" s="11">
        <v>1</v>
      </c>
      <c r="U12" s="11">
        <v>1</v>
      </c>
      <c r="V12" s="11"/>
      <c r="W12" s="2"/>
      <c r="X12" s="11">
        <v>1</v>
      </c>
      <c r="Y12" s="2"/>
      <c r="Z12" s="11">
        <v>1</v>
      </c>
      <c r="AA12" s="11">
        <v>1</v>
      </c>
      <c r="AB12" s="11">
        <v>1</v>
      </c>
      <c r="AC12" s="11"/>
      <c r="AD12" s="2"/>
      <c r="AE12" s="11">
        <v>1</v>
      </c>
      <c r="AF12" s="11"/>
      <c r="AG12" s="13">
        <f t="shared" si="1"/>
        <v>16</v>
      </c>
      <c r="AH12" s="14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15" t="str">
        <f t="shared" si="2"/>
        <v>咪咪</v>
      </c>
      <c r="AJ12" s="43"/>
    </row>
    <row r="13" spans="1:36" ht="18" customHeight="1">
      <c r="A13" s="9" t="s">
        <v>174</v>
      </c>
      <c r="B13" s="10" t="s">
        <v>17</v>
      </c>
      <c r="C13" s="11"/>
      <c r="D13" s="2"/>
      <c r="E13" s="11"/>
      <c r="F13" s="11"/>
      <c r="G13" s="11"/>
      <c r="H13" s="11">
        <v>1</v>
      </c>
      <c r="I13" s="2"/>
      <c r="J13" s="11"/>
      <c r="K13" s="2"/>
      <c r="L13" s="11"/>
      <c r="M13" s="11"/>
      <c r="N13" s="11"/>
      <c r="O13" s="11"/>
      <c r="P13" s="2"/>
      <c r="Q13" s="11"/>
      <c r="R13" s="2"/>
      <c r="S13" s="11"/>
      <c r="T13" s="11"/>
      <c r="U13" s="11"/>
      <c r="V13" s="11">
        <v>1</v>
      </c>
      <c r="W13" s="2"/>
      <c r="X13" s="11"/>
      <c r="Y13" s="2"/>
      <c r="Z13" s="11"/>
      <c r="AA13" s="11"/>
      <c r="AB13" s="11"/>
      <c r="AC13" s="11">
        <v>1</v>
      </c>
      <c r="AD13" s="2"/>
      <c r="AE13" s="11"/>
      <c r="AF13" s="11"/>
      <c r="AG13" s="13">
        <f t="shared" si="1"/>
        <v>3</v>
      </c>
      <c r="AH13" s="14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15" t="str">
        <f t="shared" si="2"/>
        <v>光曜</v>
      </c>
      <c r="AJ13" s="16"/>
    </row>
    <row r="14" spans="1:36" ht="18" customHeight="1">
      <c r="A14" s="9" t="s">
        <v>174</v>
      </c>
      <c r="B14" s="10" t="s">
        <v>15</v>
      </c>
      <c r="C14" s="11">
        <v>1</v>
      </c>
      <c r="D14" s="2"/>
      <c r="E14" s="11">
        <v>1</v>
      </c>
      <c r="F14" s="11"/>
      <c r="G14" s="11">
        <v>1</v>
      </c>
      <c r="H14" s="11">
        <v>1</v>
      </c>
      <c r="I14" s="2"/>
      <c r="J14" s="11">
        <v>1</v>
      </c>
      <c r="K14" s="2"/>
      <c r="L14" s="11">
        <v>1</v>
      </c>
      <c r="M14" s="11">
        <v>1</v>
      </c>
      <c r="N14" s="11">
        <v>1</v>
      </c>
      <c r="O14" s="11">
        <v>1</v>
      </c>
      <c r="P14" s="2"/>
      <c r="Q14" s="11">
        <v>1</v>
      </c>
      <c r="R14" s="2"/>
      <c r="S14" s="11">
        <v>1</v>
      </c>
      <c r="T14" s="11">
        <v>1</v>
      </c>
      <c r="U14" s="11">
        <v>1</v>
      </c>
      <c r="V14" s="11"/>
      <c r="W14" s="2"/>
      <c r="X14" s="11">
        <v>1</v>
      </c>
      <c r="Y14" s="2"/>
      <c r="Z14" s="11">
        <v>1</v>
      </c>
      <c r="AA14" s="11">
        <v>1</v>
      </c>
      <c r="AB14" s="11">
        <v>1</v>
      </c>
      <c r="AC14" s="11">
        <v>1</v>
      </c>
      <c r="AD14" s="2"/>
      <c r="AE14" s="11">
        <v>1</v>
      </c>
      <c r="AF14" s="11">
        <v>1</v>
      </c>
      <c r="AG14" s="13">
        <f t="shared" si="1"/>
        <v>20</v>
      </c>
      <c r="AH14" s="14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15" t="str">
        <f t="shared" si="2"/>
        <v>大支</v>
      </c>
      <c r="AJ14" s="43"/>
    </row>
    <row r="15" spans="1:36" ht="18" customHeight="1">
      <c r="A15" s="9" t="s">
        <v>174</v>
      </c>
      <c r="B15" s="10" t="s">
        <v>61</v>
      </c>
      <c r="C15" s="11"/>
      <c r="D15" s="2"/>
      <c r="E15" s="11"/>
      <c r="F15" s="11"/>
      <c r="G15" s="11"/>
      <c r="H15" s="11">
        <v>1</v>
      </c>
      <c r="I15" s="2"/>
      <c r="J15" s="11"/>
      <c r="K15" s="2"/>
      <c r="L15" s="11"/>
      <c r="M15" s="11"/>
      <c r="N15" s="11"/>
      <c r="O15" s="11">
        <v>1</v>
      </c>
      <c r="P15" s="2"/>
      <c r="Q15" s="11"/>
      <c r="R15" s="2"/>
      <c r="S15" s="11"/>
      <c r="T15" s="11"/>
      <c r="U15" s="11"/>
      <c r="V15" s="11">
        <v>1</v>
      </c>
      <c r="W15" s="2"/>
      <c r="X15" s="11">
        <v>1</v>
      </c>
      <c r="Y15" s="2"/>
      <c r="Z15" s="11"/>
      <c r="AA15" s="11">
        <v>1</v>
      </c>
      <c r="AB15" s="11">
        <v>1</v>
      </c>
      <c r="AC15" s="11">
        <v>1</v>
      </c>
      <c r="AD15" s="2"/>
      <c r="AE15" s="11">
        <v>1</v>
      </c>
      <c r="AF15" s="11"/>
      <c r="AG15" s="13">
        <f t="shared" si="1"/>
        <v>8</v>
      </c>
      <c r="AH15" s="14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15" t="str">
        <f t="shared" si="2"/>
        <v>韋融</v>
      </c>
      <c r="AJ15" s="16"/>
    </row>
    <row r="16" spans="1:36" ht="18" customHeight="1">
      <c r="A16" s="9" t="s">
        <v>174</v>
      </c>
      <c r="B16" s="10" t="s">
        <v>20</v>
      </c>
      <c r="C16" s="11"/>
      <c r="D16" s="2"/>
      <c r="E16" s="11"/>
      <c r="F16" s="11"/>
      <c r="G16" s="11"/>
      <c r="H16" s="11">
        <v>1</v>
      </c>
      <c r="I16" s="2"/>
      <c r="J16" s="11"/>
      <c r="K16" s="2"/>
      <c r="L16" s="11"/>
      <c r="M16" s="11"/>
      <c r="N16" s="11"/>
      <c r="O16" s="11">
        <v>1</v>
      </c>
      <c r="P16" s="2"/>
      <c r="Q16" s="11"/>
      <c r="R16" s="2"/>
      <c r="S16" s="11"/>
      <c r="T16" s="11"/>
      <c r="U16" s="11"/>
      <c r="V16" s="11">
        <v>1</v>
      </c>
      <c r="W16" s="2"/>
      <c r="X16" s="11"/>
      <c r="Y16" s="2"/>
      <c r="Z16" s="11"/>
      <c r="AA16" s="11"/>
      <c r="AB16" s="11"/>
      <c r="AC16" s="11">
        <v>1</v>
      </c>
      <c r="AD16" s="2"/>
      <c r="AE16" s="11"/>
      <c r="AF16" s="11"/>
      <c r="AG16" s="13">
        <f t="shared" si="1"/>
        <v>4</v>
      </c>
      <c r="AH16" s="14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15" t="str">
        <f t="shared" si="2"/>
        <v>港弟</v>
      </c>
      <c r="AJ16" s="43"/>
    </row>
    <row r="17" spans="1:36" ht="18" customHeight="1">
      <c r="A17" s="9" t="s">
        <v>174</v>
      </c>
      <c r="B17" s="10" t="s">
        <v>16</v>
      </c>
      <c r="C17" s="11">
        <v>1</v>
      </c>
      <c r="D17" s="2"/>
      <c r="E17" s="11">
        <v>1</v>
      </c>
      <c r="F17" s="11">
        <v>1</v>
      </c>
      <c r="G17" s="11">
        <v>1</v>
      </c>
      <c r="H17" s="11">
        <v>1</v>
      </c>
      <c r="I17" s="2"/>
      <c r="J17" s="11">
        <v>1</v>
      </c>
      <c r="K17" s="2"/>
      <c r="L17" s="11">
        <v>1</v>
      </c>
      <c r="M17" s="11">
        <v>1</v>
      </c>
      <c r="N17" s="11">
        <v>1</v>
      </c>
      <c r="O17" s="11">
        <v>1</v>
      </c>
      <c r="P17" s="2"/>
      <c r="Q17" s="11">
        <v>1</v>
      </c>
      <c r="R17" s="2">
        <v>1</v>
      </c>
      <c r="S17" s="11">
        <v>1</v>
      </c>
      <c r="T17" s="11">
        <v>1</v>
      </c>
      <c r="U17" s="11">
        <v>1</v>
      </c>
      <c r="V17" s="11">
        <v>1</v>
      </c>
      <c r="W17" s="2"/>
      <c r="X17" s="11">
        <v>1</v>
      </c>
      <c r="Y17" s="2"/>
      <c r="Z17" s="11">
        <v>1</v>
      </c>
      <c r="AA17" s="11">
        <v>1</v>
      </c>
      <c r="AB17" s="11">
        <v>1</v>
      </c>
      <c r="AC17" s="11">
        <v>1</v>
      </c>
      <c r="AD17" s="2"/>
      <c r="AE17" s="11">
        <v>1</v>
      </c>
      <c r="AF17" s="11">
        <v>1</v>
      </c>
      <c r="AG17" s="13">
        <f t="shared" si="1"/>
        <v>23</v>
      </c>
      <c r="AH17" s="14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15" t="str">
        <f t="shared" si="2"/>
        <v>弼善</v>
      </c>
      <c r="AJ17" s="43"/>
    </row>
    <row r="18" spans="1:36" ht="18" customHeight="1">
      <c r="A18" s="9" t="s">
        <v>174</v>
      </c>
      <c r="B18" s="10" t="s">
        <v>62</v>
      </c>
      <c r="C18" s="11">
        <v>1</v>
      </c>
      <c r="D18" s="2"/>
      <c r="E18" s="11"/>
      <c r="F18" s="11">
        <v>1</v>
      </c>
      <c r="G18" s="11"/>
      <c r="H18" s="11"/>
      <c r="I18" s="2"/>
      <c r="J18" s="11"/>
      <c r="K18" s="2"/>
      <c r="L18" s="11"/>
      <c r="M18" s="11"/>
      <c r="N18" s="11"/>
      <c r="O18" s="11"/>
      <c r="P18" s="2"/>
      <c r="Q18" s="11"/>
      <c r="R18" s="2">
        <v>1</v>
      </c>
      <c r="S18" s="11"/>
      <c r="T18" s="11"/>
      <c r="U18" s="11"/>
      <c r="V18" s="11"/>
      <c r="W18" s="2"/>
      <c r="X18" s="11"/>
      <c r="Y18" s="2"/>
      <c r="Z18" s="11"/>
      <c r="AA18" s="11"/>
      <c r="AB18" s="11"/>
      <c r="AC18" s="11"/>
      <c r="AD18" s="2"/>
      <c r="AE18" s="11">
        <v>1</v>
      </c>
      <c r="AF18" s="11"/>
      <c r="AG18" s="13">
        <f t="shared" si="1"/>
        <v>4</v>
      </c>
      <c r="AH18" s="14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15" t="str">
        <f t="shared" si="2"/>
        <v>國源</v>
      </c>
      <c r="AJ18" s="17"/>
    </row>
    <row r="19" spans="1:36" ht="18" customHeight="1">
      <c r="A19" s="18" t="s">
        <v>174</v>
      </c>
      <c r="B19" s="19" t="s">
        <v>89</v>
      </c>
      <c r="C19" s="20">
        <v>1</v>
      </c>
      <c r="D19" s="2"/>
      <c r="E19" s="20">
        <v>1</v>
      </c>
      <c r="F19" s="20"/>
      <c r="G19" s="20">
        <v>1</v>
      </c>
      <c r="H19" s="20">
        <v>1</v>
      </c>
      <c r="I19" s="2"/>
      <c r="J19" s="20">
        <v>1</v>
      </c>
      <c r="K19" s="2"/>
      <c r="L19" s="20">
        <v>1</v>
      </c>
      <c r="M19" s="20">
        <v>1</v>
      </c>
      <c r="N19" s="20">
        <v>1</v>
      </c>
      <c r="O19" s="20">
        <v>1</v>
      </c>
      <c r="P19" s="2"/>
      <c r="Q19" s="45">
        <v>1</v>
      </c>
      <c r="R19" s="2"/>
      <c r="S19" s="45">
        <v>1</v>
      </c>
      <c r="T19" s="45">
        <v>1</v>
      </c>
      <c r="U19" s="45">
        <v>1</v>
      </c>
      <c r="V19" s="20"/>
      <c r="W19" s="2"/>
      <c r="X19" s="45">
        <v>1</v>
      </c>
      <c r="Y19" s="2"/>
      <c r="Z19" s="45">
        <v>1</v>
      </c>
      <c r="AA19" s="45">
        <v>1</v>
      </c>
      <c r="AB19" s="45">
        <v>1</v>
      </c>
      <c r="AC19" s="45">
        <v>1</v>
      </c>
      <c r="AD19" s="2"/>
      <c r="AE19" s="45">
        <v>1</v>
      </c>
      <c r="AF19" s="45">
        <v>1</v>
      </c>
      <c r="AG19" s="21">
        <f t="shared" si="1"/>
        <v>20</v>
      </c>
      <c r="AH19" s="22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23" t="str">
        <f t="shared" si="2"/>
        <v>泡芙</v>
      </c>
      <c r="AJ19" s="24"/>
    </row>
    <row r="20" spans="1:36" ht="18" customHeight="1">
      <c r="A20" s="18" t="s">
        <v>174</v>
      </c>
      <c r="B20" s="19" t="s">
        <v>90</v>
      </c>
      <c r="C20" s="20">
        <v>1</v>
      </c>
      <c r="D20" s="2"/>
      <c r="E20" s="20">
        <v>1</v>
      </c>
      <c r="F20" s="20"/>
      <c r="G20" s="20">
        <v>1</v>
      </c>
      <c r="H20" s="20">
        <v>1</v>
      </c>
      <c r="I20" s="2"/>
      <c r="J20" s="20">
        <v>1</v>
      </c>
      <c r="K20" s="2"/>
      <c r="L20" s="20">
        <v>1</v>
      </c>
      <c r="M20" s="20">
        <v>1</v>
      </c>
      <c r="N20" s="20">
        <v>1</v>
      </c>
      <c r="O20" s="20">
        <v>1</v>
      </c>
      <c r="P20" s="2"/>
      <c r="Q20" s="45">
        <v>1</v>
      </c>
      <c r="R20" s="2"/>
      <c r="S20" s="45">
        <v>1</v>
      </c>
      <c r="T20" s="20"/>
      <c r="U20" s="45">
        <v>1</v>
      </c>
      <c r="V20" s="20"/>
      <c r="W20" s="2"/>
      <c r="X20" s="45">
        <v>1</v>
      </c>
      <c r="Y20" s="2"/>
      <c r="Z20" s="45">
        <v>1</v>
      </c>
      <c r="AA20" s="45">
        <v>1</v>
      </c>
      <c r="AB20" s="45">
        <v>1</v>
      </c>
      <c r="AC20" s="45"/>
      <c r="AD20" s="2"/>
      <c r="AE20" s="45">
        <v>1</v>
      </c>
      <c r="AF20" s="45"/>
      <c r="AG20" s="21">
        <f t="shared" si="1"/>
        <v>17</v>
      </c>
      <c r="AH20" s="22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23" t="str">
        <f t="shared" si="2"/>
        <v>蓓蓓</v>
      </c>
      <c r="AJ20" s="24"/>
    </row>
    <row r="21" spans="1:36" ht="18" customHeight="1">
      <c r="A21" s="18" t="s">
        <v>174</v>
      </c>
      <c r="B21" s="19" t="s">
        <v>150</v>
      </c>
      <c r="C21" s="20">
        <v>1</v>
      </c>
      <c r="D21" s="2"/>
      <c r="E21" s="20">
        <v>1</v>
      </c>
      <c r="F21" s="20">
        <v>1</v>
      </c>
      <c r="G21" s="20">
        <v>1</v>
      </c>
      <c r="H21" s="20">
        <v>1</v>
      </c>
      <c r="I21" s="2"/>
      <c r="J21" s="20">
        <v>1</v>
      </c>
      <c r="K21" s="2"/>
      <c r="L21" s="20">
        <v>1</v>
      </c>
      <c r="M21" s="20">
        <v>1</v>
      </c>
      <c r="N21" s="20">
        <v>1</v>
      </c>
      <c r="O21" s="20">
        <v>1</v>
      </c>
      <c r="P21" s="2"/>
      <c r="Q21" s="45">
        <v>1</v>
      </c>
      <c r="R21" s="2"/>
      <c r="S21" s="45">
        <v>1</v>
      </c>
      <c r="T21" s="45">
        <v>1</v>
      </c>
      <c r="U21" s="45">
        <v>1</v>
      </c>
      <c r="V21" s="45">
        <v>1</v>
      </c>
      <c r="W21" s="2"/>
      <c r="X21" s="45">
        <v>1</v>
      </c>
      <c r="Y21" s="2"/>
      <c r="Z21" s="45">
        <v>1</v>
      </c>
      <c r="AA21" s="45">
        <v>1</v>
      </c>
      <c r="AB21" s="45">
        <v>1</v>
      </c>
      <c r="AC21" s="45">
        <v>1</v>
      </c>
      <c r="AD21" s="2"/>
      <c r="AE21" s="45">
        <v>1</v>
      </c>
      <c r="AF21" s="45"/>
      <c r="AG21" s="21">
        <f t="shared" si="1"/>
        <v>21</v>
      </c>
      <c r="AH21" s="22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23" t="str">
        <f t="shared" si="2"/>
        <v>高麗菜</v>
      </c>
      <c r="AJ21" s="24"/>
    </row>
    <row r="22" spans="1:36" ht="18" customHeight="1">
      <c r="A22" s="18" t="s">
        <v>174</v>
      </c>
      <c r="B22" s="19" t="s">
        <v>164</v>
      </c>
      <c r="C22" s="20"/>
      <c r="D22" s="2"/>
      <c r="E22" s="20"/>
      <c r="F22" s="20"/>
      <c r="G22" s="20"/>
      <c r="H22" s="20"/>
      <c r="I22" s="2"/>
      <c r="J22" s="20"/>
      <c r="K22" s="2"/>
      <c r="L22" s="20"/>
      <c r="M22" s="20"/>
      <c r="N22" s="20"/>
      <c r="O22" s="20"/>
      <c r="P22" s="2"/>
      <c r="Q22" s="20"/>
      <c r="R22" s="2"/>
      <c r="S22" s="20"/>
      <c r="T22" s="20"/>
      <c r="U22" s="20"/>
      <c r="V22" s="20"/>
      <c r="W22" s="2"/>
      <c r="X22" s="20"/>
      <c r="Y22" s="2"/>
      <c r="Z22" s="20"/>
      <c r="AA22" s="20"/>
      <c r="AB22" s="20"/>
      <c r="AC22" s="20"/>
      <c r="AD22" s="2"/>
      <c r="AE22" s="20"/>
      <c r="AF22" s="20"/>
      <c r="AG22" s="21">
        <f t="shared" si="1"/>
        <v>0</v>
      </c>
      <c r="AH22" s="22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23" t="str">
        <f t="shared" si="2"/>
        <v>小菜</v>
      </c>
      <c r="AJ22" s="25"/>
    </row>
    <row r="23" spans="1:36" ht="18" customHeight="1">
      <c r="A23" s="18" t="s">
        <v>174</v>
      </c>
      <c r="B23" s="19" t="s">
        <v>94</v>
      </c>
      <c r="C23" s="20">
        <v>1</v>
      </c>
      <c r="D23" s="2"/>
      <c r="E23" s="20">
        <v>1</v>
      </c>
      <c r="F23" s="20"/>
      <c r="G23" s="20">
        <v>1</v>
      </c>
      <c r="H23" s="20">
        <v>1</v>
      </c>
      <c r="I23" s="2"/>
      <c r="J23" s="20">
        <v>1</v>
      </c>
      <c r="K23" s="2"/>
      <c r="L23" s="20">
        <v>1</v>
      </c>
      <c r="M23" s="20">
        <v>1</v>
      </c>
      <c r="N23" s="20">
        <v>1</v>
      </c>
      <c r="O23" s="20">
        <v>1</v>
      </c>
      <c r="P23" s="2"/>
      <c r="Q23" s="45">
        <v>1</v>
      </c>
      <c r="R23" s="2"/>
      <c r="S23" s="45">
        <v>1</v>
      </c>
      <c r="T23" s="45">
        <v>1</v>
      </c>
      <c r="U23" s="45">
        <v>1</v>
      </c>
      <c r="V23" s="45">
        <v>1</v>
      </c>
      <c r="W23" s="2"/>
      <c r="X23" s="45">
        <v>1</v>
      </c>
      <c r="Y23" s="2"/>
      <c r="Z23" s="45">
        <v>1</v>
      </c>
      <c r="AA23" s="45">
        <v>1</v>
      </c>
      <c r="AB23" s="45">
        <v>1</v>
      </c>
      <c r="AC23" s="45">
        <v>1</v>
      </c>
      <c r="AD23" s="2"/>
      <c r="AE23" s="45">
        <v>1</v>
      </c>
      <c r="AF23" s="45"/>
      <c r="AG23" s="21">
        <f t="shared" si="1"/>
        <v>20</v>
      </c>
      <c r="AH23" s="22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23" t="str">
        <f t="shared" si="2"/>
        <v>小花</v>
      </c>
      <c r="AJ23" s="44"/>
    </row>
    <row r="24" spans="1:36" ht="18" customHeight="1">
      <c r="A24" s="18" t="s">
        <v>174</v>
      </c>
      <c r="B24" s="19" t="s">
        <v>102</v>
      </c>
      <c r="C24" s="20"/>
      <c r="D24" s="2"/>
      <c r="E24" s="20"/>
      <c r="F24" s="20"/>
      <c r="G24" s="20"/>
      <c r="H24" s="20"/>
      <c r="I24" s="2"/>
      <c r="J24" s="20"/>
      <c r="K24" s="2"/>
      <c r="L24" s="20"/>
      <c r="M24" s="20"/>
      <c r="N24" s="20"/>
      <c r="O24" s="20"/>
      <c r="P24" s="2"/>
      <c r="Q24" s="20"/>
      <c r="R24" s="2"/>
      <c r="S24" s="20"/>
      <c r="T24" s="20"/>
      <c r="U24" s="20"/>
      <c r="V24" s="20"/>
      <c r="W24" s="2"/>
      <c r="X24" s="20"/>
      <c r="Y24" s="2"/>
      <c r="Z24" s="20"/>
      <c r="AA24" s="20"/>
      <c r="AB24" s="20"/>
      <c r="AC24" s="20"/>
      <c r="AD24" s="2"/>
      <c r="AE24" s="20"/>
      <c r="AF24" s="20"/>
      <c r="AG24" s="21">
        <f t="shared" si="1"/>
        <v>0</v>
      </c>
      <c r="AH24" s="22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23" t="str">
        <f t="shared" si="2"/>
        <v>妮妮</v>
      </c>
      <c r="AJ24" s="24"/>
    </row>
    <row r="25" spans="1:36" ht="18" customHeight="1">
      <c r="A25" s="18" t="s">
        <v>174</v>
      </c>
      <c r="B25" s="19" t="s">
        <v>165</v>
      </c>
      <c r="C25" s="20">
        <v>1</v>
      </c>
      <c r="D25" s="2"/>
      <c r="E25" s="20">
        <v>1</v>
      </c>
      <c r="F25" s="20"/>
      <c r="G25" s="20">
        <v>1</v>
      </c>
      <c r="H25" s="20"/>
      <c r="I25" s="2"/>
      <c r="J25" s="20"/>
      <c r="K25" s="2"/>
      <c r="L25" s="20"/>
      <c r="M25" s="20"/>
      <c r="N25" s="20">
        <v>1</v>
      </c>
      <c r="O25" s="20">
        <v>1</v>
      </c>
      <c r="P25" s="2"/>
      <c r="Q25" s="45">
        <v>1</v>
      </c>
      <c r="R25" s="2"/>
      <c r="S25" s="45">
        <v>1</v>
      </c>
      <c r="T25" s="45">
        <v>1</v>
      </c>
      <c r="U25" s="45">
        <v>1</v>
      </c>
      <c r="V25" s="20"/>
      <c r="W25" s="2"/>
      <c r="X25" s="45">
        <v>1</v>
      </c>
      <c r="Y25" s="2"/>
      <c r="Z25" s="20"/>
      <c r="AA25" s="20"/>
      <c r="AB25" s="45">
        <v>1</v>
      </c>
      <c r="AC25" s="45">
        <v>1</v>
      </c>
      <c r="AD25" s="2"/>
      <c r="AE25" s="45">
        <v>1</v>
      </c>
      <c r="AF25" s="45"/>
      <c r="AG25" s="21">
        <f t="shared" si="1"/>
        <v>13</v>
      </c>
      <c r="AH25" s="22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23" t="str">
        <f t="shared" si="2"/>
        <v>小貓</v>
      </c>
      <c r="AJ25" s="44"/>
    </row>
    <row r="26" spans="1:36" ht="18" customHeight="1">
      <c r="A26" s="18" t="s">
        <v>174</v>
      </c>
      <c r="B26" s="19" t="s">
        <v>166</v>
      </c>
      <c r="C26" s="20"/>
      <c r="D26" s="2"/>
      <c r="E26" s="20"/>
      <c r="F26" s="20"/>
      <c r="G26" s="20"/>
      <c r="H26" s="20"/>
      <c r="I26" s="2"/>
      <c r="J26" s="20"/>
      <c r="K26" s="2"/>
      <c r="L26" s="20"/>
      <c r="M26" s="20"/>
      <c r="N26" s="20"/>
      <c r="O26" s="20"/>
      <c r="P26" s="2"/>
      <c r="Q26" s="20"/>
      <c r="R26" s="2"/>
      <c r="S26" s="20"/>
      <c r="T26" s="45">
        <v>1</v>
      </c>
      <c r="U26" s="45"/>
      <c r="V26" s="20"/>
      <c r="W26" s="2"/>
      <c r="X26" s="20"/>
      <c r="Y26" s="2"/>
      <c r="Z26" s="20"/>
      <c r="AA26" s="20"/>
      <c r="AB26" s="20"/>
      <c r="AC26" s="20"/>
      <c r="AD26" s="2"/>
      <c r="AE26" s="20"/>
      <c r="AF26" s="20"/>
      <c r="AG26" s="21">
        <f t="shared" si="1"/>
        <v>1</v>
      </c>
      <c r="AH26" s="22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23" t="str">
        <f t="shared" si="2"/>
        <v>哈比</v>
      </c>
      <c r="AJ26" s="24"/>
    </row>
    <row r="27" spans="1:36" ht="18" customHeight="1">
      <c r="A27" s="18" t="s">
        <v>174</v>
      </c>
      <c r="B27" s="19" t="s">
        <v>91</v>
      </c>
      <c r="C27" s="20">
        <v>1</v>
      </c>
      <c r="D27" s="2"/>
      <c r="E27" s="20"/>
      <c r="F27" s="20"/>
      <c r="G27" s="20">
        <v>1</v>
      </c>
      <c r="H27" s="20">
        <v>1</v>
      </c>
      <c r="I27" s="2"/>
      <c r="J27" s="20">
        <v>1</v>
      </c>
      <c r="K27" s="2"/>
      <c r="L27" s="20">
        <v>1</v>
      </c>
      <c r="M27" s="20">
        <v>1</v>
      </c>
      <c r="N27" s="20">
        <v>1</v>
      </c>
      <c r="O27" s="20">
        <v>1</v>
      </c>
      <c r="P27" s="2"/>
      <c r="Q27" s="45">
        <v>1</v>
      </c>
      <c r="R27" s="2"/>
      <c r="S27" s="20"/>
      <c r="T27" s="20"/>
      <c r="U27" s="45">
        <v>1</v>
      </c>
      <c r="V27" s="45">
        <v>1</v>
      </c>
      <c r="W27" s="2"/>
      <c r="X27" s="45">
        <v>1</v>
      </c>
      <c r="Y27" s="2"/>
      <c r="Z27" s="20"/>
      <c r="AA27" s="45">
        <v>1</v>
      </c>
      <c r="AB27" s="45">
        <v>1</v>
      </c>
      <c r="AC27" s="20"/>
      <c r="AD27" s="2"/>
      <c r="AE27" s="45">
        <v>1</v>
      </c>
      <c r="AF27" s="45"/>
      <c r="AG27" s="21">
        <f t="shared" si="1"/>
        <v>15</v>
      </c>
      <c r="AH27" s="22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23" t="str">
        <f t="shared" si="2"/>
        <v>柔柔</v>
      </c>
      <c r="AJ27" s="24"/>
    </row>
    <row r="28" spans="1:36" ht="18" customHeight="1">
      <c r="A28" s="18" t="s">
        <v>174</v>
      </c>
      <c r="B28" s="19" t="s">
        <v>176</v>
      </c>
      <c r="C28" s="20"/>
      <c r="D28" s="2"/>
      <c r="E28" s="20"/>
      <c r="F28" s="20"/>
      <c r="G28" s="20"/>
      <c r="H28" s="20"/>
      <c r="I28" s="2"/>
      <c r="J28" s="20"/>
      <c r="K28" s="2"/>
      <c r="L28" s="20"/>
      <c r="M28" s="20"/>
      <c r="N28" s="20"/>
      <c r="O28" s="20"/>
      <c r="P28" s="2"/>
      <c r="Q28" s="20"/>
      <c r="R28" s="2"/>
      <c r="S28" s="20"/>
      <c r="T28" s="45">
        <v>1</v>
      </c>
      <c r="U28" s="20"/>
      <c r="V28" s="20"/>
      <c r="W28" s="2"/>
      <c r="X28" s="20"/>
      <c r="Y28" s="2"/>
      <c r="Z28" s="20"/>
      <c r="AA28" s="20"/>
      <c r="AB28" s="20"/>
      <c r="AC28" s="20"/>
      <c r="AD28" s="2"/>
      <c r="AE28" s="20"/>
      <c r="AF28" s="20"/>
      <c r="AG28" s="21">
        <f t="shared" si="1"/>
        <v>1</v>
      </c>
      <c r="AH28" s="22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23" t="str">
        <f t="shared" si="2"/>
        <v>芮芮</v>
      </c>
      <c r="AJ28" s="25"/>
    </row>
    <row r="29" spans="1:36" ht="18" customHeight="1">
      <c r="A29" s="18" t="s">
        <v>174</v>
      </c>
      <c r="B29" s="19" t="s">
        <v>123</v>
      </c>
      <c r="C29" s="20">
        <v>1</v>
      </c>
      <c r="D29" s="2"/>
      <c r="E29" s="20"/>
      <c r="F29" s="20"/>
      <c r="G29" s="20">
        <v>1</v>
      </c>
      <c r="H29" s="20"/>
      <c r="I29" s="2"/>
      <c r="J29" s="20">
        <v>1</v>
      </c>
      <c r="K29" s="2"/>
      <c r="L29" s="20"/>
      <c r="M29" s="20">
        <v>1</v>
      </c>
      <c r="N29" s="20">
        <v>1</v>
      </c>
      <c r="O29" s="20"/>
      <c r="P29" s="2"/>
      <c r="Q29" s="45">
        <v>1</v>
      </c>
      <c r="R29" s="2"/>
      <c r="S29" s="20"/>
      <c r="T29" s="20"/>
      <c r="U29" s="45">
        <v>1</v>
      </c>
      <c r="V29" s="20"/>
      <c r="W29" s="2"/>
      <c r="X29" s="45">
        <v>1</v>
      </c>
      <c r="Y29" s="2"/>
      <c r="Z29" s="20"/>
      <c r="AA29" s="45">
        <v>1</v>
      </c>
      <c r="AB29" s="45">
        <v>1</v>
      </c>
      <c r="AC29" s="20"/>
      <c r="AD29" s="2"/>
      <c r="AE29" s="45">
        <v>1</v>
      </c>
      <c r="AF29" s="45"/>
      <c r="AG29" s="21">
        <f t="shared" si="1"/>
        <v>11</v>
      </c>
      <c r="AH29" s="22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23" t="str">
        <f t="shared" si="2"/>
        <v>瑤瑤</v>
      </c>
      <c r="AJ29" s="24"/>
    </row>
    <row r="30" spans="1:36" ht="18" customHeight="1">
      <c r="A30" s="18" t="s">
        <v>174</v>
      </c>
      <c r="B30" s="19" t="s">
        <v>147</v>
      </c>
      <c r="C30" s="20">
        <v>1</v>
      </c>
      <c r="D30" s="2"/>
      <c r="E30" s="20"/>
      <c r="F30" s="20"/>
      <c r="G30" s="20">
        <v>1</v>
      </c>
      <c r="H30" s="20">
        <v>1</v>
      </c>
      <c r="I30" s="2"/>
      <c r="J30" s="20">
        <v>1</v>
      </c>
      <c r="K30" s="2"/>
      <c r="L30" s="20"/>
      <c r="M30" s="20"/>
      <c r="N30" s="20">
        <v>1</v>
      </c>
      <c r="O30" s="20">
        <v>1</v>
      </c>
      <c r="P30" s="2"/>
      <c r="Q30" s="45">
        <v>1</v>
      </c>
      <c r="R30" s="46">
        <v>1</v>
      </c>
      <c r="S30" s="20"/>
      <c r="T30" s="20"/>
      <c r="U30" s="20"/>
      <c r="V30" s="45">
        <v>1</v>
      </c>
      <c r="W30" s="2"/>
      <c r="X30" s="20"/>
      <c r="Y30" s="2"/>
      <c r="Z30" s="20"/>
      <c r="AA30" s="20"/>
      <c r="AB30" s="20"/>
      <c r="AC30" s="45">
        <v>1</v>
      </c>
      <c r="AD30" s="2"/>
      <c r="AE30" s="20"/>
      <c r="AF30" s="20">
        <v>1</v>
      </c>
      <c r="AG30" s="21">
        <f t="shared" si="1"/>
        <v>11</v>
      </c>
      <c r="AH30" s="22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23" t="str">
        <f t="shared" si="2"/>
        <v>湘苡</v>
      </c>
      <c r="AJ30" s="44"/>
    </row>
    <row r="31" spans="1:36" ht="18" customHeight="1">
      <c r="A31" s="18" t="s">
        <v>174</v>
      </c>
      <c r="B31" s="19" t="s">
        <v>93</v>
      </c>
      <c r="C31" s="20"/>
      <c r="D31" s="2"/>
      <c r="E31" s="20"/>
      <c r="F31" s="20"/>
      <c r="G31" s="20"/>
      <c r="H31" s="20">
        <v>1</v>
      </c>
      <c r="I31" s="2"/>
      <c r="J31" s="20"/>
      <c r="K31" s="2"/>
      <c r="L31" s="20"/>
      <c r="M31" s="20">
        <v>1</v>
      </c>
      <c r="N31" s="20"/>
      <c r="O31" s="20">
        <v>1</v>
      </c>
      <c r="P31" s="2"/>
      <c r="Q31" s="20"/>
      <c r="R31" s="2"/>
      <c r="S31" s="20"/>
      <c r="T31" s="20"/>
      <c r="U31" s="20"/>
      <c r="V31" s="45">
        <v>1</v>
      </c>
      <c r="W31" s="2"/>
      <c r="X31" s="20"/>
      <c r="Y31" s="2"/>
      <c r="Z31" s="45">
        <v>1</v>
      </c>
      <c r="AA31" s="20"/>
      <c r="AB31" s="20"/>
      <c r="AC31" s="45">
        <v>1</v>
      </c>
      <c r="AD31" s="2"/>
      <c r="AE31" s="20"/>
      <c r="AF31" s="20"/>
      <c r="AG31" s="21">
        <f t="shared" si="1"/>
        <v>6</v>
      </c>
      <c r="AH31" s="22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23" t="str">
        <f t="shared" si="2"/>
        <v>冠婷</v>
      </c>
      <c r="AJ31" s="24"/>
    </row>
    <row r="32" spans="1:36" ht="18" customHeight="1">
      <c r="A32" s="18" t="s">
        <v>174</v>
      </c>
      <c r="B32" s="19" t="s">
        <v>149</v>
      </c>
      <c r="C32" s="20"/>
      <c r="D32" s="2"/>
      <c r="E32" s="20"/>
      <c r="F32" s="20"/>
      <c r="G32" s="20"/>
      <c r="H32" s="20">
        <v>1</v>
      </c>
      <c r="I32" s="2"/>
      <c r="J32" s="20"/>
      <c r="K32" s="2"/>
      <c r="L32" s="20"/>
      <c r="M32" s="20"/>
      <c r="N32" s="20"/>
      <c r="O32" s="20">
        <v>1</v>
      </c>
      <c r="P32" s="2"/>
      <c r="Q32" s="20"/>
      <c r="R32" s="2"/>
      <c r="S32" s="20"/>
      <c r="T32" s="20"/>
      <c r="U32" s="20"/>
      <c r="V32" s="45">
        <v>1</v>
      </c>
      <c r="W32" s="2"/>
      <c r="X32" s="20"/>
      <c r="Y32" s="2"/>
      <c r="Z32" s="20"/>
      <c r="AA32" s="20"/>
      <c r="AB32" s="20"/>
      <c r="AC32" s="45">
        <v>1</v>
      </c>
      <c r="AD32" s="2"/>
      <c r="AE32" s="20"/>
      <c r="AF32" s="20"/>
      <c r="AG32" s="21">
        <f t="shared" si="1"/>
        <v>4</v>
      </c>
      <c r="AH32" s="22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23" t="str">
        <f t="shared" si="2"/>
        <v>晏寧</v>
      </c>
      <c r="AJ32" s="24"/>
    </row>
    <row r="33" spans="1:36" ht="18" customHeight="1">
      <c r="A33" s="18" t="s">
        <v>174</v>
      </c>
      <c r="B33" s="19" t="s">
        <v>146</v>
      </c>
      <c r="C33" s="20">
        <v>1</v>
      </c>
      <c r="D33" s="2"/>
      <c r="E33" s="20">
        <v>1</v>
      </c>
      <c r="F33" s="20"/>
      <c r="G33" s="20">
        <v>1</v>
      </c>
      <c r="H33" s="20">
        <v>1</v>
      </c>
      <c r="I33" s="2"/>
      <c r="J33" s="20">
        <v>1</v>
      </c>
      <c r="K33" s="2"/>
      <c r="L33" s="20"/>
      <c r="M33" s="20">
        <v>1</v>
      </c>
      <c r="N33" s="20">
        <v>1</v>
      </c>
      <c r="O33" s="20">
        <v>1</v>
      </c>
      <c r="P33" s="2"/>
      <c r="Q33" s="20"/>
      <c r="R33" s="2"/>
      <c r="S33" s="20"/>
      <c r="T33" s="20"/>
      <c r="U33" s="20"/>
      <c r="V33" s="45">
        <v>1</v>
      </c>
      <c r="W33" s="2"/>
      <c r="X33" s="45">
        <v>1</v>
      </c>
      <c r="Y33" s="2"/>
      <c r="Z33" s="20"/>
      <c r="AA33" s="20"/>
      <c r="AB33" s="20"/>
      <c r="AC33" s="45">
        <v>1</v>
      </c>
      <c r="AD33" s="2"/>
      <c r="AE33" s="20"/>
      <c r="AF33" s="20"/>
      <c r="AG33" s="21">
        <f t="shared" si="1"/>
        <v>11</v>
      </c>
      <c r="AH33" s="22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23" t="str">
        <f t="shared" si="2"/>
        <v>飛飛</v>
      </c>
      <c r="AJ33" s="24"/>
    </row>
    <row r="34" spans="1:36" ht="18" customHeight="1">
      <c r="A34" s="26" t="s">
        <v>174</v>
      </c>
      <c r="B34" s="27" t="s">
        <v>116</v>
      </c>
      <c r="C34" s="47">
        <v>1</v>
      </c>
      <c r="D34" s="2"/>
      <c r="E34" s="28"/>
      <c r="F34" s="28"/>
      <c r="G34" s="47">
        <v>1</v>
      </c>
      <c r="H34" s="28"/>
      <c r="I34" s="2"/>
      <c r="J34" s="47">
        <v>1</v>
      </c>
      <c r="K34" s="2"/>
      <c r="L34" s="47">
        <v>1</v>
      </c>
      <c r="M34" s="47">
        <v>1</v>
      </c>
      <c r="N34" s="47">
        <v>1</v>
      </c>
      <c r="O34" s="28"/>
      <c r="P34" s="2"/>
      <c r="Q34" s="47">
        <v>1</v>
      </c>
      <c r="R34" s="2"/>
      <c r="S34" s="47">
        <v>1</v>
      </c>
      <c r="T34" s="47">
        <v>1</v>
      </c>
      <c r="U34" s="47">
        <v>1</v>
      </c>
      <c r="V34" s="47">
        <v>1</v>
      </c>
      <c r="W34" s="2"/>
      <c r="X34" s="47">
        <v>1</v>
      </c>
      <c r="Y34" s="2"/>
      <c r="Z34" s="47">
        <v>1</v>
      </c>
      <c r="AA34" s="47">
        <v>1</v>
      </c>
      <c r="AB34" s="47">
        <v>1</v>
      </c>
      <c r="AC34" s="28"/>
      <c r="AD34" s="2"/>
      <c r="AE34" s="47">
        <v>1</v>
      </c>
      <c r="AF34" s="47">
        <v>1</v>
      </c>
      <c r="AG34" s="29">
        <f t="shared" si="1"/>
        <v>17</v>
      </c>
      <c r="AH34" s="30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31" t="str">
        <f t="shared" si="2"/>
        <v>大汪</v>
      </c>
      <c r="AJ34" s="32"/>
    </row>
    <row r="35" spans="1:36" ht="18" customHeight="1">
      <c r="A35" s="26" t="s">
        <v>174</v>
      </c>
      <c r="B35" s="27" t="s">
        <v>118</v>
      </c>
      <c r="C35" s="47">
        <v>1</v>
      </c>
      <c r="D35" s="2"/>
      <c r="E35" s="28"/>
      <c r="F35" s="28"/>
      <c r="G35" s="47">
        <v>1</v>
      </c>
      <c r="H35" s="28"/>
      <c r="I35" s="2"/>
      <c r="J35" s="47">
        <v>1</v>
      </c>
      <c r="K35" s="2"/>
      <c r="L35" s="47">
        <v>1</v>
      </c>
      <c r="M35" s="47">
        <v>1</v>
      </c>
      <c r="N35" s="47">
        <v>1</v>
      </c>
      <c r="O35" s="47">
        <v>1</v>
      </c>
      <c r="P35" s="2"/>
      <c r="Q35" s="47">
        <v>1</v>
      </c>
      <c r="R35" s="2"/>
      <c r="S35" s="28"/>
      <c r="T35" s="47">
        <v>1</v>
      </c>
      <c r="U35" s="47">
        <v>1</v>
      </c>
      <c r="V35" s="28"/>
      <c r="W35" s="2"/>
      <c r="X35" s="47">
        <v>1</v>
      </c>
      <c r="Y35" s="2"/>
      <c r="Z35" s="47">
        <v>1</v>
      </c>
      <c r="AA35" s="47">
        <v>1</v>
      </c>
      <c r="AB35" s="47">
        <v>1</v>
      </c>
      <c r="AC35" s="28"/>
      <c r="AD35" s="2"/>
      <c r="AE35" s="47">
        <v>1</v>
      </c>
      <c r="AF35" s="47"/>
      <c r="AG35" s="29">
        <f t="shared" si="1"/>
        <v>15</v>
      </c>
      <c r="AH35" s="30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31" t="str">
        <f t="shared" si="2"/>
        <v>雅筑</v>
      </c>
      <c r="AJ35" s="32"/>
    </row>
    <row r="36" spans="1:36" ht="18" customHeight="1">
      <c r="A36" s="26" t="s">
        <v>174</v>
      </c>
      <c r="B36" s="27" t="s">
        <v>141</v>
      </c>
      <c r="C36" s="28"/>
      <c r="D36" s="2"/>
      <c r="E36" s="28"/>
      <c r="F36" s="28"/>
      <c r="G36" s="47"/>
      <c r="H36" s="28"/>
      <c r="I36" s="2"/>
      <c r="J36" s="28"/>
      <c r="K36" s="2"/>
      <c r="L36" s="28"/>
      <c r="M36" s="28"/>
      <c r="N36" s="28"/>
      <c r="O36" s="28"/>
      <c r="P36" s="2"/>
      <c r="Q36" s="28"/>
      <c r="R36" s="2"/>
      <c r="S36" s="28"/>
      <c r="T36" s="28"/>
      <c r="U36" s="28"/>
      <c r="V36" s="28"/>
      <c r="W36" s="2"/>
      <c r="X36" s="28"/>
      <c r="Y36" s="2"/>
      <c r="Z36" s="28"/>
      <c r="AA36" s="28"/>
      <c r="AB36" s="28"/>
      <c r="AC36" s="28"/>
      <c r="AD36" s="2"/>
      <c r="AE36" s="28"/>
      <c r="AF36" s="28"/>
      <c r="AG36" s="29">
        <f t="shared" ref="AG36:AG67" si="3">COUNTA(C36:AF36)</f>
        <v>0</v>
      </c>
      <c r="AH36" s="30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31" t="str">
        <f t="shared" ref="AI36:AI67" si="4">B36</f>
        <v>Cindy</v>
      </c>
      <c r="AJ36" s="32"/>
    </row>
    <row r="37" spans="1:36" ht="18" customHeight="1">
      <c r="A37" s="26" t="s">
        <v>174</v>
      </c>
      <c r="B37" s="27" t="s">
        <v>103</v>
      </c>
      <c r="C37" s="47">
        <v>1</v>
      </c>
      <c r="D37" s="2"/>
      <c r="E37" s="47">
        <v>1</v>
      </c>
      <c r="F37" s="47">
        <v>1</v>
      </c>
      <c r="G37" s="47">
        <v>1</v>
      </c>
      <c r="H37" s="28"/>
      <c r="I37" s="2"/>
      <c r="J37" s="47">
        <v>1</v>
      </c>
      <c r="K37" s="2"/>
      <c r="L37" s="28"/>
      <c r="M37" s="47">
        <v>1</v>
      </c>
      <c r="N37" s="47">
        <v>1</v>
      </c>
      <c r="O37" s="28"/>
      <c r="P37" s="2"/>
      <c r="Q37" s="47">
        <v>1</v>
      </c>
      <c r="R37" s="2"/>
      <c r="S37" s="28"/>
      <c r="T37" s="47">
        <v>1</v>
      </c>
      <c r="U37" s="47">
        <v>1</v>
      </c>
      <c r="V37" s="28"/>
      <c r="W37" s="2"/>
      <c r="X37" s="47">
        <v>1</v>
      </c>
      <c r="Y37" s="2"/>
      <c r="Z37" s="28"/>
      <c r="AA37" s="47">
        <v>1</v>
      </c>
      <c r="AB37" s="47">
        <v>1</v>
      </c>
      <c r="AC37" s="28"/>
      <c r="AD37" s="2"/>
      <c r="AE37" s="47">
        <v>1</v>
      </c>
      <c r="AF37" s="47"/>
      <c r="AG37" s="29">
        <f t="shared" si="3"/>
        <v>14</v>
      </c>
      <c r="AH37" s="30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31" t="str">
        <f t="shared" si="4"/>
        <v>圈圈</v>
      </c>
      <c r="AJ37" s="33"/>
    </row>
    <row r="38" spans="1:36" ht="18" customHeight="1">
      <c r="A38" s="26" t="s">
        <v>174</v>
      </c>
      <c r="B38" s="27" t="s">
        <v>120</v>
      </c>
      <c r="C38" s="47">
        <v>1</v>
      </c>
      <c r="D38" s="2"/>
      <c r="E38" s="28"/>
      <c r="F38" s="28"/>
      <c r="G38" s="47">
        <v>1</v>
      </c>
      <c r="H38" s="28"/>
      <c r="I38" s="2"/>
      <c r="J38" s="47">
        <v>1</v>
      </c>
      <c r="K38" s="2"/>
      <c r="L38" s="47">
        <v>1</v>
      </c>
      <c r="M38" s="47">
        <v>1</v>
      </c>
      <c r="N38" s="47">
        <v>1</v>
      </c>
      <c r="O38" s="28"/>
      <c r="P38" s="2"/>
      <c r="Q38" s="47">
        <v>1</v>
      </c>
      <c r="R38" s="2"/>
      <c r="S38" s="47">
        <v>1</v>
      </c>
      <c r="T38" s="47">
        <v>1</v>
      </c>
      <c r="U38" s="47">
        <v>1</v>
      </c>
      <c r="V38" s="28"/>
      <c r="W38" s="2"/>
      <c r="X38" s="47">
        <v>1</v>
      </c>
      <c r="Y38" s="2"/>
      <c r="Z38" s="47">
        <v>1</v>
      </c>
      <c r="AA38" s="47">
        <v>1</v>
      </c>
      <c r="AB38" s="47">
        <v>1</v>
      </c>
      <c r="AC38" s="28"/>
      <c r="AD38" s="2"/>
      <c r="AE38" s="47">
        <v>1</v>
      </c>
      <c r="AF38" s="47"/>
      <c r="AG38" s="29">
        <f t="shared" si="3"/>
        <v>15</v>
      </c>
      <c r="AH38" s="30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31" t="str">
        <f t="shared" si="4"/>
        <v>品君</v>
      </c>
      <c r="AJ38" s="33"/>
    </row>
    <row r="39" spans="1:36" ht="18" customHeight="1">
      <c r="A39" s="26" t="s">
        <v>174</v>
      </c>
      <c r="B39" s="27" t="s">
        <v>142</v>
      </c>
      <c r="C39" s="47">
        <v>1</v>
      </c>
      <c r="D39" s="2"/>
      <c r="E39" s="28"/>
      <c r="F39" s="28"/>
      <c r="G39" s="47">
        <v>1</v>
      </c>
      <c r="H39" s="28"/>
      <c r="I39" s="2"/>
      <c r="J39" s="47">
        <v>1</v>
      </c>
      <c r="K39" s="2"/>
      <c r="L39" s="47">
        <v>1</v>
      </c>
      <c r="M39" s="47">
        <v>1</v>
      </c>
      <c r="N39" s="47">
        <v>1</v>
      </c>
      <c r="O39" s="47">
        <v>1</v>
      </c>
      <c r="P39" s="2"/>
      <c r="Q39" s="47">
        <v>1</v>
      </c>
      <c r="R39" s="2"/>
      <c r="S39" s="28"/>
      <c r="T39" s="47">
        <v>1</v>
      </c>
      <c r="U39" s="47">
        <v>1</v>
      </c>
      <c r="V39" s="28"/>
      <c r="W39" s="2"/>
      <c r="X39" s="47">
        <v>1</v>
      </c>
      <c r="Y39" s="2"/>
      <c r="Z39" s="28"/>
      <c r="AA39" s="28"/>
      <c r="AB39" s="28"/>
      <c r="AC39" s="28"/>
      <c r="AD39" s="2"/>
      <c r="AE39" s="47">
        <v>1</v>
      </c>
      <c r="AF39" s="47"/>
      <c r="AG39" s="29">
        <f t="shared" si="3"/>
        <v>12</v>
      </c>
      <c r="AH39" s="30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31" t="str">
        <f t="shared" si="4"/>
        <v>如靜</v>
      </c>
      <c r="AJ39" s="33"/>
    </row>
    <row r="40" spans="1:36" ht="18" customHeight="1">
      <c r="A40" s="26" t="s">
        <v>174</v>
      </c>
      <c r="B40" s="27" t="s">
        <v>143</v>
      </c>
      <c r="C40" s="47">
        <v>1</v>
      </c>
      <c r="D40" s="2"/>
      <c r="E40" s="28"/>
      <c r="F40" s="28"/>
      <c r="G40" s="47">
        <v>1</v>
      </c>
      <c r="H40" s="28"/>
      <c r="I40" s="2"/>
      <c r="J40" s="47">
        <v>1</v>
      </c>
      <c r="K40" s="2"/>
      <c r="L40" s="28"/>
      <c r="M40" s="47">
        <v>1</v>
      </c>
      <c r="N40" s="47">
        <v>1</v>
      </c>
      <c r="O40" s="28"/>
      <c r="P40" s="2"/>
      <c r="Q40" s="47">
        <v>1</v>
      </c>
      <c r="R40" s="2"/>
      <c r="S40" s="28"/>
      <c r="T40" s="28"/>
      <c r="U40" s="28"/>
      <c r="V40" s="28"/>
      <c r="W40" s="2"/>
      <c r="X40" s="47">
        <v>1</v>
      </c>
      <c r="Y40" s="2"/>
      <c r="Z40" s="28"/>
      <c r="AA40" s="28"/>
      <c r="AB40" s="28"/>
      <c r="AC40" s="28"/>
      <c r="AD40" s="2"/>
      <c r="AE40" s="47">
        <v>1</v>
      </c>
      <c r="AF40" s="47"/>
      <c r="AG40" s="29">
        <f t="shared" si="3"/>
        <v>8</v>
      </c>
      <c r="AH40" s="30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31" t="str">
        <f t="shared" si="4"/>
        <v>毓玫</v>
      </c>
      <c r="AJ40" s="33"/>
    </row>
    <row r="41" spans="1:36" ht="18" customHeight="1">
      <c r="A41" s="26" t="s">
        <v>174</v>
      </c>
      <c r="B41" s="27" t="s">
        <v>144</v>
      </c>
      <c r="C41" s="47">
        <v>1</v>
      </c>
      <c r="D41" s="2"/>
      <c r="E41" s="28"/>
      <c r="F41" s="28"/>
      <c r="G41" s="47">
        <v>1</v>
      </c>
      <c r="H41" s="28"/>
      <c r="I41" s="2"/>
      <c r="J41" s="47">
        <v>1</v>
      </c>
      <c r="K41" s="2"/>
      <c r="L41" s="47">
        <v>1</v>
      </c>
      <c r="M41" s="47">
        <v>1</v>
      </c>
      <c r="N41" s="47">
        <v>1</v>
      </c>
      <c r="O41" s="28"/>
      <c r="P41" s="2"/>
      <c r="Q41" s="47">
        <v>1</v>
      </c>
      <c r="R41" s="2"/>
      <c r="S41" s="28"/>
      <c r="T41" s="47">
        <v>1</v>
      </c>
      <c r="U41" s="47">
        <v>1</v>
      </c>
      <c r="V41" s="47">
        <v>1</v>
      </c>
      <c r="W41" s="2"/>
      <c r="X41" s="47">
        <v>1</v>
      </c>
      <c r="Y41" s="2"/>
      <c r="Z41" s="47">
        <v>1</v>
      </c>
      <c r="AA41" s="47">
        <v>1</v>
      </c>
      <c r="AB41" s="47">
        <v>1</v>
      </c>
      <c r="AC41" s="28"/>
      <c r="AD41" s="2"/>
      <c r="AE41" s="47">
        <v>1</v>
      </c>
      <c r="AF41" s="47"/>
      <c r="AG41" s="29">
        <f t="shared" si="3"/>
        <v>15</v>
      </c>
      <c r="AH41" s="30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31" t="str">
        <f t="shared" si="4"/>
        <v>美枝</v>
      </c>
      <c r="AJ41" s="32"/>
    </row>
    <row r="42" spans="1:36" ht="18" customHeight="1">
      <c r="A42" s="26" t="s">
        <v>174</v>
      </c>
      <c r="B42" s="27" t="s">
        <v>145</v>
      </c>
      <c r="C42" s="47">
        <v>1</v>
      </c>
      <c r="D42" s="2"/>
      <c r="E42" s="28"/>
      <c r="F42" s="28"/>
      <c r="G42" s="47">
        <v>1</v>
      </c>
      <c r="H42" s="28"/>
      <c r="I42" s="2"/>
      <c r="J42" s="47">
        <v>1</v>
      </c>
      <c r="K42" s="2"/>
      <c r="L42" s="47">
        <v>1</v>
      </c>
      <c r="M42" s="47">
        <v>1</v>
      </c>
      <c r="N42" s="47">
        <v>1</v>
      </c>
      <c r="O42" s="28"/>
      <c r="P42" s="2"/>
      <c r="Q42" s="47">
        <v>1</v>
      </c>
      <c r="R42" s="2"/>
      <c r="S42" s="28"/>
      <c r="T42" s="47">
        <v>1</v>
      </c>
      <c r="U42" s="47">
        <v>1</v>
      </c>
      <c r="V42" s="28"/>
      <c r="W42" s="2"/>
      <c r="X42" s="47">
        <v>1</v>
      </c>
      <c r="Y42" s="2"/>
      <c r="Z42" s="47">
        <v>1</v>
      </c>
      <c r="AA42" s="47">
        <v>1</v>
      </c>
      <c r="AB42" s="47">
        <v>1</v>
      </c>
      <c r="AC42" s="28"/>
      <c r="AD42" s="2"/>
      <c r="AE42" s="47">
        <v>1</v>
      </c>
      <c r="AF42" s="47"/>
      <c r="AG42" s="29">
        <f t="shared" si="3"/>
        <v>14</v>
      </c>
      <c r="AH42" s="30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31" t="str">
        <f t="shared" si="4"/>
        <v>魯魯咪</v>
      </c>
      <c r="AJ42" s="34"/>
    </row>
    <row r="43" spans="1:36" ht="18" customHeight="1">
      <c r="A43" s="9" t="s">
        <v>58</v>
      </c>
      <c r="B43" s="10" t="s">
        <v>23</v>
      </c>
      <c r="C43" s="48">
        <v>1</v>
      </c>
      <c r="D43" s="2"/>
      <c r="E43" s="48">
        <v>1</v>
      </c>
      <c r="F43" s="48">
        <v>1</v>
      </c>
      <c r="G43" s="48">
        <v>1</v>
      </c>
      <c r="H43" s="48">
        <v>1</v>
      </c>
      <c r="I43" s="2"/>
      <c r="J43" s="48">
        <v>1</v>
      </c>
      <c r="K43" s="2"/>
      <c r="L43" s="48">
        <v>1</v>
      </c>
      <c r="M43" s="48">
        <v>1</v>
      </c>
      <c r="N43" s="48">
        <v>1</v>
      </c>
      <c r="O43" s="48">
        <v>1</v>
      </c>
      <c r="P43" s="2"/>
      <c r="Q43" s="48">
        <v>1</v>
      </c>
      <c r="R43" s="2"/>
      <c r="S43" s="48">
        <v>1</v>
      </c>
      <c r="T43" s="48">
        <v>1</v>
      </c>
      <c r="U43" s="48">
        <v>1</v>
      </c>
      <c r="V43" s="48">
        <v>1</v>
      </c>
      <c r="W43" s="2"/>
      <c r="X43" s="48">
        <v>1</v>
      </c>
      <c r="Y43" s="2"/>
      <c r="Z43" s="48">
        <v>1</v>
      </c>
      <c r="AA43" s="48">
        <v>1</v>
      </c>
      <c r="AB43" s="48">
        <v>1</v>
      </c>
      <c r="AC43" s="48">
        <v>1</v>
      </c>
      <c r="AD43" s="2"/>
      <c r="AE43" s="48">
        <v>1</v>
      </c>
      <c r="AF43" s="48">
        <v>1</v>
      </c>
      <c r="AG43" s="13">
        <f t="shared" si="3"/>
        <v>22</v>
      </c>
      <c r="AH43" s="14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15" t="str">
        <f t="shared" si="4"/>
        <v>ㄈㄈ</v>
      </c>
      <c r="AJ43" s="17"/>
    </row>
    <row r="44" spans="1:36" ht="18" customHeight="1">
      <c r="A44" s="9" t="s">
        <v>58</v>
      </c>
      <c r="B44" s="10" t="s">
        <v>24</v>
      </c>
      <c r="C44" s="48">
        <v>1</v>
      </c>
      <c r="D44" s="2"/>
      <c r="E44" s="48">
        <v>1</v>
      </c>
      <c r="F44" s="11"/>
      <c r="G44" s="48">
        <v>1</v>
      </c>
      <c r="H44" s="48">
        <v>1</v>
      </c>
      <c r="I44" s="2"/>
      <c r="J44" s="48">
        <v>1</v>
      </c>
      <c r="K44" s="2"/>
      <c r="L44" s="48">
        <v>1</v>
      </c>
      <c r="M44" s="48">
        <v>1</v>
      </c>
      <c r="N44" s="48">
        <v>1</v>
      </c>
      <c r="O44" s="48">
        <v>1</v>
      </c>
      <c r="P44" s="2"/>
      <c r="Q44" s="48">
        <v>1</v>
      </c>
      <c r="R44" s="46">
        <v>1</v>
      </c>
      <c r="S44" s="48">
        <v>1</v>
      </c>
      <c r="T44" s="48">
        <v>1</v>
      </c>
      <c r="U44" s="48">
        <v>1</v>
      </c>
      <c r="V44" s="48">
        <v>1</v>
      </c>
      <c r="W44" s="2"/>
      <c r="X44" s="48">
        <v>1</v>
      </c>
      <c r="Y44" s="2"/>
      <c r="Z44" s="48">
        <v>1</v>
      </c>
      <c r="AA44" s="48">
        <v>1</v>
      </c>
      <c r="AB44" s="48">
        <v>1</v>
      </c>
      <c r="AC44" s="48">
        <v>1</v>
      </c>
      <c r="AD44" s="2"/>
      <c r="AE44" s="48">
        <v>1</v>
      </c>
      <c r="AF44" s="48"/>
      <c r="AG44" s="13">
        <f t="shared" si="3"/>
        <v>21</v>
      </c>
      <c r="AH44" s="14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15" t="str">
        <f t="shared" si="4"/>
        <v>大熊</v>
      </c>
      <c r="AJ44" s="17"/>
    </row>
    <row r="45" spans="1:36" ht="18" customHeight="1">
      <c r="A45" s="9" t="s">
        <v>58</v>
      </c>
      <c r="B45" s="10" t="s">
        <v>64</v>
      </c>
      <c r="C45" s="48">
        <v>1</v>
      </c>
      <c r="D45" s="2"/>
      <c r="E45" s="48">
        <v>1</v>
      </c>
      <c r="F45" s="11"/>
      <c r="G45" s="48">
        <v>1</v>
      </c>
      <c r="H45" s="48">
        <v>1</v>
      </c>
      <c r="I45" s="2"/>
      <c r="J45" s="48">
        <v>1</v>
      </c>
      <c r="K45" s="2"/>
      <c r="L45" s="48">
        <v>1</v>
      </c>
      <c r="M45" s="48">
        <v>1</v>
      </c>
      <c r="N45" s="48">
        <v>1</v>
      </c>
      <c r="O45" s="11"/>
      <c r="P45" s="2"/>
      <c r="Q45" s="48">
        <v>1</v>
      </c>
      <c r="R45" s="46">
        <v>1</v>
      </c>
      <c r="S45" s="48">
        <v>1</v>
      </c>
      <c r="T45" s="48">
        <v>1</v>
      </c>
      <c r="U45" s="48">
        <v>1</v>
      </c>
      <c r="V45" s="48">
        <v>1</v>
      </c>
      <c r="W45" s="2"/>
      <c r="X45" s="48">
        <v>1</v>
      </c>
      <c r="Y45" s="2"/>
      <c r="Z45" s="48">
        <v>1</v>
      </c>
      <c r="AA45" s="48">
        <v>1</v>
      </c>
      <c r="AB45" s="48">
        <v>1</v>
      </c>
      <c r="AC45" s="48">
        <v>1</v>
      </c>
      <c r="AD45" s="2"/>
      <c r="AE45" s="48">
        <v>1</v>
      </c>
      <c r="AF45" s="48">
        <v>1</v>
      </c>
      <c r="AG45" s="13">
        <f t="shared" si="3"/>
        <v>21</v>
      </c>
      <c r="AH45" s="14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15" t="str">
        <f t="shared" si="4"/>
        <v>園棠</v>
      </c>
      <c r="AJ45" s="17"/>
    </row>
    <row r="46" spans="1:36" ht="18" customHeight="1">
      <c r="A46" s="9" t="s">
        <v>58</v>
      </c>
      <c r="B46" s="10" t="s">
        <v>178</v>
      </c>
      <c r="C46" s="48">
        <v>1</v>
      </c>
      <c r="D46" s="2"/>
      <c r="E46" s="48">
        <v>1</v>
      </c>
      <c r="F46" s="11"/>
      <c r="G46" s="48">
        <v>1</v>
      </c>
      <c r="H46" s="48">
        <v>1</v>
      </c>
      <c r="I46" s="2"/>
      <c r="J46" s="48">
        <v>1</v>
      </c>
      <c r="K46" s="2"/>
      <c r="L46" s="48">
        <v>1</v>
      </c>
      <c r="M46" s="48">
        <v>1</v>
      </c>
      <c r="N46" s="48">
        <v>1</v>
      </c>
      <c r="O46" s="48">
        <v>1</v>
      </c>
      <c r="P46" s="2"/>
      <c r="Q46" s="48">
        <v>1</v>
      </c>
      <c r="R46" s="46">
        <v>1</v>
      </c>
      <c r="S46" s="48">
        <v>1</v>
      </c>
      <c r="T46" s="48">
        <v>1</v>
      </c>
      <c r="U46" s="48">
        <v>1</v>
      </c>
      <c r="V46" s="48">
        <v>1</v>
      </c>
      <c r="W46" s="2"/>
      <c r="X46" s="48">
        <v>1</v>
      </c>
      <c r="Y46" s="2"/>
      <c r="Z46" s="48">
        <v>1</v>
      </c>
      <c r="AA46" s="48">
        <v>1</v>
      </c>
      <c r="AB46" s="48">
        <v>1</v>
      </c>
      <c r="AC46" s="48">
        <v>1</v>
      </c>
      <c r="AD46" s="2"/>
      <c r="AE46" s="48">
        <v>1</v>
      </c>
      <c r="AF46" s="48"/>
      <c r="AG46" s="13">
        <f t="shared" si="3"/>
        <v>21</v>
      </c>
      <c r="AH46" s="14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15" t="str">
        <f t="shared" si="4"/>
        <v>Fish</v>
      </c>
      <c r="AJ46" s="17"/>
    </row>
    <row r="47" spans="1:36" ht="18" customHeight="1">
      <c r="A47" s="9" t="s">
        <v>58</v>
      </c>
      <c r="B47" s="10" t="s">
        <v>25</v>
      </c>
      <c r="C47" s="48">
        <v>1</v>
      </c>
      <c r="D47" s="2"/>
      <c r="E47" s="48">
        <v>1</v>
      </c>
      <c r="F47" s="11"/>
      <c r="G47" s="48">
        <v>1</v>
      </c>
      <c r="H47" s="11"/>
      <c r="I47" s="2"/>
      <c r="J47" s="48">
        <v>1</v>
      </c>
      <c r="K47" s="2"/>
      <c r="L47" s="48">
        <v>1</v>
      </c>
      <c r="M47" s="48">
        <v>1</v>
      </c>
      <c r="N47" s="48">
        <v>1</v>
      </c>
      <c r="O47" s="48">
        <v>1</v>
      </c>
      <c r="P47" s="2"/>
      <c r="Q47" s="48">
        <v>1</v>
      </c>
      <c r="R47" s="2"/>
      <c r="S47" s="48">
        <v>1</v>
      </c>
      <c r="T47" s="48">
        <v>1</v>
      </c>
      <c r="U47" s="48">
        <v>1</v>
      </c>
      <c r="V47" s="48">
        <v>1</v>
      </c>
      <c r="W47" s="2"/>
      <c r="X47" s="48">
        <v>1</v>
      </c>
      <c r="Y47" s="2"/>
      <c r="Z47" s="48">
        <v>1</v>
      </c>
      <c r="AA47" s="48">
        <v>1</v>
      </c>
      <c r="AB47" s="48">
        <v>1</v>
      </c>
      <c r="AC47" s="48">
        <v>1</v>
      </c>
      <c r="AD47" s="2"/>
      <c r="AE47" s="48">
        <v>1</v>
      </c>
      <c r="AF47" s="48">
        <v>1</v>
      </c>
      <c r="AG47" s="13">
        <f t="shared" si="3"/>
        <v>20</v>
      </c>
      <c r="AH47" s="14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15" t="str">
        <f t="shared" si="4"/>
        <v>潘潘</v>
      </c>
      <c r="AJ47" s="17"/>
    </row>
    <row r="48" spans="1:36" ht="18" customHeight="1">
      <c r="A48" s="9" t="s">
        <v>58</v>
      </c>
      <c r="B48" s="10" t="s">
        <v>63</v>
      </c>
      <c r="C48" s="48">
        <v>1</v>
      </c>
      <c r="D48" s="2"/>
      <c r="E48" s="48">
        <v>1</v>
      </c>
      <c r="F48" s="11"/>
      <c r="G48" s="48">
        <v>1</v>
      </c>
      <c r="H48" s="48">
        <v>1</v>
      </c>
      <c r="I48" s="2"/>
      <c r="J48" s="48">
        <v>1</v>
      </c>
      <c r="K48" s="2"/>
      <c r="L48" s="48">
        <v>1</v>
      </c>
      <c r="M48" s="48">
        <v>1</v>
      </c>
      <c r="N48" s="48">
        <v>1</v>
      </c>
      <c r="O48" s="11"/>
      <c r="P48" s="2"/>
      <c r="Q48" s="11"/>
      <c r="R48" s="2"/>
      <c r="S48" s="11"/>
      <c r="T48" s="11"/>
      <c r="U48" s="11"/>
      <c r="V48" s="11"/>
      <c r="W48" s="2"/>
      <c r="X48" s="11"/>
      <c r="Y48" s="2"/>
      <c r="Z48" s="48">
        <v>1</v>
      </c>
      <c r="AA48" s="48">
        <v>1</v>
      </c>
      <c r="AB48" s="48">
        <v>1</v>
      </c>
      <c r="AC48" s="48">
        <v>1</v>
      </c>
      <c r="AD48" s="2"/>
      <c r="AE48" s="48">
        <v>1</v>
      </c>
      <c r="AF48" s="48">
        <v>1</v>
      </c>
      <c r="AG48" s="13">
        <f t="shared" si="3"/>
        <v>14</v>
      </c>
      <c r="AH48" s="14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15" t="str">
        <f t="shared" si="4"/>
        <v>芒果</v>
      </c>
      <c r="AJ48" s="17"/>
    </row>
    <row r="49" spans="1:36" ht="18" customHeight="1">
      <c r="A49" s="9" t="s">
        <v>58</v>
      </c>
      <c r="B49" s="10" t="s">
        <v>22</v>
      </c>
      <c r="C49" s="48">
        <v>1</v>
      </c>
      <c r="D49" s="2"/>
      <c r="E49" s="48">
        <v>1</v>
      </c>
      <c r="F49" s="48">
        <v>1</v>
      </c>
      <c r="G49" s="48">
        <v>1</v>
      </c>
      <c r="H49" s="48">
        <v>1</v>
      </c>
      <c r="I49" s="2"/>
      <c r="J49" s="48">
        <v>1</v>
      </c>
      <c r="K49" s="2"/>
      <c r="L49" s="48">
        <v>1</v>
      </c>
      <c r="M49" s="48">
        <v>1</v>
      </c>
      <c r="N49" s="48"/>
      <c r="O49" s="48">
        <v>1</v>
      </c>
      <c r="P49" s="2"/>
      <c r="Q49" s="48">
        <v>1</v>
      </c>
      <c r="R49" s="46">
        <v>1</v>
      </c>
      <c r="S49" s="48">
        <v>1</v>
      </c>
      <c r="T49" s="48">
        <v>1</v>
      </c>
      <c r="U49" s="48">
        <v>1</v>
      </c>
      <c r="V49" s="48">
        <v>1</v>
      </c>
      <c r="W49" s="2"/>
      <c r="X49" s="48"/>
      <c r="Y49" s="2"/>
      <c r="Z49" s="48">
        <v>1</v>
      </c>
      <c r="AA49" s="48"/>
      <c r="AB49" s="48">
        <v>1</v>
      </c>
      <c r="AC49" s="48">
        <v>1</v>
      </c>
      <c r="AD49" s="2"/>
      <c r="AE49" s="48">
        <v>1</v>
      </c>
      <c r="AF49" s="48"/>
      <c r="AG49" s="13">
        <f t="shared" si="3"/>
        <v>19</v>
      </c>
      <c r="AH49" s="14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15" t="str">
        <f t="shared" si="4"/>
        <v>Mars</v>
      </c>
      <c r="AJ49" s="17"/>
    </row>
    <row r="50" spans="1:36" ht="18" customHeight="1">
      <c r="A50" s="9" t="s">
        <v>58</v>
      </c>
      <c r="B50" s="10" t="s">
        <v>59</v>
      </c>
      <c r="C50" s="11"/>
      <c r="D50" s="2"/>
      <c r="E50" s="11"/>
      <c r="F50" s="11"/>
      <c r="G50" s="11"/>
      <c r="H50" s="11"/>
      <c r="I50" s="2"/>
      <c r="J50" s="11"/>
      <c r="K50" s="2"/>
      <c r="L50" s="11"/>
      <c r="M50" s="11"/>
      <c r="N50" s="11"/>
      <c r="O50" s="11"/>
      <c r="P50" s="2"/>
      <c r="Q50" s="11"/>
      <c r="R50" s="2"/>
      <c r="S50" s="11"/>
      <c r="T50" s="11"/>
      <c r="U50" s="11"/>
      <c r="V50" s="11"/>
      <c r="W50" s="2"/>
      <c r="X50" s="11"/>
      <c r="Y50" s="2"/>
      <c r="Z50" s="11"/>
      <c r="AA50" s="11"/>
      <c r="AB50" s="11"/>
      <c r="AC50" s="11"/>
      <c r="AD50" s="2"/>
      <c r="AE50" s="11"/>
      <c r="AF50" s="11"/>
      <c r="AG50" s="13">
        <f t="shared" si="3"/>
        <v>0</v>
      </c>
      <c r="AH50" s="14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15" t="str">
        <f t="shared" si="4"/>
        <v>阿幹</v>
      </c>
      <c r="AJ50" s="17"/>
    </row>
    <row r="51" spans="1:36" ht="18" customHeight="1">
      <c r="A51" s="9" t="s">
        <v>58</v>
      </c>
      <c r="B51" s="10" t="s">
        <v>27</v>
      </c>
      <c r="C51" s="11"/>
      <c r="D51" s="2"/>
      <c r="E51" s="11"/>
      <c r="F51" s="11"/>
      <c r="G51" s="11"/>
      <c r="H51" s="11"/>
      <c r="I51" s="2"/>
      <c r="J51" s="11"/>
      <c r="K51" s="2"/>
      <c r="L51" s="11"/>
      <c r="M51" s="11"/>
      <c r="N51" s="48">
        <v>1</v>
      </c>
      <c r="O51" s="11"/>
      <c r="P51" s="2"/>
      <c r="Q51" s="11"/>
      <c r="R51" s="2"/>
      <c r="S51" s="11"/>
      <c r="T51" s="11"/>
      <c r="U51" s="11"/>
      <c r="V51" s="11"/>
      <c r="W51" s="2"/>
      <c r="X51" s="11"/>
      <c r="Y51" s="2"/>
      <c r="Z51" s="11"/>
      <c r="AA51" s="11"/>
      <c r="AB51" s="11"/>
      <c r="AC51" s="11"/>
      <c r="AD51" s="2"/>
      <c r="AE51" s="11"/>
      <c r="AF51" s="11"/>
      <c r="AG51" s="13">
        <f t="shared" si="3"/>
        <v>1</v>
      </c>
      <c r="AH51" s="14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15" t="str">
        <f t="shared" si="4"/>
        <v>芋圓</v>
      </c>
      <c r="AJ51" s="17"/>
    </row>
    <row r="52" spans="1:36" ht="18" customHeight="1">
      <c r="A52" s="9" t="s">
        <v>58</v>
      </c>
      <c r="B52" s="10" t="s">
        <v>28</v>
      </c>
      <c r="C52" s="11"/>
      <c r="D52" s="2"/>
      <c r="E52" s="11"/>
      <c r="F52" s="11"/>
      <c r="G52" s="11"/>
      <c r="H52" s="48">
        <v>1</v>
      </c>
      <c r="I52" s="2"/>
      <c r="J52" s="11"/>
      <c r="K52" s="2"/>
      <c r="L52" s="48">
        <v>1</v>
      </c>
      <c r="M52" s="11"/>
      <c r="N52" s="11"/>
      <c r="O52" s="48">
        <v>1</v>
      </c>
      <c r="P52" s="2"/>
      <c r="Q52" s="11"/>
      <c r="R52" s="2"/>
      <c r="S52" s="48">
        <v>1</v>
      </c>
      <c r="T52" s="48">
        <v>1</v>
      </c>
      <c r="U52" s="11"/>
      <c r="V52" s="48">
        <v>1</v>
      </c>
      <c r="W52" s="2"/>
      <c r="X52" s="11"/>
      <c r="Y52" s="2"/>
      <c r="Z52" s="11"/>
      <c r="AA52" s="11"/>
      <c r="AB52" s="11"/>
      <c r="AC52" s="48">
        <v>1</v>
      </c>
      <c r="AD52" s="2"/>
      <c r="AE52" s="11"/>
      <c r="AF52" s="11"/>
      <c r="AG52" s="13">
        <f t="shared" si="3"/>
        <v>7</v>
      </c>
      <c r="AH52" s="14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15" t="str">
        <f t="shared" si="4"/>
        <v>克勤</v>
      </c>
      <c r="AJ52" s="17"/>
    </row>
    <row r="53" spans="1:36" ht="18" customHeight="1">
      <c r="A53" s="9" t="s">
        <v>58</v>
      </c>
      <c r="B53" s="10" t="s">
        <v>29</v>
      </c>
      <c r="C53" s="11"/>
      <c r="D53" s="2"/>
      <c r="E53" s="11"/>
      <c r="F53" s="11"/>
      <c r="G53" s="11"/>
      <c r="H53" s="48">
        <v>1</v>
      </c>
      <c r="I53" s="2"/>
      <c r="J53" s="11"/>
      <c r="K53" s="2"/>
      <c r="L53" s="11"/>
      <c r="M53" s="11"/>
      <c r="N53" s="11"/>
      <c r="O53" s="48">
        <v>1</v>
      </c>
      <c r="P53" s="2"/>
      <c r="Q53" s="11"/>
      <c r="R53" s="2"/>
      <c r="S53" s="11"/>
      <c r="T53" s="11"/>
      <c r="U53" s="11"/>
      <c r="V53" s="11"/>
      <c r="W53" s="2"/>
      <c r="X53" s="11"/>
      <c r="Y53" s="2"/>
      <c r="Z53" s="11"/>
      <c r="AA53" s="11"/>
      <c r="AB53" s="11"/>
      <c r="AC53" s="48">
        <v>1</v>
      </c>
      <c r="AD53" s="2"/>
      <c r="AE53" s="11"/>
      <c r="AF53" s="11"/>
      <c r="AG53" s="13">
        <f t="shared" si="3"/>
        <v>3</v>
      </c>
      <c r="AH53" s="14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15" t="str">
        <f t="shared" si="4"/>
        <v>大頭</v>
      </c>
      <c r="AJ53" s="17"/>
    </row>
    <row r="54" spans="1:36" ht="18" customHeight="1">
      <c r="A54" s="9" t="s">
        <v>58</v>
      </c>
      <c r="B54" s="10" t="s">
        <v>66</v>
      </c>
      <c r="C54" s="11"/>
      <c r="D54" s="2"/>
      <c r="E54" s="11"/>
      <c r="F54" s="11"/>
      <c r="G54" s="11"/>
      <c r="H54" s="11"/>
      <c r="I54" s="2"/>
      <c r="J54" s="11"/>
      <c r="K54" s="2"/>
      <c r="L54" s="11"/>
      <c r="M54" s="11"/>
      <c r="N54" s="11"/>
      <c r="O54" s="11"/>
      <c r="P54" s="2"/>
      <c r="Q54" s="11"/>
      <c r="R54" s="2"/>
      <c r="S54" s="11"/>
      <c r="T54" s="11"/>
      <c r="U54" s="11"/>
      <c r="V54" s="11"/>
      <c r="W54" s="2"/>
      <c r="X54" s="11"/>
      <c r="Y54" s="2"/>
      <c r="Z54" s="11"/>
      <c r="AA54" s="11"/>
      <c r="AB54" s="48">
        <v>1</v>
      </c>
      <c r="AC54" s="11"/>
      <c r="AD54" s="2"/>
      <c r="AE54" s="11"/>
      <c r="AF54" s="11"/>
      <c r="AG54" s="13">
        <f t="shared" si="3"/>
        <v>1</v>
      </c>
      <c r="AH54" s="14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15" t="str">
        <f t="shared" si="4"/>
        <v>昆佑</v>
      </c>
      <c r="AJ54" s="17"/>
    </row>
    <row r="55" spans="1:36" ht="18" customHeight="1">
      <c r="A55" s="9" t="s">
        <v>58</v>
      </c>
      <c r="B55" s="10" t="s">
        <v>68</v>
      </c>
      <c r="C55" s="11"/>
      <c r="D55" s="2"/>
      <c r="E55" s="11"/>
      <c r="F55" s="11"/>
      <c r="G55" s="11"/>
      <c r="H55" s="11"/>
      <c r="I55" s="2"/>
      <c r="J55" s="11"/>
      <c r="K55" s="2"/>
      <c r="L55" s="11"/>
      <c r="M55" s="11"/>
      <c r="N55" s="11"/>
      <c r="O55" s="11"/>
      <c r="P55" s="2"/>
      <c r="Q55" s="11"/>
      <c r="R55" s="2"/>
      <c r="S55" s="11"/>
      <c r="T55" s="11"/>
      <c r="U55" s="11"/>
      <c r="V55" s="11"/>
      <c r="W55" s="2"/>
      <c r="X55" s="11"/>
      <c r="Y55" s="2"/>
      <c r="Z55" s="11"/>
      <c r="AA55" s="11"/>
      <c r="AB55" s="11"/>
      <c r="AC55" s="11"/>
      <c r="AD55" s="2"/>
      <c r="AE55" s="11"/>
      <c r="AF55" s="11"/>
      <c r="AG55" s="13">
        <f t="shared" si="3"/>
        <v>0</v>
      </c>
      <c r="AH55" s="14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15" t="str">
        <f t="shared" si="4"/>
        <v>兔子</v>
      </c>
      <c r="AJ55" s="17"/>
    </row>
    <row r="56" spans="1:36" ht="18" customHeight="1">
      <c r="A56" s="9" t="s">
        <v>58</v>
      </c>
      <c r="B56" s="10" t="s">
        <v>69</v>
      </c>
      <c r="C56" s="11"/>
      <c r="D56" s="2"/>
      <c r="E56" s="11"/>
      <c r="F56" s="11"/>
      <c r="G56" s="11"/>
      <c r="H56" s="11"/>
      <c r="I56" s="2"/>
      <c r="J56" s="11"/>
      <c r="K56" s="2"/>
      <c r="L56" s="11"/>
      <c r="M56" s="11"/>
      <c r="N56" s="11"/>
      <c r="O56" s="11"/>
      <c r="P56" s="2"/>
      <c r="Q56" s="11"/>
      <c r="R56" s="2"/>
      <c r="S56" s="11"/>
      <c r="T56" s="11"/>
      <c r="U56" s="11"/>
      <c r="V56" s="11"/>
      <c r="W56" s="2"/>
      <c r="X56" s="11"/>
      <c r="Y56" s="2"/>
      <c r="Z56" s="11"/>
      <c r="AA56" s="11"/>
      <c r="AB56" s="11"/>
      <c r="AC56" s="11"/>
      <c r="AD56" s="2"/>
      <c r="AE56" s="11"/>
      <c r="AF56" s="11"/>
      <c r="AG56" s="13">
        <f t="shared" si="3"/>
        <v>0</v>
      </c>
      <c r="AH56" s="14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15" t="str">
        <f t="shared" si="4"/>
        <v>小馬</v>
      </c>
      <c r="AJ56" s="17"/>
    </row>
    <row r="57" spans="1:36" ht="18" customHeight="1">
      <c r="A57" s="9" t="s">
        <v>58</v>
      </c>
      <c r="B57" s="10" t="s">
        <v>70</v>
      </c>
      <c r="C57" s="11"/>
      <c r="D57" s="2"/>
      <c r="E57" s="11"/>
      <c r="F57" s="11"/>
      <c r="G57" s="11"/>
      <c r="H57" s="11"/>
      <c r="I57" s="2"/>
      <c r="J57" s="11"/>
      <c r="K57" s="2"/>
      <c r="L57" s="11"/>
      <c r="M57" s="11"/>
      <c r="N57" s="11"/>
      <c r="O57" s="11"/>
      <c r="P57" s="2"/>
      <c r="Q57" s="11"/>
      <c r="R57" s="2"/>
      <c r="S57" s="11"/>
      <c r="T57" s="11"/>
      <c r="U57" s="11"/>
      <c r="V57" s="11"/>
      <c r="W57" s="2"/>
      <c r="X57" s="11"/>
      <c r="Y57" s="2"/>
      <c r="Z57" s="11"/>
      <c r="AA57" s="11"/>
      <c r="AB57" s="11"/>
      <c r="AC57" s="11"/>
      <c r="AD57" s="2"/>
      <c r="AE57" s="11"/>
      <c r="AF57" s="11"/>
      <c r="AG57" s="13">
        <f t="shared" si="3"/>
        <v>0</v>
      </c>
      <c r="AH57" s="14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15" t="str">
        <f t="shared" si="4"/>
        <v>Allen</v>
      </c>
      <c r="AJ57" s="17"/>
    </row>
    <row r="58" spans="1:36" ht="18" customHeight="1">
      <c r="A58" s="9" t="s">
        <v>58</v>
      </c>
      <c r="B58" s="10" t="s">
        <v>71</v>
      </c>
      <c r="C58" s="11"/>
      <c r="D58" s="2"/>
      <c r="E58" s="11"/>
      <c r="F58" s="11"/>
      <c r="G58" s="11"/>
      <c r="H58" s="11"/>
      <c r="I58" s="2"/>
      <c r="J58" s="11"/>
      <c r="K58" s="2"/>
      <c r="L58" s="11"/>
      <c r="M58" s="11"/>
      <c r="N58" s="11"/>
      <c r="O58" s="11"/>
      <c r="P58" s="2"/>
      <c r="Q58" s="11"/>
      <c r="R58" s="2"/>
      <c r="S58" s="11"/>
      <c r="T58" s="11"/>
      <c r="U58" s="11"/>
      <c r="V58" s="11"/>
      <c r="W58" s="2"/>
      <c r="X58" s="11"/>
      <c r="Y58" s="2"/>
      <c r="Z58" s="11"/>
      <c r="AA58" s="11"/>
      <c r="AB58" s="11"/>
      <c r="AC58" s="11"/>
      <c r="AD58" s="2"/>
      <c r="AE58" s="11"/>
      <c r="AF58" s="11"/>
      <c r="AG58" s="13">
        <f t="shared" si="3"/>
        <v>0</v>
      </c>
      <c r="AH58" s="14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15" t="str">
        <f t="shared" si="4"/>
        <v>嘴嘴</v>
      </c>
      <c r="AJ58" s="17"/>
    </row>
    <row r="59" spans="1:36" ht="18" customHeight="1">
      <c r="A59" s="9" t="s">
        <v>58</v>
      </c>
      <c r="B59" s="10" t="s">
        <v>74</v>
      </c>
      <c r="C59" s="11"/>
      <c r="D59" s="2"/>
      <c r="E59" s="11"/>
      <c r="F59" s="11"/>
      <c r="G59" s="11"/>
      <c r="H59" s="48">
        <v>1</v>
      </c>
      <c r="I59" s="2"/>
      <c r="J59" s="11"/>
      <c r="K59" s="2"/>
      <c r="L59" s="11"/>
      <c r="M59" s="11"/>
      <c r="N59" s="48">
        <v>1</v>
      </c>
      <c r="O59" s="48">
        <v>1</v>
      </c>
      <c r="P59" s="2"/>
      <c r="Q59" s="11"/>
      <c r="R59" s="2"/>
      <c r="S59" s="11"/>
      <c r="T59" s="11"/>
      <c r="U59" s="48">
        <v>1</v>
      </c>
      <c r="V59" s="48">
        <v>1</v>
      </c>
      <c r="W59" s="2"/>
      <c r="X59" s="11"/>
      <c r="Y59" s="2"/>
      <c r="Z59" s="11"/>
      <c r="AA59" s="11"/>
      <c r="AB59" s="48">
        <v>1</v>
      </c>
      <c r="AC59" s="48">
        <v>1</v>
      </c>
      <c r="AD59" s="2"/>
      <c r="AE59" s="48">
        <v>1</v>
      </c>
      <c r="AF59" s="48"/>
      <c r="AG59" s="13">
        <f t="shared" si="3"/>
        <v>8</v>
      </c>
      <c r="AH59" s="14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15" t="str">
        <f t="shared" si="4"/>
        <v>蘆葦</v>
      </c>
      <c r="AJ59" s="17"/>
    </row>
    <row r="60" spans="1:36" ht="18" customHeight="1">
      <c r="A60" s="9" t="s">
        <v>58</v>
      </c>
      <c r="B60" s="10" t="s">
        <v>30</v>
      </c>
      <c r="C60" s="11"/>
      <c r="D60" s="2"/>
      <c r="E60" s="11"/>
      <c r="F60" s="11"/>
      <c r="G60" s="11"/>
      <c r="H60" s="11"/>
      <c r="I60" s="2"/>
      <c r="J60" s="11"/>
      <c r="K60" s="2"/>
      <c r="L60" s="11"/>
      <c r="M60" s="11"/>
      <c r="N60" s="11"/>
      <c r="O60" s="11"/>
      <c r="P60" s="2"/>
      <c r="Q60" s="11"/>
      <c r="R60" s="2"/>
      <c r="S60" s="48">
        <v>1</v>
      </c>
      <c r="T60" s="11"/>
      <c r="U60" s="11"/>
      <c r="V60" s="11"/>
      <c r="W60" s="2"/>
      <c r="X60" s="11"/>
      <c r="Y60" s="2"/>
      <c r="Z60" s="11"/>
      <c r="AA60" s="48">
        <v>1</v>
      </c>
      <c r="AB60" s="48">
        <v>1</v>
      </c>
      <c r="AC60" s="11"/>
      <c r="AD60" s="2"/>
      <c r="AE60" s="11"/>
      <c r="AF60" s="11"/>
      <c r="AG60" s="13">
        <f t="shared" si="3"/>
        <v>3</v>
      </c>
      <c r="AH60" s="14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15" t="str">
        <f t="shared" si="4"/>
        <v>鯰魚</v>
      </c>
      <c r="AJ60" s="17"/>
    </row>
    <row r="61" spans="1:36" ht="18" customHeight="1">
      <c r="A61" s="9" t="s">
        <v>58</v>
      </c>
      <c r="B61" s="10" t="s">
        <v>31</v>
      </c>
      <c r="C61" s="11"/>
      <c r="D61" s="2"/>
      <c r="E61" s="11"/>
      <c r="F61" s="11"/>
      <c r="G61" s="11"/>
      <c r="H61" s="11"/>
      <c r="I61" s="2"/>
      <c r="J61" s="11"/>
      <c r="K61" s="2"/>
      <c r="L61" s="11"/>
      <c r="M61" s="11"/>
      <c r="N61" s="11"/>
      <c r="O61" s="11"/>
      <c r="P61" s="2"/>
      <c r="Q61" s="11"/>
      <c r="R61" s="2"/>
      <c r="S61" s="11"/>
      <c r="T61" s="11"/>
      <c r="U61" s="11"/>
      <c r="V61" s="11"/>
      <c r="W61" s="2"/>
      <c r="X61" s="11"/>
      <c r="Y61" s="2"/>
      <c r="Z61" s="11"/>
      <c r="AA61" s="11"/>
      <c r="AB61" s="11"/>
      <c r="AC61" s="11"/>
      <c r="AD61" s="2"/>
      <c r="AE61" s="11"/>
      <c r="AF61" s="11"/>
      <c r="AG61" s="13">
        <f t="shared" si="3"/>
        <v>0</v>
      </c>
      <c r="AH61" s="14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15" t="str">
        <f t="shared" si="4"/>
        <v>阿美</v>
      </c>
      <c r="AJ61" s="17"/>
    </row>
    <row r="62" spans="1:36" ht="18" customHeight="1">
      <c r="A62" s="9" t="s">
        <v>58</v>
      </c>
      <c r="B62" s="10" t="s">
        <v>73</v>
      </c>
      <c r="C62" s="11"/>
      <c r="D62" s="2"/>
      <c r="E62" s="11"/>
      <c r="F62" s="11"/>
      <c r="G62" s="11"/>
      <c r="H62" s="11"/>
      <c r="I62" s="2"/>
      <c r="J62" s="11"/>
      <c r="K62" s="2"/>
      <c r="L62" s="11"/>
      <c r="M62" s="11"/>
      <c r="N62" s="11"/>
      <c r="O62" s="11"/>
      <c r="P62" s="2"/>
      <c r="Q62" s="11"/>
      <c r="R62" s="2"/>
      <c r="S62" s="11"/>
      <c r="T62" s="11"/>
      <c r="U62" s="11"/>
      <c r="V62" s="11"/>
      <c r="W62" s="2"/>
      <c r="X62" s="11"/>
      <c r="Y62" s="2"/>
      <c r="Z62" s="11"/>
      <c r="AA62" s="11"/>
      <c r="AB62" s="11"/>
      <c r="AC62" s="11"/>
      <c r="AD62" s="2"/>
      <c r="AE62" s="11"/>
      <c r="AF62" s="11"/>
      <c r="AG62" s="13">
        <f t="shared" si="3"/>
        <v>0</v>
      </c>
      <c r="AH62" s="14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15" t="str">
        <f t="shared" si="4"/>
        <v>冠軍</v>
      </c>
      <c r="AJ62" s="17"/>
    </row>
    <row r="63" spans="1:36" ht="18" customHeight="1">
      <c r="A63" s="9" t="s">
        <v>58</v>
      </c>
      <c r="B63" s="10" t="s">
        <v>26</v>
      </c>
      <c r="C63" s="11"/>
      <c r="D63" s="2"/>
      <c r="E63" s="11"/>
      <c r="F63" s="11"/>
      <c r="G63" s="11"/>
      <c r="H63" s="11"/>
      <c r="I63" s="2"/>
      <c r="J63" s="11"/>
      <c r="K63" s="2"/>
      <c r="L63" s="11"/>
      <c r="M63" s="11"/>
      <c r="N63" s="11"/>
      <c r="O63" s="11"/>
      <c r="P63" s="2"/>
      <c r="Q63" s="11"/>
      <c r="R63" s="2"/>
      <c r="S63" s="11"/>
      <c r="T63" s="48">
        <v>1</v>
      </c>
      <c r="U63" s="11"/>
      <c r="V63" s="11"/>
      <c r="W63" s="2"/>
      <c r="X63" s="11"/>
      <c r="Y63" s="2"/>
      <c r="Z63" s="11"/>
      <c r="AA63" s="11"/>
      <c r="AB63" s="11"/>
      <c r="AC63" s="11"/>
      <c r="AD63" s="2"/>
      <c r="AE63" s="11"/>
      <c r="AF63" s="11"/>
      <c r="AG63" s="13">
        <f t="shared" si="3"/>
        <v>1</v>
      </c>
      <c r="AH63" s="14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15" t="str">
        <f t="shared" si="4"/>
        <v>曉強</v>
      </c>
      <c r="AJ63" s="17"/>
    </row>
    <row r="64" spans="1:36" ht="18" customHeight="1">
      <c r="A64" s="9" t="s">
        <v>58</v>
      </c>
      <c r="B64" s="10" t="s">
        <v>198</v>
      </c>
      <c r="C64" s="11"/>
      <c r="D64" s="2"/>
      <c r="E64" s="11"/>
      <c r="F64" s="11"/>
      <c r="G64" s="11"/>
      <c r="H64" s="11"/>
      <c r="I64" s="2"/>
      <c r="J64" s="11"/>
      <c r="K64" s="2"/>
      <c r="L64" s="11"/>
      <c r="M64" s="11"/>
      <c r="N64" s="11"/>
      <c r="O64" s="11"/>
      <c r="P64" s="2"/>
      <c r="Q64" s="11"/>
      <c r="R64" s="2"/>
      <c r="S64" s="11"/>
      <c r="T64" s="11"/>
      <c r="U64" s="11"/>
      <c r="V64" s="11"/>
      <c r="W64" s="2"/>
      <c r="X64" s="11"/>
      <c r="Y64" s="2"/>
      <c r="Z64" s="11"/>
      <c r="AA64" s="11"/>
      <c r="AB64" s="11"/>
      <c r="AC64" s="11"/>
      <c r="AD64" s="2"/>
      <c r="AE64" s="11"/>
      <c r="AF64" s="11"/>
      <c r="AG64" s="13">
        <f t="shared" si="3"/>
        <v>0</v>
      </c>
      <c r="AH64" s="14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15" t="str">
        <f t="shared" si="4"/>
        <v>郁翔</v>
      </c>
      <c r="AJ64" s="17"/>
    </row>
    <row r="65" spans="1:36" ht="18" customHeight="1">
      <c r="A65" s="9" t="s">
        <v>58</v>
      </c>
      <c r="B65" s="10" t="s">
        <v>67</v>
      </c>
      <c r="C65" s="11"/>
      <c r="D65" s="2"/>
      <c r="E65" s="11"/>
      <c r="F65" s="11"/>
      <c r="G65" s="11"/>
      <c r="H65" s="11"/>
      <c r="I65" s="2"/>
      <c r="J65" s="11"/>
      <c r="K65" s="2"/>
      <c r="L65" s="11"/>
      <c r="M65" s="11"/>
      <c r="N65" s="11"/>
      <c r="O65" s="11"/>
      <c r="P65" s="2"/>
      <c r="Q65" s="11"/>
      <c r="R65" s="2"/>
      <c r="S65" s="11"/>
      <c r="T65" s="11"/>
      <c r="U65" s="11"/>
      <c r="V65" s="11"/>
      <c r="W65" s="2"/>
      <c r="X65" s="11"/>
      <c r="Y65" s="2"/>
      <c r="Z65" s="11"/>
      <c r="AA65" s="11"/>
      <c r="AB65" s="11"/>
      <c r="AC65" s="11"/>
      <c r="AD65" s="2"/>
      <c r="AE65" s="11"/>
      <c r="AF65" s="11"/>
      <c r="AG65" s="13">
        <f t="shared" si="3"/>
        <v>0</v>
      </c>
      <c r="AH65" s="14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15" t="str">
        <f t="shared" si="4"/>
        <v>歐吉</v>
      </c>
      <c r="AJ65" s="17"/>
    </row>
    <row r="66" spans="1:36" ht="18" customHeight="1">
      <c r="A66" s="9" t="s">
        <v>58</v>
      </c>
      <c r="B66" s="10" t="s">
        <v>65</v>
      </c>
      <c r="C66" s="11"/>
      <c r="D66" s="2"/>
      <c r="E66" s="11"/>
      <c r="F66" s="11"/>
      <c r="G66" s="11"/>
      <c r="H66" s="11"/>
      <c r="I66" s="2"/>
      <c r="J66" s="11"/>
      <c r="K66" s="2"/>
      <c r="L66" s="11"/>
      <c r="M66" s="11"/>
      <c r="N66" s="11"/>
      <c r="O66" s="11"/>
      <c r="P66" s="2"/>
      <c r="Q66" s="11"/>
      <c r="R66" s="2"/>
      <c r="S66" s="11"/>
      <c r="T66" s="11"/>
      <c r="U66" s="11"/>
      <c r="V66" s="11"/>
      <c r="W66" s="2"/>
      <c r="X66" s="11"/>
      <c r="Y66" s="2"/>
      <c r="Z66" s="11"/>
      <c r="AA66" s="11"/>
      <c r="AB66" s="11"/>
      <c r="AC66" s="11"/>
      <c r="AD66" s="2"/>
      <c r="AE66" s="11"/>
      <c r="AF66" s="11"/>
      <c r="AG66" s="13">
        <f t="shared" si="3"/>
        <v>0</v>
      </c>
      <c r="AH66" s="14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15" t="str">
        <f t="shared" si="4"/>
        <v>文淵</v>
      </c>
      <c r="AJ66" s="17"/>
    </row>
    <row r="67" spans="1:36" ht="18" customHeight="1">
      <c r="A67" s="9" t="s">
        <v>58</v>
      </c>
      <c r="B67" s="10" t="s">
        <v>75</v>
      </c>
      <c r="C67" s="11"/>
      <c r="D67" s="2"/>
      <c r="E67" s="11"/>
      <c r="F67" s="11"/>
      <c r="G67" s="11"/>
      <c r="H67" s="11"/>
      <c r="I67" s="2"/>
      <c r="J67" s="11"/>
      <c r="K67" s="2"/>
      <c r="L67" s="11"/>
      <c r="M67" s="11"/>
      <c r="N67" s="11"/>
      <c r="O67" s="48">
        <v>1</v>
      </c>
      <c r="P67" s="2"/>
      <c r="Q67" s="11"/>
      <c r="R67" s="2"/>
      <c r="S67" s="11"/>
      <c r="T67" s="11"/>
      <c r="U67" s="11"/>
      <c r="V67" s="11"/>
      <c r="W67" s="2"/>
      <c r="X67" s="11"/>
      <c r="Y67" s="2"/>
      <c r="Z67" s="11"/>
      <c r="AA67" s="11"/>
      <c r="AB67" s="11"/>
      <c r="AC67" s="11"/>
      <c r="AD67" s="2"/>
      <c r="AE67" s="11"/>
      <c r="AF67" s="11"/>
      <c r="AG67" s="13">
        <f t="shared" si="3"/>
        <v>1</v>
      </c>
      <c r="AH67" s="14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15" t="str">
        <f t="shared" si="4"/>
        <v>叮噹</v>
      </c>
      <c r="AJ67" s="17"/>
    </row>
    <row r="68" spans="1:36" ht="18" customHeight="1">
      <c r="A68" s="9" t="s">
        <v>58</v>
      </c>
      <c r="B68" s="10" t="s">
        <v>76</v>
      </c>
      <c r="C68" s="11"/>
      <c r="D68" s="2"/>
      <c r="E68" s="11"/>
      <c r="F68" s="11"/>
      <c r="G68" s="11"/>
      <c r="H68" s="11"/>
      <c r="I68" s="2"/>
      <c r="J68" s="11"/>
      <c r="K68" s="2"/>
      <c r="L68" s="11"/>
      <c r="M68" s="11"/>
      <c r="N68" s="11"/>
      <c r="O68" s="11"/>
      <c r="P68" s="2"/>
      <c r="Q68" s="11"/>
      <c r="R68" s="2"/>
      <c r="S68" s="11"/>
      <c r="T68" s="11"/>
      <c r="U68" s="11"/>
      <c r="V68" s="11"/>
      <c r="W68" s="2"/>
      <c r="X68" s="11"/>
      <c r="Y68" s="2"/>
      <c r="Z68" s="11"/>
      <c r="AA68" s="11"/>
      <c r="AB68" s="11"/>
      <c r="AC68" s="11"/>
      <c r="AD68" s="2"/>
      <c r="AE68" s="11"/>
      <c r="AF68" s="11"/>
      <c r="AG68" s="13">
        <f t="shared" ref="AG68:AG99" si="5">COUNTA(C68:AF68)</f>
        <v>0</v>
      </c>
      <c r="AH68" s="14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15" t="str">
        <f t="shared" ref="AI68:AI99" si="6">B68</f>
        <v>肥肥</v>
      </c>
      <c r="AJ68" s="17"/>
    </row>
    <row r="69" spans="1:36" ht="18" customHeight="1">
      <c r="A69" s="9" t="s">
        <v>58</v>
      </c>
      <c r="B69" s="10" t="s">
        <v>77</v>
      </c>
      <c r="C69" s="11"/>
      <c r="D69" s="2"/>
      <c r="E69" s="11"/>
      <c r="F69" s="11"/>
      <c r="G69" s="11"/>
      <c r="H69" s="11"/>
      <c r="I69" s="2"/>
      <c r="J69" s="11"/>
      <c r="K69" s="2"/>
      <c r="L69" s="11"/>
      <c r="M69" s="11"/>
      <c r="N69" s="11"/>
      <c r="O69" s="11"/>
      <c r="P69" s="2"/>
      <c r="Q69" s="11"/>
      <c r="R69" s="2"/>
      <c r="S69" s="11"/>
      <c r="T69" s="11"/>
      <c r="U69" s="11"/>
      <c r="V69" s="11"/>
      <c r="W69" s="2"/>
      <c r="X69" s="11"/>
      <c r="Y69" s="2"/>
      <c r="Z69" s="11"/>
      <c r="AA69" s="11"/>
      <c r="AB69" s="11"/>
      <c r="AC69" s="11"/>
      <c r="AD69" s="2"/>
      <c r="AE69" s="11"/>
      <c r="AF69" s="11"/>
      <c r="AG69" s="13">
        <f t="shared" si="5"/>
        <v>0</v>
      </c>
      <c r="AH69" s="14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15" t="str">
        <f t="shared" si="6"/>
        <v>小夫</v>
      </c>
      <c r="AJ69" s="17"/>
    </row>
    <row r="70" spans="1:36" ht="18" customHeight="1">
      <c r="A70" s="9" t="s">
        <v>58</v>
      </c>
      <c r="B70" s="10" t="s">
        <v>78</v>
      </c>
      <c r="C70" s="11"/>
      <c r="D70" s="2"/>
      <c r="E70" s="11"/>
      <c r="F70" s="11"/>
      <c r="G70" s="11"/>
      <c r="H70" s="11"/>
      <c r="I70" s="2"/>
      <c r="J70" s="11"/>
      <c r="K70" s="2"/>
      <c r="L70" s="11"/>
      <c r="M70" s="11"/>
      <c r="N70" s="11"/>
      <c r="O70" s="11"/>
      <c r="P70" s="2"/>
      <c r="Q70" s="11"/>
      <c r="R70" s="2"/>
      <c r="S70" s="11"/>
      <c r="T70" s="11"/>
      <c r="U70" s="11"/>
      <c r="V70" s="11"/>
      <c r="W70" s="2"/>
      <c r="X70" s="11"/>
      <c r="Y70" s="2"/>
      <c r="Z70" s="11"/>
      <c r="AA70" s="11"/>
      <c r="AB70" s="11"/>
      <c r="AC70" s="11"/>
      <c r="AD70" s="2"/>
      <c r="AE70" s="11"/>
      <c r="AF70" s="11"/>
      <c r="AG70" s="13">
        <f t="shared" si="5"/>
        <v>0</v>
      </c>
      <c r="AH70" s="14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15" t="str">
        <f t="shared" si="6"/>
        <v>小邱</v>
      </c>
      <c r="AJ70" s="17"/>
    </row>
    <row r="71" spans="1:36" ht="18" customHeight="1">
      <c r="A71" s="9" t="s">
        <v>58</v>
      </c>
      <c r="B71" s="10" t="s">
        <v>79</v>
      </c>
      <c r="C71" s="11"/>
      <c r="D71" s="2"/>
      <c r="E71" s="11"/>
      <c r="F71" s="11"/>
      <c r="G71" s="11"/>
      <c r="H71" s="11"/>
      <c r="I71" s="2"/>
      <c r="J71" s="11"/>
      <c r="K71" s="2"/>
      <c r="L71" s="11"/>
      <c r="M71" s="11"/>
      <c r="N71" s="11"/>
      <c r="O71" s="11"/>
      <c r="P71" s="2"/>
      <c r="Q71" s="11"/>
      <c r="R71" s="2"/>
      <c r="S71" s="11"/>
      <c r="T71" s="11"/>
      <c r="U71" s="11"/>
      <c r="V71" s="11"/>
      <c r="W71" s="2"/>
      <c r="X71" s="11"/>
      <c r="Y71" s="2"/>
      <c r="Z71" s="11"/>
      <c r="AA71" s="11"/>
      <c r="AB71" s="11"/>
      <c r="AC71" s="11"/>
      <c r="AD71" s="2"/>
      <c r="AE71" s="11"/>
      <c r="AF71" s="11"/>
      <c r="AG71" s="13">
        <f t="shared" si="5"/>
        <v>0</v>
      </c>
      <c r="AH71" s="14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15" t="str">
        <f t="shared" si="6"/>
        <v>淳淳</v>
      </c>
      <c r="AJ71" s="17"/>
    </row>
    <row r="72" spans="1:36" ht="18" customHeight="1">
      <c r="A72" s="9" t="s">
        <v>58</v>
      </c>
      <c r="B72" s="10" t="s">
        <v>80</v>
      </c>
      <c r="C72" s="11"/>
      <c r="D72" s="2"/>
      <c r="E72" s="11"/>
      <c r="F72" s="11"/>
      <c r="G72" s="11"/>
      <c r="H72" s="11"/>
      <c r="I72" s="2"/>
      <c r="J72" s="11"/>
      <c r="K72" s="2"/>
      <c r="L72" s="11"/>
      <c r="M72" s="11"/>
      <c r="N72" s="11"/>
      <c r="O72" s="11"/>
      <c r="P72" s="2"/>
      <c r="Q72" s="11"/>
      <c r="R72" s="2"/>
      <c r="S72" s="11"/>
      <c r="T72" s="11"/>
      <c r="U72" s="11"/>
      <c r="V72" s="11"/>
      <c r="W72" s="2"/>
      <c r="X72" s="11"/>
      <c r="Y72" s="2"/>
      <c r="Z72" s="11"/>
      <c r="AA72" s="11"/>
      <c r="AB72" s="11"/>
      <c r="AC72" s="11"/>
      <c r="AD72" s="2"/>
      <c r="AE72" s="11"/>
      <c r="AF72" s="11"/>
      <c r="AG72" s="13">
        <f t="shared" si="5"/>
        <v>0</v>
      </c>
      <c r="AH72" s="14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15" t="str">
        <f t="shared" si="6"/>
        <v>禿鷹</v>
      </c>
      <c r="AJ72" s="17"/>
    </row>
    <row r="73" spans="1:36" ht="18" customHeight="1">
      <c r="A73" s="9" t="s">
        <v>58</v>
      </c>
      <c r="B73" s="10" t="s">
        <v>81</v>
      </c>
      <c r="C73" s="11"/>
      <c r="D73" s="2"/>
      <c r="E73" s="11"/>
      <c r="F73" s="11"/>
      <c r="G73" s="11"/>
      <c r="H73" s="11"/>
      <c r="I73" s="2"/>
      <c r="J73" s="11"/>
      <c r="K73" s="2"/>
      <c r="L73" s="11"/>
      <c r="M73" s="11"/>
      <c r="N73" s="11"/>
      <c r="O73" s="11"/>
      <c r="P73" s="2"/>
      <c r="Q73" s="11"/>
      <c r="R73" s="2"/>
      <c r="S73" s="11"/>
      <c r="T73" s="11"/>
      <c r="U73" s="11"/>
      <c r="V73" s="11"/>
      <c r="W73" s="2"/>
      <c r="X73" s="11"/>
      <c r="Y73" s="2"/>
      <c r="Z73" s="11"/>
      <c r="AA73" s="11"/>
      <c r="AB73" s="11"/>
      <c r="AC73" s="11"/>
      <c r="AD73" s="2"/>
      <c r="AE73" s="11"/>
      <c r="AF73" s="11"/>
      <c r="AG73" s="13">
        <f t="shared" si="5"/>
        <v>0</v>
      </c>
      <c r="AH73" s="14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15" t="str">
        <f t="shared" si="6"/>
        <v>王宏</v>
      </c>
      <c r="AJ73" s="17"/>
    </row>
    <row r="74" spans="1:36" ht="18" customHeight="1">
      <c r="A74" s="9" t="s">
        <v>58</v>
      </c>
      <c r="B74" s="10" t="s">
        <v>82</v>
      </c>
      <c r="C74" s="11"/>
      <c r="D74" s="2"/>
      <c r="E74" s="11"/>
      <c r="F74" s="11"/>
      <c r="G74" s="11"/>
      <c r="H74" s="11"/>
      <c r="I74" s="2"/>
      <c r="J74" s="11"/>
      <c r="K74" s="2"/>
      <c r="L74" s="11"/>
      <c r="M74" s="11"/>
      <c r="N74" s="11"/>
      <c r="O74" s="11"/>
      <c r="P74" s="2"/>
      <c r="Q74" s="11"/>
      <c r="R74" s="2"/>
      <c r="S74" s="11"/>
      <c r="T74" s="11"/>
      <c r="U74" s="11"/>
      <c r="V74" s="11"/>
      <c r="W74" s="2"/>
      <c r="X74" s="11"/>
      <c r="Y74" s="2"/>
      <c r="Z74" s="11"/>
      <c r="AA74" s="11"/>
      <c r="AB74" s="11"/>
      <c r="AC74" s="11"/>
      <c r="AD74" s="2"/>
      <c r="AE74" s="11"/>
      <c r="AF74" s="11"/>
      <c r="AG74" s="13">
        <f t="shared" si="5"/>
        <v>0</v>
      </c>
      <c r="AH74" s="14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15" t="str">
        <f t="shared" si="6"/>
        <v>犀牛</v>
      </c>
      <c r="AJ74" s="17"/>
    </row>
    <row r="75" spans="1:36" ht="18" customHeight="1">
      <c r="A75" s="9" t="s">
        <v>58</v>
      </c>
      <c r="B75" s="10" t="s">
        <v>83</v>
      </c>
      <c r="C75" s="11"/>
      <c r="D75" s="2"/>
      <c r="E75" s="11"/>
      <c r="F75" s="11"/>
      <c r="G75" s="11"/>
      <c r="H75" s="11"/>
      <c r="I75" s="2"/>
      <c r="J75" s="11"/>
      <c r="K75" s="2"/>
      <c r="L75" s="11"/>
      <c r="M75" s="11"/>
      <c r="N75" s="11"/>
      <c r="O75" s="11"/>
      <c r="P75" s="2"/>
      <c r="Q75" s="11"/>
      <c r="R75" s="2"/>
      <c r="S75" s="11"/>
      <c r="T75" s="11"/>
      <c r="U75" s="11"/>
      <c r="V75" s="11"/>
      <c r="W75" s="2"/>
      <c r="X75" s="11"/>
      <c r="Y75" s="2"/>
      <c r="Z75" s="11"/>
      <c r="AA75" s="11"/>
      <c r="AB75" s="11"/>
      <c r="AC75" s="11"/>
      <c r="AD75" s="2"/>
      <c r="AE75" s="11"/>
      <c r="AF75" s="11"/>
      <c r="AG75" s="13">
        <f t="shared" si="5"/>
        <v>0</v>
      </c>
      <c r="AH75" s="14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15" t="str">
        <f t="shared" si="6"/>
        <v>來福</v>
      </c>
      <c r="AJ75" s="17"/>
    </row>
    <row r="76" spans="1:36" ht="18" customHeight="1">
      <c r="A76" s="9" t="s">
        <v>58</v>
      </c>
      <c r="B76" s="10" t="s">
        <v>84</v>
      </c>
      <c r="C76" s="11"/>
      <c r="D76" s="2"/>
      <c r="E76" s="11"/>
      <c r="F76" s="11"/>
      <c r="G76" s="11"/>
      <c r="H76" s="11"/>
      <c r="I76" s="2"/>
      <c r="J76" s="11"/>
      <c r="K76" s="2"/>
      <c r="L76" s="11"/>
      <c r="M76" s="11"/>
      <c r="N76" s="11"/>
      <c r="O76" s="11"/>
      <c r="P76" s="2"/>
      <c r="Q76" s="11"/>
      <c r="R76" s="2"/>
      <c r="S76" s="11"/>
      <c r="T76" s="11"/>
      <c r="U76" s="11"/>
      <c r="V76" s="11"/>
      <c r="W76" s="2"/>
      <c r="X76" s="11"/>
      <c r="Y76" s="2"/>
      <c r="Z76" s="11"/>
      <c r="AA76" s="11"/>
      <c r="AB76" s="11"/>
      <c r="AC76" s="11"/>
      <c r="AD76" s="2"/>
      <c r="AE76" s="11"/>
      <c r="AF76" s="11"/>
      <c r="AG76" s="13">
        <f t="shared" si="5"/>
        <v>0</v>
      </c>
      <c r="AH76" s="14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15" t="str">
        <f t="shared" si="6"/>
        <v>誌誌</v>
      </c>
      <c r="AJ76" s="17"/>
    </row>
    <row r="77" spans="1:36" ht="18" customHeight="1">
      <c r="A77" s="9" t="s">
        <v>58</v>
      </c>
      <c r="B77" s="10" t="s">
        <v>86</v>
      </c>
      <c r="C77" s="11"/>
      <c r="D77" s="2"/>
      <c r="E77" s="11"/>
      <c r="F77" s="11"/>
      <c r="G77" s="11"/>
      <c r="H77" s="11"/>
      <c r="I77" s="2"/>
      <c r="J77" s="11"/>
      <c r="K77" s="2"/>
      <c r="L77" s="11"/>
      <c r="M77" s="11"/>
      <c r="N77" s="11"/>
      <c r="O77" s="11"/>
      <c r="P77" s="2"/>
      <c r="Q77" s="11"/>
      <c r="R77" s="2"/>
      <c r="S77" s="11"/>
      <c r="T77" s="11"/>
      <c r="U77" s="11"/>
      <c r="V77" s="11"/>
      <c r="W77" s="2"/>
      <c r="X77" s="11"/>
      <c r="Y77" s="2"/>
      <c r="Z77" s="11"/>
      <c r="AA77" s="11"/>
      <c r="AB77" s="11"/>
      <c r="AC77" s="11"/>
      <c r="AD77" s="2"/>
      <c r="AE77" s="11"/>
      <c r="AF77" s="11"/>
      <c r="AG77" s="13">
        <f t="shared" si="5"/>
        <v>0</v>
      </c>
      <c r="AH77" s="14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15" t="str">
        <f t="shared" si="6"/>
        <v>正誼</v>
      </c>
      <c r="AJ77" s="17"/>
    </row>
    <row r="78" spans="1:36" ht="18" customHeight="1">
      <c r="A78" s="9" t="s">
        <v>58</v>
      </c>
      <c r="B78" s="10" t="s">
        <v>32</v>
      </c>
      <c r="C78" s="11"/>
      <c r="D78" s="2"/>
      <c r="E78" s="11"/>
      <c r="F78" s="11"/>
      <c r="G78" s="11"/>
      <c r="H78" s="11"/>
      <c r="I78" s="2"/>
      <c r="J78" s="11"/>
      <c r="K78" s="2"/>
      <c r="L78" s="11"/>
      <c r="M78" s="11"/>
      <c r="N78" s="11"/>
      <c r="O78" s="11"/>
      <c r="P78" s="2"/>
      <c r="Q78" s="11"/>
      <c r="R78" s="2"/>
      <c r="S78" s="11"/>
      <c r="T78" s="11"/>
      <c r="U78" s="11"/>
      <c r="V78" s="11"/>
      <c r="W78" s="2"/>
      <c r="X78" s="11"/>
      <c r="Y78" s="2"/>
      <c r="Z78" s="11"/>
      <c r="AA78" s="11"/>
      <c r="AB78" s="11"/>
      <c r="AC78" s="11"/>
      <c r="AD78" s="2"/>
      <c r="AE78" s="11"/>
      <c r="AF78" s="11"/>
      <c r="AG78" s="13">
        <f t="shared" si="5"/>
        <v>0</v>
      </c>
      <c r="AH78" s="14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15" t="str">
        <f t="shared" si="6"/>
        <v>小翔</v>
      </c>
      <c r="AJ78" s="17"/>
    </row>
    <row r="79" spans="1:36" ht="18" customHeight="1">
      <c r="A79" s="9" t="s">
        <v>58</v>
      </c>
      <c r="B79" s="10" t="s">
        <v>179</v>
      </c>
      <c r="C79" s="11"/>
      <c r="D79" s="2"/>
      <c r="E79" s="11"/>
      <c r="F79" s="11"/>
      <c r="G79" s="11"/>
      <c r="H79" s="11"/>
      <c r="I79" s="2"/>
      <c r="J79" s="11"/>
      <c r="K79" s="2"/>
      <c r="L79" s="11"/>
      <c r="M79" s="11"/>
      <c r="N79" s="11"/>
      <c r="O79" s="11"/>
      <c r="P79" s="2"/>
      <c r="Q79" s="11"/>
      <c r="R79" s="2"/>
      <c r="S79" s="11"/>
      <c r="T79" s="11"/>
      <c r="U79" s="11"/>
      <c r="V79" s="11"/>
      <c r="W79" s="2"/>
      <c r="X79" s="11"/>
      <c r="Y79" s="2"/>
      <c r="Z79" s="11"/>
      <c r="AA79" s="11"/>
      <c r="AB79" s="11"/>
      <c r="AC79" s="11"/>
      <c r="AD79" s="2"/>
      <c r="AE79" s="11"/>
      <c r="AF79" s="11"/>
      <c r="AG79" s="13">
        <f t="shared" si="5"/>
        <v>0</v>
      </c>
      <c r="AH79" s="14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15" t="str">
        <f t="shared" si="6"/>
        <v>玹玹</v>
      </c>
      <c r="AJ79" s="17"/>
    </row>
    <row r="80" spans="1:36" ht="18" customHeight="1">
      <c r="A80" s="9" t="s">
        <v>58</v>
      </c>
      <c r="B80" s="10" t="s">
        <v>85</v>
      </c>
      <c r="C80" s="11"/>
      <c r="D80" s="2"/>
      <c r="E80" s="11"/>
      <c r="F80" s="11"/>
      <c r="G80" s="11"/>
      <c r="H80" s="11"/>
      <c r="I80" s="2"/>
      <c r="J80" s="11"/>
      <c r="K80" s="2"/>
      <c r="L80" s="11"/>
      <c r="M80" s="11"/>
      <c r="N80" s="11"/>
      <c r="O80" s="11"/>
      <c r="P80" s="2"/>
      <c r="Q80" s="11"/>
      <c r="R80" s="2"/>
      <c r="S80" s="11"/>
      <c r="T80" s="11"/>
      <c r="U80" s="11"/>
      <c r="V80" s="11"/>
      <c r="W80" s="2"/>
      <c r="X80" s="11"/>
      <c r="Y80" s="2"/>
      <c r="Z80" s="11"/>
      <c r="AA80" s="11"/>
      <c r="AB80" s="11"/>
      <c r="AC80" s="11"/>
      <c r="AD80" s="2"/>
      <c r="AE80" s="11"/>
      <c r="AF80" s="11"/>
      <c r="AG80" s="13">
        <f t="shared" si="5"/>
        <v>0</v>
      </c>
      <c r="AH80" s="14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15" t="str">
        <f t="shared" si="6"/>
        <v>阿璽</v>
      </c>
      <c r="AJ80" s="17"/>
    </row>
    <row r="81" spans="1:36" ht="18" customHeight="1">
      <c r="A81" s="9" t="s">
        <v>58</v>
      </c>
      <c r="B81" s="10" t="s">
        <v>33</v>
      </c>
      <c r="C81" s="11"/>
      <c r="D81" s="2"/>
      <c r="E81" s="11"/>
      <c r="F81" s="11"/>
      <c r="G81" s="11"/>
      <c r="H81" s="11"/>
      <c r="I81" s="2"/>
      <c r="J81" s="11"/>
      <c r="K81" s="2"/>
      <c r="L81" s="11"/>
      <c r="M81" s="11"/>
      <c r="N81" s="11"/>
      <c r="O81" s="11"/>
      <c r="P81" s="2"/>
      <c r="Q81" s="11"/>
      <c r="R81" s="2"/>
      <c r="S81" s="11"/>
      <c r="T81" s="11"/>
      <c r="U81" s="11"/>
      <c r="V81" s="11"/>
      <c r="W81" s="2"/>
      <c r="X81" s="11"/>
      <c r="Y81" s="2"/>
      <c r="Z81" s="11"/>
      <c r="AA81" s="11"/>
      <c r="AB81" s="11"/>
      <c r="AC81" s="11"/>
      <c r="AD81" s="2"/>
      <c r="AE81" s="11"/>
      <c r="AF81" s="11"/>
      <c r="AG81" s="13">
        <f t="shared" si="5"/>
        <v>0</v>
      </c>
      <c r="AH81" s="14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15" t="str">
        <f t="shared" si="6"/>
        <v>一飛</v>
      </c>
      <c r="AJ81" s="17"/>
    </row>
    <row r="82" spans="1:36" ht="18" customHeight="1">
      <c r="A82" s="18" t="s">
        <v>58</v>
      </c>
      <c r="B82" s="19" t="s">
        <v>151</v>
      </c>
      <c r="C82" s="45">
        <v>1</v>
      </c>
      <c r="D82" s="2"/>
      <c r="E82" s="45">
        <v>1</v>
      </c>
      <c r="F82" s="20"/>
      <c r="G82" s="45">
        <v>1</v>
      </c>
      <c r="H82" s="20"/>
      <c r="I82" s="2"/>
      <c r="J82" s="45">
        <v>1</v>
      </c>
      <c r="K82" s="2"/>
      <c r="L82" s="45">
        <v>1</v>
      </c>
      <c r="M82" s="45">
        <v>1</v>
      </c>
      <c r="N82" s="45">
        <v>1</v>
      </c>
      <c r="O82" s="20"/>
      <c r="P82" s="2"/>
      <c r="Q82" s="45">
        <v>1</v>
      </c>
      <c r="R82" s="2"/>
      <c r="S82" s="45">
        <v>1</v>
      </c>
      <c r="T82" s="45">
        <v>1</v>
      </c>
      <c r="U82" s="45">
        <v>1</v>
      </c>
      <c r="V82" s="20"/>
      <c r="W82" s="2"/>
      <c r="X82" s="45">
        <v>1</v>
      </c>
      <c r="Y82" s="2"/>
      <c r="Z82" s="45">
        <v>1</v>
      </c>
      <c r="AA82" s="45">
        <v>1</v>
      </c>
      <c r="AB82" s="45">
        <v>1</v>
      </c>
      <c r="AC82" s="20"/>
      <c r="AD82" s="2"/>
      <c r="AE82" s="45">
        <v>1</v>
      </c>
      <c r="AF82" s="45"/>
      <c r="AG82" s="21">
        <f t="shared" si="5"/>
        <v>16</v>
      </c>
      <c r="AH82" s="49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23" t="str">
        <f t="shared" si="6"/>
        <v>宇嬅</v>
      </c>
      <c r="AJ82" s="44"/>
    </row>
    <row r="83" spans="1:36" ht="18" customHeight="1">
      <c r="A83" s="18" t="s">
        <v>58</v>
      </c>
      <c r="B83" s="19" t="s">
        <v>92</v>
      </c>
      <c r="C83" s="45">
        <v>1</v>
      </c>
      <c r="D83" s="2"/>
      <c r="E83" s="45">
        <v>1</v>
      </c>
      <c r="F83" s="20"/>
      <c r="G83" s="45">
        <v>1</v>
      </c>
      <c r="H83" s="20"/>
      <c r="I83" s="2"/>
      <c r="J83" s="45">
        <v>1</v>
      </c>
      <c r="K83" s="2"/>
      <c r="L83" s="45">
        <v>1</v>
      </c>
      <c r="M83" s="45">
        <v>1</v>
      </c>
      <c r="N83" s="45">
        <v>1</v>
      </c>
      <c r="O83" s="45">
        <v>1</v>
      </c>
      <c r="P83" s="2"/>
      <c r="Q83" s="45">
        <v>1</v>
      </c>
      <c r="R83" s="2"/>
      <c r="S83" s="45">
        <v>1</v>
      </c>
      <c r="T83" s="20"/>
      <c r="U83" s="45">
        <v>1</v>
      </c>
      <c r="V83" s="45">
        <v>1</v>
      </c>
      <c r="W83" s="2"/>
      <c r="X83" s="45">
        <v>1</v>
      </c>
      <c r="Y83" s="2"/>
      <c r="Z83" s="45">
        <v>1</v>
      </c>
      <c r="AA83" s="45">
        <v>1</v>
      </c>
      <c r="AB83" s="45">
        <v>1</v>
      </c>
      <c r="AC83" s="45">
        <v>1</v>
      </c>
      <c r="AD83" s="2"/>
      <c r="AE83" s="45">
        <v>1</v>
      </c>
      <c r="AF83" s="45">
        <v>1</v>
      </c>
      <c r="AG83" s="21">
        <f t="shared" si="5"/>
        <v>19</v>
      </c>
      <c r="AH83" s="49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23" t="str">
        <f t="shared" si="6"/>
        <v>婉晴</v>
      </c>
      <c r="AJ83" s="44"/>
    </row>
    <row r="84" spans="1:36" ht="18" customHeight="1">
      <c r="A84" s="18" t="s">
        <v>58</v>
      </c>
      <c r="B84" s="19" t="s">
        <v>152</v>
      </c>
      <c r="C84" s="20"/>
      <c r="D84" s="2"/>
      <c r="E84" s="20"/>
      <c r="F84" s="45">
        <v>1</v>
      </c>
      <c r="G84" s="20"/>
      <c r="H84" s="20"/>
      <c r="I84" s="2"/>
      <c r="J84" s="20"/>
      <c r="K84" s="2"/>
      <c r="L84" s="20"/>
      <c r="M84" s="20"/>
      <c r="N84" s="20"/>
      <c r="O84" s="20"/>
      <c r="P84" s="2"/>
      <c r="Q84" s="20"/>
      <c r="R84" s="2"/>
      <c r="S84" s="20"/>
      <c r="T84" s="20"/>
      <c r="U84" s="20"/>
      <c r="V84" s="20"/>
      <c r="W84" s="46"/>
      <c r="X84" s="45">
        <v>1</v>
      </c>
      <c r="Y84" s="2"/>
      <c r="Z84" s="20"/>
      <c r="AA84" s="20"/>
      <c r="AB84" s="20"/>
      <c r="AC84" s="20"/>
      <c r="AD84" s="2"/>
      <c r="AE84" s="20"/>
      <c r="AF84" s="20"/>
      <c r="AG84" s="21">
        <f t="shared" si="5"/>
        <v>2</v>
      </c>
      <c r="AH84" s="49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23" t="str">
        <f t="shared" si="6"/>
        <v>阿俗</v>
      </c>
      <c r="AJ84" s="25"/>
    </row>
    <row r="85" spans="1:36" ht="18" customHeight="1">
      <c r="A85" s="18" t="s">
        <v>58</v>
      </c>
      <c r="B85" s="19" t="s">
        <v>153</v>
      </c>
      <c r="C85" s="20"/>
      <c r="D85" s="2"/>
      <c r="E85" s="20"/>
      <c r="F85" s="20"/>
      <c r="G85" s="20"/>
      <c r="H85" s="20"/>
      <c r="I85" s="2"/>
      <c r="J85" s="20"/>
      <c r="K85" s="2"/>
      <c r="L85" s="20"/>
      <c r="M85" s="20"/>
      <c r="N85" s="20"/>
      <c r="O85" s="20"/>
      <c r="P85" s="2"/>
      <c r="Q85" s="20"/>
      <c r="R85" s="2"/>
      <c r="S85" s="20"/>
      <c r="T85" s="20"/>
      <c r="U85" s="20"/>
      <c r="V85" s="45">
        <v>1</v>
      </c>
      <c r="W85" s="2"/>
      <c r="X85" s="20"/>
      <c r="Y85" s="2"/>
      <c r="Z85" s="20"/>
      <c r="AA85" s="20"/>
      <c r="AB85" s="20"/>
      <c r="AC85" s="20"/>
      <c r="AD85" s="2"/>
      <c r="AE85" s="20"/>
      <c r="AF85" s="20"/>
      <c r="AG85" s="21">
        <f t="shared" si="5"/>
        <v>1</v>
      </c>
      <c r="AH85" s="49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23" t="str">
        <f t="shared" si="6"/>
        <v>傻妹</v>
      </c>
      <c r="AJ85" s="44"/>
    </row>
    <row r="86" spans="1:36" ht="18" customHeight="1">
      <c r="A86" s="18" t="s">
        <v>58</v>
      </c>
      <c r="B86" s="19" t="s">
        <v>96</v>
      </c>
      <c r="C86" s="20"/>
      <c r="D86" s="2"/>
      <c r="E86" s="20"/>
      <c r="F86" s="20"/>
      <c r="G86" s="20"/>
      <c r="H86" s="20"/>
      <c r="I86" s="2"/>
      <c r="J86" s="20"/>
      <c r="K86" s="2"/>
      <c r="L86" s="20"/>
      <c r="M86" s="20"/>
      <c r="N86" s="20"/>
      <c r="O86" s="20"/>
      <c r="P86" s="2"/>
      <c r="Q86" s="20"/>
      <c r="R86" s="2"/>
      <c r="S86" s="20"/>
      <c r="T86" s="20"/>
      <c r="U86" s="20"/>
      <c r="V86" s="20"/>
      <c r="W86" s="2"/>
      <c r="X86" s="20"/>
      <c r="Y86" s="2"/>
      <c r="Z86" s="20"/>
      <c r="AA86" s="20"/>
      <c r="AB86" s="20"/>
      <c r="AC86" s="20"/>
      <c r="AD86" s="2"/>
      <c r="AE86" s="20"/>
      <c r="AF86" s="20"/>
      <c r="AG86" s="21">
        <f t="shared" si="5"/>
        <v>0</v>
      </c>
      <c r="AH86" s="49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23" t="str">
        <f t="shared" si="6"/>
        <v>靜婷</v>
      </c>
      <c r="AJ86" s="25"/>
    </row>
    <row r="87" spans="1:36" ht="18" customHeight="1">
      <c r="A87" s="18" t="s">
        <v>58</v>
      </c>
      <c r="B87" s="19" t="s">
        <v>197</v>
      </c>
      <c r="C87" s="20"/>
      <c r="D87" s="2"/>
      <c r="E87" s="20"/>
      <c r="F87" s="20"/>
      <c r="G87" s="20"/>
      <c r="H87" s="20"/>
      <c r="I87" s="2"/>
      <c r="J87" s="20"/>
      <c r="K87" s="2"/>
      <c r="L87" s="20"/>
      <c r="M87" s="20"/>
      <c r="N87" s="20"/>
      <c r="O87" s="20"/>
      <c r="P87" s="2"/>
      <c r="Q87" s="45">
        <v>1</v>
      </c>
      <c r="R87" s="2"/>
      <c r="S87" s="20"/>
      <c r="T87" s="45">
        <v>1</v>
      </c>
      <c r="U87" s="20"/>
      <c r="V87" s="20"/>
      <c r="W87" s="2"/>
      <c r="X87" s="20"/>
      <c r="Y87" s="2"/>
      <c r="Z87" s="20"/>
      <c r="AA87" s="45">
        <v>1</v>
      </c>
      <c r="AB87" s="20"/>
      <c r="AC87" s="20"/>
      <c r="AD87" s="2"/>
      <c r="AE87" s="20"/>
      <c r="AF87" s="20"/>
      <c r="AG87" s="21">
        <f t="shared" si="5"/>
        <v>3</v>
      </c>
      <c r="AH87" s="49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23" t="str">
        <f t="shared" si="6"/>
        <v>Abby</v>
      </c>
      <c r="AJ87" s="25"/>
    </row>
    <row r="88" spans="1:36" ht="18" customHeight="1">
      <c r="A88" s="18" t="s">
        <v>58</v>
      </c>
      <c r="B88" s="19" t="s">
        <v>95</v>
      </c>
      <c r="C88" s="45">
        <v>1</v>
      </c>
      <c r="D88" s="2"/>
      <c r="E88" s="45">
        <v>1</v>
      </c>
      <c r="F88" s="45">
        <v>1</v>
      </c>
      <c r="G88" s="45">
        <v>1</v>
      </c>
      <c r="H88" s="45">
        <v>1</v>
      </c>
      <c r="I88" s="2"/>
      <c r="J88" s="45">
        <v>1</v>
      </c>
      <c r="K88" s="2"/>
      <c r="L88" s="45">
        <v>1</v>
      </c>
      <c r="M88" s="45">
        <v>1</v>
      </c>
      <c r="N88" s="20"/>
      <c r="O88" s="45">
        <v>1</v>
      </c>
      <c r="P88" s="2"/>
      <c r="Q88" s="45">
        <v>1</v>
      </c>
      <c r="R88" s="46">
        <v>1</v>
      </c>
      <c r="S88" s="45">
        <v>1</v>
      </c>
      <c r="T88" s="45">
        <v>1</v>
      </c>
      <c r="U88" s="20"/>
      <c r="V88" s="45">
        <v>1</v>
      </c>
      <c r="W88" s="46"/>
      <c r="X88" s="20"/>
      <c r="Y88" s="2"/>
      <c r="Z88" s="45">
        <v>1</v>
      </c>
      <c r="AA88" s="20"/>
      <c r="AB88" s="45">
        <v>1</v>
      </c>
      <c r="AC88" s="45">
        <v>1</v>
      </c>
      <c r="AD88" s="2"/>
      <c r="AE88" s="45">
        <v>1</v>
      </c>
      <c r="AF88" s="45">
        <v>1</v>
      </c>
      <c r="AG88" s="21">
        <f t="shared" si="5"/>
        <v>19</v>
      </c>
      <c r="AH88" s="49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23" t="str">
        <f t="shared" si="6"/>
        <v>小吱</v>
      </c>
      <c r="AJ88" s="25"/>
    </row>
    <row r="89" spans="1:36" ht="18" customHeight="1">
      <c r="A89" s="18" t="s">
        <v>58</v>
      </c>
      <c r="B89" s="19" t="s">
        <v>148</v>
      </c>
      <c r="C89" s="20"/>
      <c r="D89" s="2"/>
      <c r="E89" s="20"/>
      <c r="F89" s="20"/>
      <c r="G89" s="20"/>
      <c r="H89" s="20"/>
      <c r="I89" s="2"/>
      <c r="J89" s="20"/>
      <c r="K89" s="2"/>
      <c r="L89" s="45">
        <v>1</v>
      </c>
      <c r="M89" s="45">
        <v>1</v>
      </c>
      <c r="N89" s="20"/>
      <c r="O89" s="20"/>
      <c r="P89" s="2"/>
      <c r="Q89" s="45">
        <v>1</v>
      </c>
      <c r="R89" s="2"/>
      <c r="S89" s="20"/>
      <c r="T89" s="20"/>
      <c r="U89" s="20"/>
      <c r="V89" s="20"/>
      <c r="W89" s="2"/>
      <c r="X89" s="20"/>
      <c r="Y89" s="2"/>
      <c r="Z89" s="45">
        <v>1</v>
      </c>
      <c r="AA89" s="45">
        <v>1</v>
      </c>
      <c r="AB89" s="20"/>
      <c r="AC89" s="20"/>
      <c r="AD89" s="2"/>
      <c r="AE89" s="45">
        <v>1</v>
      </c>
      <c r="AF89" s="45"/>
      <c r="AG89" s="21">
        <f t="shared" si="5"/>
        <v>6</v>
      </c>
      <c r="AH89" s="49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23" t="str">
        <f t="shared" si="6"/>
        <v>雅雅</v>
      </c>
      <c r="AJ89" s="25"/>
    </row>
    <row r="90" spans="1:36" ht="18" customHeight="1">
      <c r="A90" s="18" t="s">
        <v>58</v>
      </c>
      <c r="B90" s="19" t="s">
        <v>154</v>
      </c>
      <c r="C90" s="20"/>
      <c r="D90" s="2"/>
      <c r="E90" s="20"/>
      <c r="F90" s="20"/>
      <c r="G90" s="20"/>
      <c r="H90" s="20"/>
      <c r="I90" s="2"/>
      <c r="J90" s="20"/>
      <c r="K90" s="2"/>
      <c r="L90" s="20"/>
      <c r="M90" s="20"/>
      <c r="N90" s="20"/>
      <c r="O90" s="20"/>
      <c r="P90" s="2"/>
      <c r="Q90" s="20"/>
      <c r="R90" s="2"/>
      <c r="S90" s="20"/>
      <c r="T90" s="20"/>
      <c r="U90" s="20"/>
      <c r="V90" s="20"/>
      <c r="W90" s="2"/>
      <c r="X90" s="20"/>
      <c r="Y90" s="2"/>
      <c r="Z90" s="20"/>
      <c r="AA90" s="20"/>
      <c r="AB90" s="20"/>
      <c r="AC90" s="20"/>
      <c r="AD90" s="2"/>
      <c r="AE90" s="20"/>
      <c r="AF90" s="20"/>
      <c r="AG90" s="21">
        <f t="shared" si="5"/>
        <v>0</v>
      </c>
      <c r="AH90" s="49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23" t="str">
        <f t="shared" si="6"/>
        <v>筱攸</v>
      </c>
      <c r="AJ90" s="25"/>
    </row>
    <row r="91" spans="1:36" ht="18" customHeight="1">
      <c r="A91" s="18" t="s">
        <v>58</v>
      </c>
      <c r="B91" s="19" t="s">
        <v>155</v>
      </c>
      <c r="C91" s="20"/>
      <c r="D91" s="2"/>
      <c r="E91" s="20"/>
      <c r="F91" s="20"/>
      <c r="G91" s="20"/>
      <c r="H91" s="45">
        <v>1</v>
      </c>
      <c r="I91" s="2"/>
      <c r="J91" s="20"/>
      <c r="K91" s="2"/>
      <c r="L91" s="20"/>
      <c r="M91" s="20"/>
      <c r="N91" s="20"/>
      <c r="O91" s="20"/>
      <c r="P91" s="2"/>
      <c r="Q91" s="20"/>
      <c r="R91" s="2"/>
      <c r="S91" s="20"/>
      <c r="T91" s="20"/>
      <c r="U91" s="20"/>
      <c r="V91" s="20"/>
      <c r="W91" s="2"/>
      <c r="X91" s="20"/>
      <c r="Y91" s="2"/>
      <c r="Z91" s="20"/>
      <c r="AA91" s="20"/>
      <c r="AB91" s="20"/>
      <c r="AC91" s="45">
        <v>1</v>
      </c>
      <c r="AD91" s="2"/>
      <c r="AE91" s="20"/>
      <c r="AF91" s="20">
        <v>1</v>
      </c>
      <c r="AG91" s="21">
        <f t="shared" si="5"/>
        <v>3</v>
      </c>
      <c r="AH91" s="49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23" t="str">
        <f t="shared" si="6"/>
        <v>康康</v>
      </c>
      <c r="AJ91" s="25"/>
    </row>
    <row r="92" spans="1:36" ht="18" customHeight="1">
      <c r="A92" s="18" t="s">
        <v>58</v>
      </c>
      <c r="B92" s="19" t="s">
        <v>156</v>
      </c>
      <c r="C92" s="20"/>
      <c r="D92" s="2"/>
      <c r="E92" s="20"/>
      <c r="F92" s="20"/>
      <c r="G92" s="20"/>
      <c r="H92" s="20"/>
      <c r="I92" s="2"/>
      <c r="J92" s="20"/>
      <c r="K92" s="2"/>
      <c r="L92" s="20"/>
      <c r="M92" s="20"/>
      <c r="N92" s="20"/>
      <c r="O92" s="45">
        <v>1</v>
      </c>
      <c r="P92" s="2"/>
      <c r="Q92" s="20"/>
      <c r="R92" s="2"/>
      <c r="S92" s="20"/>
      <c r="T92" s="20"/>
      <c r="U92" s="20"/>
      <c r="V92" s="20"/>
      <c r="W92" s="2"/>
      <c r="X92" s="20"/>
      <c r="Y92" s="2"/>
      <c r="Z92" s="20"/>
      <c r="AA92" s="20"/>
      <c r="AB92" s="20"/>
      <c r="AC92" s="20"/>
      <c r="AD92" s="2"/>
      <c r="AE92" s="20"/>
      <c r="AF92" s="20"/>
      <c r="AG92" s="21">
        <f t="shared" si="5"/>
        <v>1</v>
      </c>
      <c r="AH92" s="49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23" t="str">
        <f t="shared" si="6"/>
        <v>阿金</v>
      </c>
      <c r="AJ92" s="25"/>
    </row>
    <row r="93" spans="1:36" ht="18" customHeight="1">
      <c r="A93" s="18" t="s">
        <v>58</v>
      </c>
      <c r="B93" s="19" t="s">
        <v>157</v>
      </c>
      <c r="C93" s="20"/>
      <c r="D93" s="2"/>
      <c r="E93" s="20"/>
      <c r="F93" s="20"/>
      <c r="G93" s="20"/>
      <c r="H93" s="20"/>
      <c r="I93" s="2"/>
      <c r="J93" s="20"/>
      <c r="K93" s="2"/>
      <c r="L93" s="20"/>
      <c r="M93" s="20"/>
      <c r="N93" s="20"/>
      <c r="O93" s="20"/>
      <c r="P93" s="2"/>
      <c r="Q93" s="20"/>
      <c r="R93" s="2"/>
      <c r="S93" s="20"/>
      <c r="T93" s="20"/>
      <c r="U93" s="20"/>
      <c r="V93" s="20"/>
      <c r="W93" s="2"/>
      <c r="X93" s="20"/>
      <c r="Y93" s="2"/>
      <c r="Z93" s="20"/>
      <c r="AA93" s="20"/>
      <c r="AB93" s="20"/>
      <c r="AC93" s="20"/>
      <c r="AD93" s="2"/>
      <c r="AE93" s="20"/>
      <c r="AF93" s="20"/>
      <c r="AG93" s="21">
        <f t="shared" si="5"/>
        <v>0</v>
      </c>
      <c r="AH93" s="49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23" t="str">
        <f t="shared" si="6"/>
        <v>派大</v>
      </c>
      <c r="AJ93" s="25"/>
    </row>
    <row r="94" spans="1:36" ht="18" customHeight="1">
      <c r="A94" s="18" t="s">
        <v>58</v>
      </c>
      <c r="B94" s="19" t="s">
        <v>158</v>
      </c>
      <c r="C94" s="20"/>
      <c r="D94" s="2"/>
      <c r="E94" s="20"/>
      <c r="F94" s="20"/>
      <c r="G94" s="20"/>
      <c r="H94" s="20"/>
      <c r="I94" s="2"/>
      <c r="J94" s="20"/>
      <c r="K94" s="2"/>
      <c r="L94" s="20"/>
      <c r="M94" s="20"/>
      <c r="N94" s="20"/>
      <c r="O94" s="20"/>
      <c r="P94" s="2"/>
      <c r="Q94" s="20"/>
      <c r="R94" s="2"/>
      <c r="S94" s="20"/>
      <c r="T94" s="20"/>
      <c r="U94" s="20"/>
      <c r="V94" s="20"/>
      <c r="W94" s="2"/>
      <c r="X94" s="20"/>
      <c r="Y94" s="2"/>
      <c r="Z94" s="20"/>
      <c r="AA94" s="20"/>
      <c r="AB94" s="20"/>
      <c r="AC94" s="20"/>
      <c r="AD94" s="2"/>
      <c r="AE94" s="20"/>
      <c r="AF94" s="20"/>
      <c r="AG94" s="21">
        <f t="shared" si="5"/>
        <v>0</v>
      </c>
      <c r="AH94" s="49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23" t="str">
        <f t="shared" si="6"/>
        <v>吉娃</v>
      </c>
      <c r="AJ94" s="25"/>
    </row>
    <row r="95" spans="1:36" ht="18" customHeight="1">
      <c r="A95" s="18" t="s">
        <v>58</v>
      </c>
      <c r="B95" s="19" t="s">
        <v>159</v>
      </c>
      <c r="C95" s="20"/>
      <c r="D95" s="2"/>
      <c r="E95" s="20"/>
      <c r="F95" s="20"/>
      <c r="G95" s="20"/>
      <c r="H95" s="20"/>
      <c r="I95" s="2"/>
      <c r="J95" s="20"/>
      <c r="K95" s="2"/>
      <c r="L95" s="20"/>
      <c r="M95" s="20"/>
      <c r="N95" s="20"/>
      <c r="O95" s="20"/>
      <c r="P95" s="2"/>
      <c r="Q95" s="20"/>
      <c r="R95" s="2"/>
      <c r="S95" s="20"/>
      <c r="T95" s="20"/>
      <c r="U95" s="20"/>
      <c r="V95" s="20"/>
      <c r="W95" s="2"/>
      <c r="X95" s="20"/>
      <c r="Y95" s="2"/>
      <c r="Z95" s="20"/>
      <c r="AA95" s="20"/>
      <c r="AB95" s="20"/>
      <c r="AC95" s="20"/>
      <c r="AD95" s="2"/>
      <c r="AE95" s="20"/>
      <c r="AF95" s="20"/>
      <c r="AG95" s="21">
        <f t="shared" si="5"/>
        <v>0</v>
      </c>
      <c r="AH95" s="49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23" t="str">
        <f t="shared" si="6"/>
        <v>小寧</v>
      </c>
      <c r="AJ95" s="25"/>
    </row>
    <row r="96" spans="1:36" ht="18" customHeight="1">
      <c r="A96" s="18" t="s">
        <v>58</v>
      </c>
      <c r="B96" s="19" t="s">
        <v>160</v>
      </c>
      <c r="C96" s="20"/>
      <c r="D96" s="2"/>
      <c r="E96" s="20"/>
      <c r="F96" s="20"/>
      <c r="G96" s="20"/>
      <c r="H96" s="20"/>
      <c r="I96" s="2"/>
      <c r="J96" s="20"/>
      <c r="K96" s="2"/>
      <c r="L96" s="20"/>
      <c r="M96" s="20"/>
      <c r="N96" s="20"/>
      <c r="O96" s="20"/>
      <c r="P96" s="2"/>
      <c r="Q96" s="20"/>
      <c r="R96" s="2"/>
      <c r="S96" s="20"/>
      <c r="T96" s="20"/>
      <c r="U96" s="20"/>
      <c r="V96" s="20"/>
      <c r="W96" s="2"/>
      <c r="X96" s="20"/>
      <c r="Y96" s="2"/>
      <c r="Z96" s="20"/>
      <c r="AA96" s="20"/>
      <c r="AB96" s="20"/>
      <c r="AC96" s="20"/>
      <c r="AD96" s="2"/>
      <c r="AE96" s="20"/>
      <c r="AF96" s="20"/>
      <c r="AG96" s="21">
        <f t="shared" si="5"/>
        <v>0</v>
      </c>
      <c r="AH96" s="49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23" t="str">
        <f t="shared" si="6"/>
        <v>小妹</v>
      </c>
      <c r="AJ96" s="25"/>
    </row>
    <row r="97" spans="1:36" ht="18" customHeight="1">
      <c r="A97" s="18" t="s">
        <v>58</v>
      </c>
      <c r="B97" s="19" t="s">
        <v>101</v>
      </c>
      <c r="C97" s="20"/>
      <c r="D97" s="2"/>
      <c r="E97" s="20"/>
      <c r="F97" s="20"/>
      <c r="G97" s="20"/>
      <c r="H97" s="20"/>
      <c r="I97" s="2"/>
      <c r="J97" s="20"/>
      <c r="K97" s="2"/>
      <c r="L97" s="45">
        <v>1</v>
      </c>
      <c r="M97" s="20"/>
      <c r="N97" s="20"/>
      <c r="O97" s="20"/>
      <c r="P97" s="2"/>
      <c r="Q97" s="20"/>
      <c r="R97" s="2"/>
      <c r="S97" s="20"/>
      <c r="T97" s="20"/>
      <c r="U97" s="20"/>
      <c r="V97" s="20"/>
      <c r="W97" s="2"/>
      <c r="X97" s="20"/>
      <c r="Y97" s="2"/>
      <c r="Z97" s="20"/>
      <c r="AA97" s="20"/>
      <c r="AB97" s="20"/>
      <c r="AC97" s="20"/>
      <c r="AD97" s="2"/>
      <c r="AE97" s="20"/>
      <c r="AF97" s="20"/>
      <c r="AG97" s="21">
        <f t="shared" si="5"/>
        <v>1</v>
      </c>
      <c r="AH97" s="49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23" t="str">
        <f t="shared" si="6"/>
        <v>文媛</v>
      </c>
      <c r="AJ97" s="25"/>
    </row>
    <row r="98" spans="1:36" ht="18" customHeight="1">
      <c r="A98" s="18" t="s">
        <v>58</v>
      </c>
      <c r="B98" s="19" t="s">
        <v>161</v>
      </c>
      <c r="C98" s="20"/>
      <c r="D98" s="2"/>
      <c r="E98" s="20"/>
      <c r="F98" s="20"/>
      <c r="G98" s="20"/>
      <c r="H98" s="20"/>
      <c r="I98" s="2"/>
      <c r="J98" s="20"/>
      <c r="K98" s="2"/>
      <c r="L98" s="20"/>
      <c r="M98" s="20"/>
      <c r="N98" s="20"/>
      <c r="O98" s="20"/>
      <c r="P98" s="2"/>
      <c r="Q98" s="20"/>
      <c r="R98" s="2"/>
      <c r="S98" s="20"/>
      <c r="T98" s="20"/>
      <c r="U98" s="20"/>
      <c r="V98" s="20"/>
      <c r="W98" s="2"/>
      <c r="X98" s="20"/>
      <c r="Y98" s="2"/>
      <c r="Z98" s="20"/>
      <c r="AA98" s="20"/>
      <c r="AB98" s="20"/>
      <c r="AC98" s="20"/>
      <c r="AD98" s="2"/>
      <c r="AE98" s="20"/>
      <c r="AF98" s="20"/>
      <c r="AG98" s="21">
        <f t="shared" si="5"/>
        <v>0</v>
      </c>
      <c r="AH98" s="49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23" t="str">
        <f t="shared" si="6"/>
        <v>佩鈺</v>
      </c>
      <c r="AJ98" s="25"/>
    </row>
    <row r="99" spans="1:36" ht="18" customHeight="1">
      <c r="A99" s="18" t="s">
        <v>58</v>
      </c>
      <c r="B99" s="19" t="s">
        <v>162</v>
      </c>
      <c r="C99" s="20"/>
      <c r="D99" s="2"/>
      <c r="E99" s="20"/>
      <c r="F99" s="20"/>
      <c r="G99" s="20"/>
      <c r="H99" s="20"/>
      <c r="I99" s="2"/>
      <c r="J99" s="20"/>
      <c r="K99" s="2"/>
      <c r="L99" s="20"/>
      <c r="M99" s="20"/>
      <c r="N99" s="20"/>
      <c r="O99" s="20"/>
      <c r="P99" s="2"/>
      <c r="Q99" s="20"/>
      <c r="R99" s="2"/>
      <c r="S99" s="20"/>
      <c r="T99" s="20"/>
      <c r="U99" s="20"/>
      <c r="V99" s="20"/>
      <c r="W99" s="2"/>
      <c r="X99" s="20"/>
      <c r="Y99" s="2"/>
      <c r="Z99" s="20"/>
      <c r="AA99" s="20"/>
      <c r="AB99" s="20"/>
      <c r="AC99" s="20"/>
      <c r="AD99" s="2"/>
      <c r="AE99" s="20"/>
      <c r="AF99" s="20"/>
      <c r="AG99" s="21">
        <f t="shared" si="5"/>
        <v>0</v>
      </c>
      <c r="AH99" s="49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23" t="str">
        <f t="shared" si="6"/>
        <v>阿布</v>
      </c>
      <c r="AJ99" s="25"/>
    </row>
    <row r="100" spans="1:36" ht="18" customHeight="1">
      <c r="A100" s="18" t="s">
        <v>58</v>
      </c>
      <c r="B100" s="19" t="s">
        <v>100</v>
      </c>
      <c r="C100" s="45">
        <v>1</v>
      </c>
      <c r="D100" s="2"/>
      <c r="E100" s="45">
        <v>1</v>
      </c>
      <c r="F100" s="20"/>
      <c r="G100" s="45">
        <v>1</v>
      </c>
      <c r="H100" s="20"/>
      <c r="I100" s="2"/>
      <c r="J100" s="45">
        <v>1</v>
      </c>
      <c r="K100" s="2"/>
      <c r="L100" s="20"/>
      <c r="M100" s="45">
        <v>1</v>
      </c>
      <c r="N100" s="45">
        <v>1</v>
      </c>
      <c r="O100" s="20"/>
      <c r="P100" s="2"/>
      <c r="Q100" s="45">
        <v>1</v>
      </c>
      <c r="R100" s="2"/>
      <c r="S100" s="45">
        <v>1</v>
      </c>
      <c r="T100" s="45">
        <v>1</v>
      </c>
      <c r="U100" s="45">
        <v>1</v>
      </c>
      <c r="V100" s="20"/>
      <c r="W100" s="2"/>
      <c r="X100" s="45">
        <v>1</v>
      </c>
      <c r="Y100" s="2"/>
      <c r="Z100" s="45">
        <v>1</v>
      </c>
      <c r="AA100" s="45">
        <v>1</v>
      </c>
      <c r="AB100" s="45">
        <v>1</v>
      </c>
      <c r="AC100" s="20"/>
      <c r="AD100" s="2"/>
      <c r="AE100" s="45">
        <v>1</v>
      </c>
      <c r="AF100" s="45"/>
      <c r="AG100" s="21">
        <f t="shared" ref="AG100:AG131" si="7">COUNTA(C100:AF100)</f>
        <v>15</v>
      </c>
      <c r="AH100" s="49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23" t="str">
        <f t="shared" ref="AI100:AI131" si="8">B100</f>
        <v>餅餅</v>
      </c>
      <c r="AJ100" s="25"/>
    </row>
    <row r="101" spans="1:36" ht="18" customHeight="1">
      <c r="A101" s="18" t="s">
        <v>58</v>
      </c>
      <c r="B101" s="19" t="s">
        <v>163</v>
      </c>
      <c r="C101" s="45">
        <v>1</v>
      </c>
      <c r="D101" s="2"/>
      <c r="E101" s="45">
        <v>1</v>
      </c>
      <c r="F101" s="20"/>
      <c r="G101" s="45">
        <v>1</v>
      </c>
      <c r="H101" s="20"/>
      <c r="I101" s="2"/>
      <c r="J101" s="45">
        <v>1</v>
      </c>
      <c r="K101" s="2"/>
      <c r="L101" s="45">
        <v>1</v>
      </c>
      <c r="M101" s="45">
        <v>1</v>
      </c>
      <c r="N101" s="45">
        <v>1</v>
      </c>
      <c r="O101" s="20"/>
      <c r="P101" s="2"/>
      <c r="Q101" s="45">
        <v>1</v>
      </c>
      <c r="R101" s="2"/>
      <c r="S101" s="45">
        <v>1</v>
      </c>
      <c r="T101" s="45">
        <v>1</v>
      </c>
      <c r="U101" s="45">
        <v>1</v>
      </c>
      <c r="V101" s="20"/>
      <c r="W101" s="2"/>
      <c r="X101" s="45">
        <v>1</v>
      </c>
      <c r="Y101" s="2"/>
      <c r="Z101" s="45">
        <v>1</v>
      </c>
      <c r="AA101" s="45">
        <v>1</v>
      </c>
      <c r="AB101" s="45">
        <v>1</v>
      </c>
      <c r="AC101" s="20"/>
      <c r="AD101" s="2"/>
      <c r="AE101" s="45">
        <v>1</v>
      </c>
      <c r="AF101" s="45"/>
      <c r="AG101" s="21">
        <f t="shared" si="7"/>
        <v>16</v>
      </c>
      <c r="AH101" s="49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23" t="str">
        <f t="shared" si="8"/>
        <v>小個</v>
      </c>
      <c r="AJ101" s="25"/>
    </row>
    <row r="102" spans="1:36" ht="18" customHeight="1">
      <c r="A102" s="26" t="s">
        <v>58</v>
      </c>
      <c r="B102" s="27" t="s">
        <v>104</v>
      </c>
      <c r="C102" s="28">
        <v>1</v>
      </c>
      <c r="D102" s="2"/>
      <c r="E102" s="28">
        <v>1</v>
      </c>
      <c r="F102" s="28">
        <v>1</v>
      </c>
      <c r="G102" s="28">
        <v>1</v>
      </c>
      <c r="H102" s="28">
        <v>1</v>
      </c>
      <c r="I102" s="2"/>
      <c r="J102" s="28">
        <v>1</v>
      </c>
      <c r="K102" s="2"/>
      <c r="L102" s="28"/>
      <c r="M102" s="28">
        <v>1</v>
      </c>
      <c r="N102" s="28">
        <v>1</v>
      </c>
      <c r="O102" s="28"/>
      <c r="P102" s="2"/>
      <c r="Q102" s="28">
        <v>1</v>
      </c>
      <c r="R102" s="2"/>
      <c r="S102" s="28"/>
      <c r="T102" s="28">
        <v>1</v>
      </c>
      <c r="U102" s="28">
        <v>1</v>
      </c>
      <c r="V102" s="28">
        <v>1</v>
      </c>
      <c r="W102" s="2"/>
      <c r="X102" s="28">
        <v>1</v>
      </c>
      <c r="Y102" s="2"/>
      <c r="Z102" s="28"/>
      <c r="AA102" s="28">
        <v>1</v>
      </c>
      <c r="AB102" s="28">
        <v>1</v>
      </c>
      <c r="AC102" s="28">
        <v>1</v>
      </c>
      <c r="AD102" s="2"/>
      <c r="AE102" s="28">
        <v>1</v>
      </c>
      <c r="AF102" s="28"/>
      <c r="AG102" s="29">
        <f t="shared" si="7"/>
        <v>17</v>
      </c>
      <c r="AH102" s="50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31" t="str">
        <f t="shared" si="8"/>
        <v>卡丘</v>
      </c>
      <c r="AJ102" s="32"/>
    </row>
    <row r="103" spans="1:36" ht="18" customHeight="1">
      <c r="A103" s="26" t="s">
        <v>58</v>
      </c>
      <c r="B103" s="27" t="s">
        <v>124</v>
      </c>
      <c r="C103" s="28">
        <v>1</v>
      </c>
      <c r="D103" s="2"/>
      <c r="E103" s="28"/>
      <c r="F103" s="28"/>
      <c r="G103" s="28">
        <v>1</v>
      </c>
      <c r="H103" s="28">
        <v>1</v>
      </c>
      <c r="I103" s="2"/>
      <c r="J103" s="28">
        <v>1</v>
      </c>
      <c r="K103" s="2"/>
      <c r="L103" s="28"/>
      <c r="M103" s="28">
        <v>1</v>
      </c>
      <c r="N103" s="28">
        <v>1</v>
      </c>
      <c r="O103" s="28"/>
      <c r="P103" s="2"/>
      <c r="Q103" s="28">
        <v>1</v>
      </c>
      <c r="R103" s="2"/>
      <c r="S103" s="28">
        <v>1</v>
      </c>
      <c r="T103" s="28">
        <v>1</v>
      </c>
      <c r="U103" s="28">
        <v>1</v>
      </c>
      <c r="V103" s="28"/>
      <c r="W103" s="2"/>
      <c r="X103" s="28">
        <v>1</v>
      </c>
      <c r="Y103" s="2"/>
      <c r="Z103" s="28">
        <v>1</v>
      </c>
      <c r="AA103" s="28">
        <v>1</v>
      </c>
      <c r="AB103" s="28">
        <v>1</v>
      </c>
      <c r="AC103" s="28"/>
      <c r="AD103" s="2"/>
      <c r="AE103" s="28">
        <v>1</v>
      </c>
      <c r="AF103" s="28"/>
      <c r="AG103" s="29">
        <f t="shared" si="7"/>
        <v>15</v>
      </c>
      <c r="AH103" s="50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31" t="str">
        <f t="shared" si="8"/>
        <v>玉蕙</v>
      </c>
      <c r="AJ103" s="32"/>
    </row>
    <row r="104" spans="1:36" ht="18" customHeight="1">
      <c r="A104" s="26" t="s">
        <v>58</v>
      </c>
      <c r="B104" s="27" t="s">
        <v>125</v>
      </c>
      <c r="C104" s="28"/>
      <c r="D104" s="2"/>
      <c r="E104" s="28"/>
      <c r="F104" s="28"/>
      <c r="G104" s="28">
        <v>1</v>
      </c>
      <c r="H104" s="28"/>
      <c r="I104" s="2"/>
      <c r="J104" s="28">
        <v>1</v>
      </c>
      <c r="K104" s="2"/>
      <c r="L104" s="28"/>
      <c r="M104" s="28">
        <v>1</v>
      </c>
      <c r="N104" s="28">
        <v>1</v>
      </c>
      <c r="O104" s="28"/>
      <c r="P104" s="2"/>
      <c r="Q104" s="28">
        <v>1</v>
      </c>
      <c r="R104" s="2"/>
      <c r="S104" s="28"/>
      <c r="T104" s="28">
        <v>1</v>
      </c>
      <c r="U104" s="28">
        <v>1</v>
      </c>
      <c r="V104" s="28"/>
      <c r="W104" s="2"/>
      <c r="X104" s="28">
        <v>1</v>
      </c>
      <c r="Y104" s="2"/>
      <c r="Z104" s="28"/>
      <c r="AA104" s="28">
        <v>1</v>
      </c>
      <c r="AB104" s="28">
        <v>1</v>
      </c>
      <c r="AC104" s="28"/>
      <c r="AD104" s="2"/>
      <c r="AE104" s="28">
        <v>1</v>
      </c>
      <c r="AF104" s="28"/>
      <c r="AG104" s="29">
        <f t="shared" si="7"/>
        <v>11</v>
      </c>
      <c r="AH104" s="50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31" t="str">
        <f t="shared" si="8"/>
        <v>沛緁</v>
      </c>
      <c r="AJ104" s="32"/>
    </row>
    <row r="105" spans="1:36" ht="18" customHeight="1">
      <c r="A105" s="26" t="s">
        <v>58</v>
      </c>
      <c r="B105" s="27" t="s">
        <v>126</v>
      </c>
      <c r="C105" s="28">
        <v>1</v>
      </c>
      <c r="D105" s="2"/>
      <c r="E105" s="28">
        <v>1</v>
      </c>
      <c r="F105" s="28"/>
      <c r="G105" s="28">
        <v>1</v>
      </c>
      <c r="H105" s="28"/>
      <c r="I105" s="2"/>
      <c r="J105" s="28">
        <v>1</v>
      </c>
      <c r="K105" s="2"/>
      <c r="L105" s="28">
        <v>1</v>
      </c>
      <c r="M105" s="28">
        <v>1</v>
      </c>
      <c r="N105" s="28">
        <v>1</v>
      </c>
      <c r="O105" s="28"/>
      <c r="P105" s="2"/>
      <c r="Q105" s="28">
        <v>1</v>
      </c>
      <c r="R105" s="2"/>
      <c r="S105" s="28">
        <v>1</v>
      </c>
      <c r="T105" s="28">
        <v>1</v>
      </c>
      <c r="U105" s="28">
        <v>1</v>
      </c>
      <c r="V105" s="28"/>
      <c r="W105" s="2"/>
      <c r="X105" s="28">
        <v>1</v>
      </c>
      <c r="Y105" s="2"/>
      <c r="Z105" s="28">
        <v>1</v>
      </c>
      <c r="AA105" s="28">
        <v>1</v>
      </c>
      <c r="AB105" s="28">
        <v>1</v>
      </c>
      <c r="AC105" s="28"/>
      <c r="AD105" s="2"/>
      <c r="AE105" s="28">
        <v>1</v>
      </c>
      <c r="AF105" s="28"/>
      <c r="AG105" s="29">
        <f t="shared" si="7"/>
        <v>16</v>
      </c>
      <c r="AH105" s="50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31" t="str">
        <f t="shared" si="8"/>
        <v>妹妹</v>
      </c>
      <c r="AJ105" s="32"/>
    </row>
    <row r="106" spans="1:36" ht="18" customHeight="1">
      <c r="A106" s="26" t="s">
        <v>58</v>
      </c>
      <c r="B106" s="27" t="s">
        <v>127</v>
      </c>
      <c r="C106" s="28">
        <v>1</v>
      </c>
      <c r="D106" s="2"/>
      <c r="E106" s="28">
        <v>1</v>
      </c>
      <c r="F106" s="28"/>
      <c r="G106" s="28">
        <v>1</v>
      </c>
      <c r="H106" s="28">
        <v>1</v>
      </c>
      <c r="I106" s="2"/>
      <c r="J106" s="28">
        <v>1</v>
      </c>
      <c r="K106" s="2"/>
      <c r="L106" s="28">
        <v>1</v>
      </c>
      <c r="M106" s="28">
        <v>1</v>
      </c>
      <c r="N106" s="28">
        <v>1</v>
      </c>
      <c r="O106" s="28">
        <v>1</v>
      </c>
      <c r="P106" s="2"/>
      <c r="Q106" s="28">
        <v>1</v>
      </c>
      <c r="R106" s="2"/>
      <c r="S106" s="28"/>
      <c r="T106" s="28">
        <v>1</v>
      </c>
      <c r="U106" s="28">
        <v>1</v>
      </c>
      <c r="V106" s="28">
        <v>1</v>
      </c>
      <c r="W106" s="2"/>
      <c r="X106" s="28">
        <v>1</v>
      </c>
      <c r="Y106" s="2"/>
      <c r="Z106" s="28">
        <v>1</v>
      </c>
      <c r="AA106" s="28">
        <v>1</v>
      </c>
      <c r="AB106" s="28">
        <v>1</v>
      </c>
      <c r="AC106" s="28">
        <v>1</v>
      </c>
      <c r="AD106" s="2"/>
      <c r="AE106" s="28">
        <v>1</v>
      </c>
      <c r="AF106" s="28"/>
      <c r="AG106" s="29">
        <f t="shared" si="7"/>
        <v>19</v>
      </c>
      <c r="AH106" s="50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31" t="str">
        <f t="shared" si="8"/>
        <v>小雞</v>
      </c>
      <c r="AJ106" s="32"/>
    </row>
    <row r="107" spans="1:36" ht="18" customHeight="1">
      <c r="A107" s="26" t="s">
        <v>58</v>
      </c>
      <c r="B107" s="27" t="s">
        <v>128</v>
      </c>
      <c r="C107" s="28"/>
      <c r="D107" s="2"/>
      <c r="E107" s="28"/>
      <c r="F107" s="28"/>
      <c r="G107" s="28"/>
      <c r="H107" s="28"/>
      <c r="I107" s="2"/>
      <c r="J107" s="28"/>
      <c r="K107" s="2"/>
      <c r="L107" s="28"/>
      <c r="M107" s="28"/>
      <c r="N107" s="28"/>
      <c r="O107" s="28"/>
      <c r="P107" s="2"/>
      <c r="Q107" s="28"/>
      <c r="R107" s="2"/>
      <c r="S107" s="28"/>
      <c r="T107" s="28"/>
      <c r="U107" s="28"/>
      <c r="V107" s="28"/>
      <c r="W107" s="2"/>
      <c r="X107" s="28"/>
      <c r="Y107" s="2"/>
      <c r="Z107" s="28"/>
      <c r="AA107" s="28"/>
      <c r="AB107" s="28"/>
      <c r="AC107" s="28"/>
      <c r="AD107" s="2"/>
      <c r="AE107" s="28"/>
      <c r="AF107" s="28"/>
      <c r="AG107" s="29">
        <f t="shared" si="7"/>
        <v>0</v>
      </c>
      <c r="AH107" s="50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31" t="str">
        <f t="shared" si="8"/>
        <v>雨昕</v>
      </c>
      <c r="AJ107" s="32"/>
    </row>
    <row r="108" spans="1:36" ht="18" customHeight="1">
      <c r="A108" s="26" t="s">
        <v>58</v>
      </c>
      <c r="B108" s="27" t="s">
        <v>129</v>
      </c>
      <c r="C108" s="28">
        <v>1</v>
      </c>
      <c r="D108" s="2"/>
      <c r="E108" s="28">
        <v>1</v>
      </c>
      <c r="F108" s="28">
        <v>1</v>
      </c>
      <c r="G108" s="28">
        <v>1</v>
      </c>
      <c r="H108" s="28"/>
      <c r="I108" s="2"/>
      <c r="J108" s="28">
        <v>1</v>
      </c>
      <c r="K108" s="2"/>
      <c r="L108" s="28"/>
      <c r="M108" s="28">
        <v>1</v>
      </c>
      <c r="N108" s="28">
        <v>1</v>
      </c>
      <c r="O108" s="28"/>
      <c r="P108" s="2"/>
      <c r="Q108" s="28">
        <v>1</v>
      </c>
      <c r="R108" s="2"/>
      <c r="S108" s="28"/>
      <c r="T108" s="28"/>
      <c r="U108" s="28"/>
      <c r="V108" s="28"/>
      <c r="W108" s="2"/>
      <c r="X108" s="28">
        <v>1</v>
      </c>
      <c r="Y108" s="2"/>
      <c r="Z108" s="28"/>
      <c r="AA108" s="28"/>
      <c r="AB108" s="28"/>
      <c r="AC108" s="28"/>
      <c r="AD108" s="2"/>
      <c r="AE108" s="28"/>
      <c r="AF108" s="28"/>
      <c r="AG108" s="29">
        <f t="shared" si="7"/>
        <v>9</v>
      </c>
      <c r="AH108" s="50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31" t="str">
        <f t="shared" si="8"/>
        <v>矮矮</v>
      </c>
      <c r="AJ108" s="32"/>
    </row>
    <row r="109" spans="1:36" ht="18" customHeight="1">
      <c r="A109" s="26" t="s">
        <v>58</v>
      </c>
      <c r="B109" s="27" t="s">
        <v>130</v>
      </c>
      <c r="C109" s="28"/>
      <c r="D109" s="2"/>
      <c r="E109" s="28"/>
      <c r="F109" s="28"/>
      <c r="G109" s="28">
        <v>1</v>
      </c>
      <c r="H109" s="28">
        <v>1</v>
      </c>
      <c r="I109" s="2"/>
      <c r="J109" s="28"/>
      <c r="K109" s="2"/>
      <c r="L109" s="28"/>
      <c r="M109" s="28"/>
      <c r="N109" s="28">
        <v>1</v>
      </c>
      <c r="O109" s="28">
        <v>1</v>
      </c>
      <c r="P109" s="2"/>
      <c r="Q109" s="28"/>
      <c r="R109" s="2"/>
      <c r="S109" s="28"/>
      <c r="T109" s="28"/>
      <c r="U109" s="28">
        <v>1</v>
      </c>
      <c r="V109" s="28">
        <v>1</v>
      </c>
      <c r="W109" s="2"/>
      <c r="X109" s="28"/>
      <c r="Y109" s="2"/>
      <c r="Z109" s="28"/>
      <c r="AA109" s="28"/>
      <c r="AB109" s="28">
        <v>1</v>
      </c>
      <c r="AC109" s="28">
        <v>1</v>
      </c>
      <c r="AD109" s="2"/>
      <c r="AE109" s="28"/>
      <c r="AF109" s="28"/>
      <c r="AG109" s="29">
        <f t="shared" si="7"/>
        <v>8</v>
      </c>
      <c r="AH109" s="50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31" t="str">
        <f t="shared" si="8"/>
        <v>猛女</v>
      </c>
      <c r="AJ109" s="32"/>
    </row>
    <row r="110" spans="1:36" ht="18" customHeight="1">
      <c r="A110" s="26" t="s">
        <v>58</v>
      </c>
      <c r="B110" s="27" t="s">
        <v>131</v>
      </c>
      <c r="C110" s="28"/>
      <c r="D110" s="2"/>
      <c r="E110" s="28"/>
      <c r="F110" s="28"/>
      <c r="G110" s="28"/>
      <c r="H110" s="28"/>
      <c r="I110" s="2"/>
      <c r="J110" s="28"/>
      <c r="K110" s="2"/>
      <c r="L110" s="28"/>
      <c r="M110" s="28"/>
      <c r="N110" s="28"/>
      <c r="O110" s="28"/>
      <c r="P110" s="2"/>
      <c r="Q110" s="28"/>
      <c r="R110" s="2"/>
      <c r="S110" s="28"/>
      <c r="T110" s="28"/>
      <c r="U110" s="28"/>
      <c r="V110" s="28"/>
      <c r="W110" s="2"/>
      <c r="X110" s="28"/>
      <c r="Y110" s="2"/>
      <c r="Z110" s="28"/>
      <c r="AA110" s="28"/>
      <c r="AB110" s="28"/>
      <c r="AC110" s="28"/>
      <c r="AD110" s="2"/>
      <c r="AE110" s="28"/>
      <c r="AF110" s="28"/>
      <c r="AG110" s="29">
        <f t="shared" si="7"/>
        <v>0</v>
      </c>
      <c r="AH110" s="50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31" t="str">
        <f t="shared" si="8"/>
        <v>欣容</v>
      </c>
      <c r="AJ110" s="32"/>
    </row>
    <row r="111" spans="1:36" ht="18" customHeight="1">
      <c r="A111" s="26" t="s">
        <v>58</v>
      </c>
      <c r="B111" s="27" t="s">
        <v>132</v>
      </c>
      <c r="C111" s="28"/>
      <c r="D111" s="2"/>
      <c r="E111" s="28"/>
      <c r="F111" s="28"/>
      <c r="G111" s="28"/>
      <c r="H111" s="28"/>
      <c r="I111" s="2"/>
      <c r="J111" s="28"/>
      <c r="K111" s="2"/>
      <c r="L111" s="28"/>
      <c r="M111" s="28"/>
      <c r="N111" s="28"/>
      <c r="O111" s="28"/>
      <c r="P111" s="2"/>
      <c r="Q111" s="28"/>
      <c r="R111" s="2"/>
      <c r="S111" s="28"/>
      <c r="T111" s="28"/>
      <c r="U111" s="28"/>
      <c r="V111" s="28"/>
      <c r="W111" s="2"/>
      <c r="X111" s="28"/>
      <c r="Y111" s="2"/>
      <c r="Z111" s="28"/>
      <c r="AA111" s="28"/>
      <c r="AB111" s="28"/>
      <c r="AC111" s="28"/>
      <c r="AD111" s="2"/>
      <c r="AE111" s="28"/>
      <c r="AF111" s="28"/>
      <c r="AG111" s="29">
        <f t="shared" si="7"/>
        <v>0</v>
      </c>
      <c r="AH111" s="50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31" t="str">
        <f t="shared" si="8"/>
        <v>萁萁</v>
      </c>
      <c r="AJ111" s="32"/>
    </row>
    <row r="112" spans="1:36" ht="18" customHeight="1">
      <c r="A112" s="26" t="s">
        <v>58</v>
      </c>
      <c r="B112" s="27" t="s">
        <v>133</v>
      </c>
      <c r="C112" s="28"/>
      <c r="D112" s="2"/>
      <c r="E112" s="28"/>
      <c r="F112" s="28"/>
      <c r="G112" s="28"/>
      <c r="H112" s="28"/>
      <c r="I112" s="2"/>
      <c r="J112" s="28"/>
      <c r="K112" s="2"/>
      <c r="L112" s="28">
        <v>1</v>
      </c>
      <c r="M112" s="28"/>
      <c r="N112" s="28"/>
      <c r="O112" s="28"/>
      <c r="P112" s="2"/>
      <c r="Q112" s="28"/>
      <c r="R112" s="2"/>
      <c r="S112" s="28">
        <v>1</v>
      </c>
      <c r="T112" s="28"/>
      <c r="U112" s="28"/>
      <c r="V112" s="28">
        <v>1</v>
      </c>
      <c r="W112" s="2"/>
      <c r="X112" s="28"/>
      <c r="Y112" s="2"/>
      <c r="Z112" s="28">
        <v>1</v>
      </c>
      <c r="AA112" s="28"/>
      <c r="AB112" s="28">
        <v>1</v>
      </c>
      <c r="AC112" s="28">
        <v>1</v>
      </c>
      <c r="AD112" s="2"/>
      <c r="AE112" s="28"/>
      <c r="AF112" s="28">
        <v>1</v>
      </c>
      <c r="AG112" s="29">
        <f t="shared" si="7"/>
        <v>7</v>
      </c>
      <c r="AH112" s="50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31" t="str">
        <f t="shared" si="8"/>
        <v>萱</v>
      </c>
      <c r="AJ112" s="32"/>
    </row>
    <row r="113" spans="1:36" ht="18" customHeight="1">
      <c r="A113" s="26" t="s">
        <v>58</v>
      </c>
      <c r="B113" s="27" t="s">
        <v>134</v>
      </c>
      <c r="C113" s="28"/>
      <c r="D113" s="2"/>
      <c r="E113" s="28"/>
      <c r="F113" s="28"/>
      <c r="G113" s="28"/>
      <c r="H113" s="28"/>
      <c r="I113" s="2"/>
      <c r="J113" s="28"/>
      <c r="K113" s="2"/>
      <c r="L113" s="28"/>
      <c r="M113" s="28"/>
      <c r="N113" s="28"/>
      <c r="O113" s="28"/>
      <c r="P113" s="2"/>
      <c r="Q113" s="28"/>
      <c r="R113" s="2"/>
      <c r="S113" s="28"/>
      <c r="T113" s="28"/>
      <c r="U113" s="28"/>
      <c r="V113" s="28"/>
      <c r="W113" s="2"/>
      <c r="X113" s="28"/>
      <c r="Y113" s="2"/>
      <c r="Z113" s="28"/>
      <c r="AA113" s="28"/>
      <c r="AB113" s="28"/>
      <c r="AC113" s="28"/>
      <c r="AD113" s="2"/>
      <c r="AE113" s="28"/>
      <c r="AF113" s="28"/>
      <c r="AG113" s="29">
        <f t="shared" si="7"/>
        <v>0</v>
      </c>
      <c r="AH113" s="50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31" t="str">
        <f t="shared" si="8"/>
        <v>Mei</v>
      </c>
      <c r="AJ113" s="32"/>
    </row>
    <row r="114" spans="1:36" ht="18" customHeight="1">
      <c r="A114" s="26" t="s">
        <v>58</v>
      </c>
      <c r="B114" s="27" t="s">
        <v>135</v>
      </c>
      <c r="C114" s="28"/>
      <c r="D114" s="2"/>
      <c r="E114" s="28"/>
      <c r="F114" s="28"/>
      <c r="G114" s="28"/>
      <c r="H114" s="28"/>
      <c r="I114" s="2"/>
      <c r="J114" s="28"/>
      <c r="K114" s="2"/>
      <c r="L114" s="28"/>
      <c r="M114" s="28"/>
      <c r="N114" s="28"/>
      <c r="O114" s="28"/>
      <c r="P114" s="2"/>
      <c r="Q114" s="28"/>
      <c r="R114" s="2"/>
      <c r="S114" s="28"/>
      <c r="T114" s="28"/>
      <c r="U114" s="28"/>
      <c r="V114" s="28"/>
      <c r="W114" s="2"/>
      <c r="X114" s="28"/>
      <c r="Y114" s="2"/>
      <c r="Z114" s="28"/>
      <c r="AA114" s="28">
        <v>1</v>
      </c>
      <c r="AB114" s="28"/>
      <c r="AC114" s="28"/>
      <c r="AD114" s="2"/>
      <c r="AE114" s="28"/>
      <c r="AF114" s="28"/>
      <c r="AG114" s="29">
        <f t="shared" si="7"/>
        <v>1</v>
      </c>
      <c r="AH114" s="50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31" t="str">
        <f t="shared" si="8"/>
        <v>屁屁</v>
      </c>
      <c r="AJ114" s="32"/>
    </row>
    <row r="115" spans="1:36" ht="18" customHeight="1">
      <c r="A115" s="26" t="s">
        <v>58</v>
      </c>
      <c r="B115" s="27" t="s">
        <v>136</v>
      </c>
      <c r="C115" s="28"/>
      <c r="D115" s="2"/>
      <c r="E115" s="28"/>
      <c r="F115" s="28"/>
      <c r="G115" s="28"/>
      <c r="H115" s="28"/>
      <c r="I115" s="2"/>
      <c r="J115" s="28"/>
      <c r="K115" s="2"/>
      <c r="L115" s="28"/>
      <c r="M115" s="28"/>
      <c r="N115" s="28"/>
      <c r="O115" s="28"/>
      <c r="P115" s="2"/>
      <c r="Q115" s="28"/>
      <c r="R115" s="2"/>
      <c r="S115" s="28"/>
      <c r="T115" s="28"/>
      <c r="U115" s="28"/>
      <c r="V115" s="28"/>
      <c r="W115" s="2"/>
      <c r="X115" s="28"/>
      <c r="Y115" s="2"/>
      <c r="Z115" s="28"/>
      <c r="AA115" s="28"/>
      <c r="AB115" s="28"/>
      <c r="AC115" s="28"/>
      <c r="AD115" s="2"/>
      <c r="AE115" s="28"/>
      <c r="AF115" s="28"/>
      <c r="AG115" s="29">
        <f t="shared" si="7"/>
        <v>0</v>
      </c>
      <c r="AH115" s="50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31" t="str">
        <f t="shared" si="8"/>
        <v>泡泡</v>
      </c>
      <c r="AJ115" s="32"/>
    </row>
    <row r="116" spans="1:36" ht="18" customHeight="1">
      <c r="A116" s="26" t="s">
        <v>58</v>
      </c>
      <c r="B116" s="27" t="s">
        <v>137</v>
      </c>
      <c r="C116" s="28"/>
      <c r="D116" s="2"/>
      <c r="E116" s="28"/>
      <c r="F116" s="28"/>
      <c r="G116" s="28"/>
      <c r="H116" s="28"/>
      <c r="I116" s="2"/>
      <c r="J116" s="28"/>
      <c r="K116" s="2"/>
      <c r="L116" s="28"/>
      <c r="M116" s="28"/>
      <c r="N116" s="28"/>
      <c r="O116" s="28"/>
      <c r="P116" s="2"/>
      <c r="Q116" s="28"/>
      <c r="R116" s="2"/>
      <c r="S116" s="28"/>
      <c r="T116" s="28"/>
      <c r="U116" s="28"/>
      <c r="V116" s="28"/>
      <c r="W116" s="2"/>
      <c r="X116" s="28"/>
      <c r="Y116" s="2"/>
      <c r="Z116" s="28"/>
      <c r="AA116" s="28"/>
      <c r="AB116" s="28"/>
      <c r="AC116" s="28"/>
      <c r="AD116" s="2"/>
      <c r="AE116" s="28"/>
      <c r="AF116" s="28"/>
      <c r="AG116" s="29">
        <f t="shared" si="7"/>
        <v>0</v>
      </c>
      <c r="AH116" s="50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31" t="str">
        <f t="shared" si="8"/>
        <v>姚</v>
      </c>
      <c r="AJ116" s="32"/>
    </row>
    <row r="117" spans="1:36" ht="18" customHeight="1">
      <c r="A117" s="26" t="s">
        <v>58</v>
      </c>
      <c r="B117" s="27" t="s">
        <v>138</v>
      </c>
      <c r="C117" s="28"/>
      <c r="D117" s="2"/>
      <c r="E117" s="28"/>
      <c r="F117" s="28"/>
      <c r="G117" s="28"/>
      <c r="H117" s="28"/>
      <c r="I117" s="2"/>
      <c r="J117" s="28"/>
      <c r="K117" s="2"/>
      <c r="L117" s="28"/>
      <c r="M117" s="28"/>
      <c r="N117" s="28"/>
      <c r="O117" s="28"/>
      <c r="P117" s="2"/>
      <c r="Q117" s="28"/>
      <c r="R117" s="2"/>
      <c r="S117" s="28"/>
      <c r="T117" s="28"/>
      <c r="U117" s="28"/>
      <c r="V117" s="28"/>
      <c r="W117" s="2"/>
      <c r="X117" s="28"/>
      <c r="Y117" s="2"/>
      <c r="Z117" s="28"/>
      <c r="AA117" s="28"/>
      <c r="AB117" s="28"/>
      <c r="AC117" s="28"/>
      <c r="AD117" s="2"/>
      <c r="AE117" s="28"/>
      <c r="AF117" s="28"/>
      <c r="AG117" s="29">
        <f t="shared" si="7"/>
        <v>0</v>
      </c>
      <c r="AH117" s="50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31" t="str">
        <f t="shared" si="8"/>
        <v>奜茜</v>
      </c>
      <c r="AJ117" s="32"/>
    </row>
    <row r="118" spans="1:36" ht="18" customHeight="1">
      <c r="A118" s="26" t="s">
        <v>58</v>
      </c>
      <c r="B118" s="27" t="s">
        <v>121</v>
      </c>
      <c r="C118" s="28">
        <v>1</v>
      </c>
      <c r="D118" s="2"/>
      <c r="E118" s="28"/>
      <c r="F118" s="28"/>
      <c r="G118" s="28">
        <v>1</v>
      </c>
      <c r="H118" s="28"/>
      <c r="I118" s="2"/>
      <c r="J118" s="28">
        <v>1</v>
      </c>
      <c r="K118" s="2"/>
      <c r="L118" s="28">
        <v>1</v>
      </c>
      <c r="M118" s="28">
        <v>1</v>
      </c>
      <c r="N118" s="28">
        <v>1</v>
      </c>
      <c r="O118" s="28"/>
      <c r="P118" s="2"/>
      <c r="Q118" s="28">
        <v>1</v>
      </c>
      <c r="R118" s="2"/>
      <c r="S118" s="28">
        <v>1</v>
      </c>
      <c r="T118" s="28">
        <v>1</v>
      </c>
      <c r="U118" s="28">
        <v>1</v>
      </c>
      <c r="V118" s="28"/>
      <c r="W118" s="2"/>
      <c r="X118" s="28">
        <v>1</v>
      </c>
      <c r="Y118" s="2"/>
      <c r="Z118" s="28">
        <v>1</v>
      </c>
      <c r="AA118" s="28">
        <v>1</v>
      </c>
      <c r="AB118" s="28">
        <v>1</v>
      </c>
      <c r="AC118" s="28"/>
      <c r="AD118" s="2"/>
      <c r="AE118" s="28">
        <v>1</v>
      </c>
      <c r="AF118" s="28"/>
      <c r="AG118" s="29">
        <f t="shared" si="7"/>
        <v>15</v>
      </c>
      <c r="AH118" s="50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31" t="str">
        <f t="shared" si="8"/>
        <v>冰沙</v>
      </c>
      <c r="AJ118" s="32"/>
    </row>
    <row r="119" spans="1:36" ht="18" customHeight="1">
      <c r="A119" s="26" t="s">
        <v>58</v>
      </c>
      <c r="B119" s="27" t="s">
        <v>139</v>
      </c>
      <c r="C119" s="28">
        <v>1</v>
      </c>
      <c r="D119" s="2"/>
      <c r="E119" s="28">
        <v>1</v>
      </c>
      <c r="F119" s="28"/>
      <c r="G119" s="28">
        <v>1</v>
      </c>
      <c r="H119" s="28">
        <v>1</v>
      </c>
      <c r="I119" s="2"/>
      <c r="J119" s="28">
        <v>1</v>
      </c>
      <c r="K119" s="2"/>
      <c r="L119" s="28"/>
      <c r="M119" s="28">
        <v>1</v>
      </c>
      <c r="N119" s="28">
        <v>1</v>
      </c>
      <c r="O119" s="28">
        <v>1</v>
      </c>
      <c r="P119" s="2"/>
      <c r="Q119" s="28">
        <v>1</v>
      </c>
      <c r="R119" s="2"/>
      <c r="S119" s="28"/>
      <c r="T119" s="28">
        <v>1</v>
      </c>
      <c r="U119" s="28">
        <v>1</v>
      </c>
      <c r="V119" s="28">
        <v>1</v>
      </c>
      <c r="W119" s="2"/>
      <c r="X119" s="28">
        <v>1</v>
      </c>
      <c r="Y119" s="2"/>
      <c r="Z119" s="28">
        <v>1</v>
      </c>
      <c r="AA119" s="28">
        <v>1</v>
      </c>
      <c r="AB119" s="28">
        <v>1</v>
      </c>
      <c r="AC119" s="28">
        <v>1</v>
      </c>
      <c r="AD119" s="2"/>
      <c r="AE119" s="28">
        <v>1</v>
      </c>
      <c r="AF119" s="28"/>
      <c r="AG119" s="29">
        <f t="shared" si="7"/>
        <v>18</v>
      </c>
      <c r="AH119" s="50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31" t="str">
        <f t="shared" si="8"/>
        <v>Tina</v>
      </c>
      <c r="AJ119" s="32"/>
    </row>
    <row r="120" spans="1:36" ht="18" customHeight="1">
      <c r="A120" s="26" t="s">
        <v>58</v>
      </c>
      <c r="B120" s="27" t="s">
        <v>113</v>
      </c>
      <c r="C120" s="28">
        <v>1</v>
      </c>
      <c r="D120" s="2"/>
      <c r="E120" s="28"/>
      <c r="F120" s="28"/>
      <c r="G120" s="28"/>
      <c r="H120" s="28"/>
      <c r="I120" s="2"/>
      <c r="J120" s="28">
        <v>1</v>
      </c>
      <c r="K120" s="2"/>
      <c r="L120" s="28"/>
      <c r="M120" s="28">
        <v>1</v>
      </c>
      <c r="N120" s="28">
        <v>1</v>
      </c>
      <c r="O120" s="28"/>
      <c r="P120" s="2"/>
      <c r="Q120" s="28">
        <v>1</v>
      </c>
      <c r="R120" s="2"/>
      <c r="S120" s="28"/>
      <c r="T120" s="28">
        <v>1</v>
      </c>
      <c r="U120" s="28">
        <v>1</v>
      </c>
      <c r="V120" s="28"/>
      <c r="W120" s="2"/>
      <c r="X120" s="28">
        <v>1</v>
      </c>
      <c r="Y120" s="2"/>
      <c r="Z120" s="28"/>
      <c r="AA120" s="28">
        <v>1</v>
      </c>
      <c r="AB120" s="28">
        <v>1</v>
      </c>
      <c r="AC120" s="28"/>
      <c r="AD120" s="2"/>
      <c r="AE120" s="28">
        <v>1</v>
      </c>
      <c r="AF120" s="28"/>
      <c r="AG120" s="29">
        <f t="shared" si="7"/>
        <v>11</v>
      </c>
      <c r="AH120" s="50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31" t="str">
        <f t="shared" si="8"/>
        <v>容容</v>
      </c>
      <c r="AJ120" s="32"/>
    </row>
    <row r="121" spans="1:36" ht="18" customHeight="1">
      <c r="A121" s="26" t="s">
        <v>58</v>
      </c>
      <c r="B121" s="27" t="s">
        <v>117</v>
      </c>
      <c r="C121" s="28">
        <v>1</v>
      </c>
      <c r="D121" s="2"/>
      <c r="E121" s="28"/>
      <c r="F121" s="28"/>
      <c r="G121" s="28">
        <v>1</v>
      </c>
      <c r="H121" s="28">
        <v>1</v>
      </c>
      <c r="I121" s="2"/>
      <c r="J121" s="28">
        <v>1</v>
      </c>
      <c r="K121" s="2"/>
      <c r="L121" s="28"/>
      <c r="M121" s="28">
        <v>1</v>
      </c>
      <c r="N121" s="28">
        <v>1</v>
      </c>
      <c r="O121" s="28">
        <v>1</v>
      </c>
      <c r="P121" s="2"/>
      <c r="Q121" s="28">
        <v>1</v>
      </c>
      <c r="R121" s="2"/>
      <c r="S121" s="28"/>
      <c r="T121" s="28">
        <v>1</v>
      </c>
      <c r="U121" s="28">
        <v>1</v>
      </c>
      <c r="V121" s="28"/>
      <c r="W121" s="2"/>
      <c r="X121" s="28">
        <v>1</v>
      </c>
      <c r="Y121" s="2"/>
      <c r="Z121" s="28"/>
      <c r="AA121" s="28">
        <v>1</v>
      </c>
      <c r="AB121" s="28">
        <v>1</v>
      </c>
      <c r="AC121" s="28">
        <v>1</v>
      </c>
      <c r="AD121" s="2"/>
      <c r="AE121" s="28">
        <v>1</v>
      </c>
      <c r="AF121" s="28"/>
      <c r="AG121" s="29">
        <f t="shared" si="7"/>
        <v>15</v>
      </c>
      <c r="AH121" s="50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31" t="str">
        <f t="shared" si="8"/>
        <v>依凡</v>
      </c>
      <c r="AJ121" s="32"/>
    </row>
    <row r="122" spans="1:36" ht="18" customHeight="1">
      <c r="A122" s="26" t="s">
        <v>58</v>
      </c>
      <c r="B122" s="27" t="s">
        <v>122</v>
      </c>
      <c r="C122" s="28">
        <v>1</v>
      </c>
      <c r="D122" s="2"/>
      <c r="E122" s="28"/>
      <c r="F122" s="28">
        <v>1</v>
      </c>
      <c r="G122" s="28">
        <v>1</v>
      </c>
      <c r="H122" s="28">
        <v>1</v>
      </c>
      <c r="I122" s="2"/>
      <c r="J122" s="28">
        <v>1</v>
      </c>
      <c r="K122" s="2"/>
      <c r="L122" s="28">
        <v>1</v>
      </c>
      <c r="M122" s="28">
        <v>1</v>
      </c>
      <c r="N122" s="28">
        <v>1</v>
      </c>
      <c r="O122" s="28">
        <v>1</v>
      </c>
      <c r="P122" s="2"/>
      <c r="Q122" s="28">
        <v>1</v>
      </c>
      <c r="R122" s="2">
        <v>1</v>
      </c>
      <c r="S122" s="28">
        <v>1</v>
      </c>
      <c r="T122" s="28">
        <v>1</v>
      </c>
      <c r="U122" s="28">
        <v>1</v>
      </c>
      <c r="V122" s="28">
        <v>1</v>
      </c>
      <c r="W122" s="2"/>
      <c r="X122" s="28">
        <v>1</v>
      </c>
      <c r="Y122" s="2"/>
      <c r="Z122" s="28">
        <v>1</v>
      </c>
      <c r="AA122" s="28">
        <v>1</v>
      </c>
      <c r="AB122" s="28">
        <v>1</v>
      </c>
      <c r="AC122" s="28"/>
      <c r="AD122" s="2"/>
      <c r="AE122" s="28">
        <v>1</v>
      </c>
      <c r="AF122" s="28">
        <v>1</v>
      </c>
      <c r="AG122" s="29">
        <f t="shared" si="7"/>
        <v>21</v>
      </c>
      <c r="AH122" s="50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31" t="str">
        <f t="shared" si="8"/>
        <v>幸恩</v>
      </c>
      <c r="AJ122" s="32"/>
    </row>
    <row r="123" spans="1:36" ht="18" customHeight="1">
      <c r="A123" s="26" t="s">
        <v>58</v>
      </c>
      <c r="B123" s="27" t="s">
        <v>140</v>
      </c>
      <c r="C123" s="28">
        <v>1</v>
      </c>
      <c r="D123" s="2"/>
      <c r="E123" s="28"/>
      <c r="F123" s="28"/>
      <c r="G123" s="28">
        <v>1</v>
      </c>
      <c r="H123" s="28"/>
      <c r="I123" s="2"/>
      <c r="J123" s="28">
        <v>1</v>
      </c>
      <c r="K123" s="2"/>
      <c r="L123" s="28"/>
      <c r="M123" s="28">
        <v>1</v>
      </c>
      <c r="N123" s="28">
        <v>1</v>
      </c>
      <c r="O123" s="28"/>
      <c r="P123" s="2"/>
      <c r="Q123" s="28">
        <v>1</v>
      </c>
      <c r="R123" s="2"/>
      <c r="S123" s="28"/>
      <c r="T123" s="28">
        <v>1</v>
      </c>
      <c r="U123" s="28">
        <v>1</v>
      </c>
      <c r="V123" s="28">
        <v>1</v>
      </c>
      <c r="W123" s="2"/>
      <c r="X123" s="28">
        <v>1</v>
      </c>
      <c r="Y123" s="2"/>
      <c r="Z123" s="28"/>
      <c r="AA123" s="28">
        <v>1</v>
      </c>
      <c r="AB123" s="28">
        <v>1</v>
      </c>
      <c r="AC123" s="28"/>
      <c r="AD123" s="2"/>
      <c r="AE123" s="28">
        <v>1</v>
      </c>
      <c r="AF123" s="28"/>
      <c r="AG123" s="29">
        <f t="shared" si="7"/>
        <v>13</v>
      </c>
      <c r="AH123" s="50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31" t="str">
        <f t="shared" si="8"/>
        <v>芷琦</v>
      </c>
      <c r="AJ123" s="32"/>
    </row>
    <row r="124" spans="1:36" ht="18" customHeight="1">
      <c r="A124" s="26" t="s">
        <v>58</v>
      </c>
      <c r="B124" s="27" t="s">
        <v>106</v>
      </c>
      <c r="C124" s="28">
        <v>1</v>
      </c>
      <c r="D124" s="2"/>
      <c r="E124" s="28"/>
      <c r="F124" s="28">
        <v>1</v>
      </c>
      <c r="G124" s="28">
        <v>1</v>
      </c>
      <c r="H124" s="28"/>
      <c r="I124" s="2"/>
      <c r="J124" s="28">
        <v>1</v>
      </c>
      <c r="K124" s="2"/>
      <c r="L124" s="28"/>
      <c r="M124" s="28">
        <v>1</v>
      </c>
      <c r="N124" s="28">
        <v>1</v>
      </c>
      <c r="O124" s="28"/>
      <c r="P124" s="2"/>
      <c r="Q124" s="28">
        <v>1</v>
      </c>
      <c r="R124" s="2"/>
      <c r="S124" s="28"/>
      <c r="T124" s="28">
        <v>1</v>
      </c>
      <c r="U124" s="28">
        <v>1</v>
      </c>
      <c r="V124" s="28"/>
      <c r="W124" s="2"/>
      <c r="X124" s="28">
        <v>1</v>
      </c>
      <c r="Y124" s="2"/>
      <c r="Z124" s="28"/>
      <c r="AA124" s="28">
        <v>1</v>
      </c>
      <c r="AB124" s="28">
        <v>1</v>
      </c>
      <c r="AC124" s="28"/>
      <c r="AD124" s="2"/>
      <c r="AE124" s="28">
        <v>1</v>
      </c>
      <c r="AF124" s="28"/>
      <c r="AG124" s="29">
        <f t="shared" si="7"/>
        <v>13</v>
      </c>
      <c r="AH124" s="50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31" t="str">
        <f t="shared" si="8"/>
        <v>Nina</v>
      </c>
      <c r="AJ124" s="32"/>
    </row>
    <row r="125" spans="1:36" ht="18" customHeight="1">
      <c r="A125" s="26" t="s">
        <v>58</v>
      </c>
      <c r="B125" s="57" t="s">
        <v>205</v>
      </c>
      <c r="C125" s="28">
        <v>1</v>
      </c>
      <c r="D125" s="2"/>
      <c r="E125" s="28"/>
      <c r="F125" s="28">
        <v>1</v>
      </c>
      <c r="G125" s="28">
        <v>1</v>
      </c>
      <c r="H125" s="28"/>
      <c r="I125" s="2"/>
      <c r="J125" s="28">
        <v>1</v>
      </c>
      <c r="K125" s="2"/>
      <c r="L125" s="28"/>
      <c r="M125" s="28">
        <v>1</v>
      </c>
      <c r="N125" s="28">
        <v>1</v>
      </c>
      <c r="O125" s="28">
        <v>1</v>
      </c>
      <c r="P125" s="2"/>
      <c r="Q125" s="28">
        <v>1</v>
      </c>
      <c r="R125" s="2">
        <v>1</v>
      </c>
      <c r="S125" s="28"/>
      <c r="T125" s="28">
        <v>1</v>
      </c>
      <c r="U125" s="28">
        <v>1</v>
      </c>
      <c r="V125" s="28"/>
      <c r="W125" s="2"/>
      <c r="X125" s="28">
        <v>1</v>
      </c>
      <c r="Y125" s="2"/>
      <c r="Z125" s="28"/>
      <c r="AA125" s="28">
        <v>1</v>
      </c>
      <c r="AB125" s="28"/>
      <c r="AC125" s="28"/>
      <c r="AD125" s="2"/>
      <c r="AE125" s="28">
        <v>1</v>
      </c>
      <c r="AF125" s="28">
        <v>1</v>
      </c>
      <c r="AG125" s="29">
        <f t="shared" si="7"/>
        <v>15</v>
      </c>
      <c r="AH125" s="50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31" t="str">
        <f t="shared" si="8"/>
        <v>琬琬</v>
      </c>
      <c r="AJ125" s="32"/>
    </row>
    <row r="126" spans="1:36" ht="18" customHeight="1">
      <c r="A126" s="35" t="s">
        <v>58</v>
      </c>
      <c r="B126" s="36" t="s">
        <v>34</v>
      </c>
      <c r="C126" s="37"/>
      <c r="D126" s="2"/>
      <c r="E126" s="58">
        <v>1</v>
      </c>
      <c r="F126" s="37"/>
      <c r="G126" s="58">
        <v>1</v>
      </c>
      <c r="H126" s="37"/>
      <c r="I126" s="2"/>
      <c r="J126" s="37"/>
      <c r="K126" s="2"/>
      <c r="L126" s="37"/>
      <c r="M126" s="58">
        <v>1</v>
      </c>
      <c r="N126" s="37"/>
      <c r="O126" s="37"/>
      <c r="P126" s="2"/>
      <c r="Q126" s="37"/>
      <c r="R126" s="2"/>
      <c r="S126" s="37"/>
      <c r="T126" s="58">
        <v>1</v>
      </c>
      <c r="U126" s="58">
        <v>1</v>
      </c>
      <c r="V126" s="37"/>
      <c r="W126" s="2"/>
      <c r="X126" s="37"/>
      <c r="Y126" s="2"/>
      <c r="Z126" s="37"/>
      <c r="AA126" s="58">
        <v>1</v>
      </c>
      <c r="AB126" s="58">
        <v>1</v>
      </c>
      <c r="AC126" s="37"/>
      <c r="AD126" s="2"/>
      <c r="AE126" s="37"/>
      <c r="AF126" s="37"/>
      <c r="AG126" s="38">
        <f t="shared" si="7"/>
        <v>7</v>
      </c>
      <c r="AH126" s="59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40" t="str">
        <f t="shared" si="8"/>
        <v>雲翔</v>
      </c>
      <c r="AJ126" s="41"/>
    </row>
    <row r="127" spans="1:36" ht="18" customHeight="1">
      <c r="A127" s="35" t="s">
        <v>58</v>
      </c>
      <c r="B127" s="36" t="s">
        <v>88</v>
      </c>
      <c r="C127" s="37"/>
      <c r="D127" s="2"/>
      <c r="E127" s="58">
        <v>1</v>
      </c>
      <c r="F127" s="37"/>
      <c r="G127" s="58">
        <v>1</v>
      </c>
      <c r="H127" s="37"/>
      <c r="I127" s="2"/>
      <c r="J127" s="37"/>
      <c r="K127" s="2"/>
      <c r="L127" s="37"/>
      <c r="M127" s="58">
        <v>1</v>
      </c>
      <c r="N127" s="37"/>
      <c r="O127" s="37"/>
      <c r="P127" s="2"/>
      <c r="Q127" s="37"/>
      <c r="R127" s="2"/>
      <c r="S127" s="58">
        <v>1</v>
      </c>
      <c r="T127" s="37"/>
      <c r="U127" s="58">
        <v>1</v>
      </c>
      <c r="V127" s="37"/>
      <c r="W127" s="2"/>
      <c r="X127" s="37"/>
      <c r="Y127" s="2"/>
      <c r="Z127" s="37"/>
      <c r="AA127" s="37"/>
      <c r="AB127" s="58">
        <v>1</v>
      </c>
      <c r="AC127" s="37"/>
      <c r="AD127" s="2"/>
      <c r="AE127" s="37"/>
      <c r="AF127" s="37"/>
      <c r="AG127" s="38">
        <f t="shared" si="7"/>
        <v>6</v>
      </c>
      <c r="AH127" s="39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40" t="str">
        <f t="shared" si="8"/>
        <v>皓皓</v>
      </c>
      <c r="AJ127" s="41"/>
    </row>
    <row r="128" spans="1:36" ht="18" customHeight="1">
      <c r="A128" s="35" t="s">
        <v>58</v>
      </c>
      <c r="B128" s="36" t="s">
        <v>35</v>
      </c>
      <c r="C128" s="37"/>
      <c r="D128" s="2"/>
      <c r="E128" s="58">
        <v>1</v>
      </c>
      <c r="F128" s="37"/>
      <c r="G128" s="58">
        <v>1</v>
      </c>
      <c r="H128" s="37"/>
      <c r="I128" s="2"/>
      <c r="J128" s="37"/>
      <c r="K128" s="2"/>
      <c r="L128" s="37"/>
      <c r="M128" s="58">
        <v>1</v>
      </c>
      <c r="N128" s="37"/>
      <c r="O128" s="37"/>
      <c r="P128" s="2"/>
      <c r="Q128" s="37"/>
      <c r="R128" s="2"/>
      <c r="S128" s="58">
        <v>1</v>
      </c>
      <c r="T128" s="58">
        <v>1</v>
      </c>
      <c r="U128" s="37"/>
      <c r="V128" s="37"/>
      <c r="W128" s="2"/>
      <c r="X128" s="37"/>
      <c r="Y128" s="2"/>
      <c r="Z128" s="37"/>
      <c r="AA128" s="58">
        <v>1</v>
      </c>
      <c r="AB128" s="37"/>
      <c r="AC128" s="37"/>
      <c r="AD128" s="2"/>
      <c r="AE128" s="37"/>
      <c r="AF128" s="37"/>
      <c r="AG128" s="38">
        <f t="shared" si="7"/>
        <v>6</v>
      </c>
      <c r="AH128" s="39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40" t="str">
        <f t="shared" si="8"/>
        <v>阿戴</v>
      </c>
      <c r="AJ128" s="41"/>
    </row>
    <row r="129" spans="1:36" ht="18" customHeight="1">
      <c r="A129" s="35" t="s">
        <v>58</v>
      </c>
      <c r="B129" s="36" t="s">
        <v>41</v>
      </c>
      <c r="C129" s="37"/>
      <c r="D129" s="2"/>
      <c r="E129" s="37"/>
      <c r="F129" s="37"/>
      <c r="G129" s="37"/>
      <c r="H129" s="37"/>
      <c r="I129" s="2"/>
      <c r="J129" s="37"/>
      <c r="K129" s="2"/>
      <c r="L129" s="37"/>
      <c r="M129" s="58">
        <v>1</v>
      </c>
      <c r="N129" s="37"/>
      <c r="O129" s="37"/>
      <c r="P129" s="2"/>
      <c r="Q129" s="37"/>
      <c r="R129" s="2"/>
      <c r="S129" s="37"/>
      <c r="T129" s="58">
        <v>1</v>
      </c>
      <c r="U129" s="58">
        <v>1</v>
      </c>
      <c r="V129" s="37"/>
      <c r="W129" s="2"/>
      <c r="X129" s="37"/>
      <c r="Y129" s="2"/>
      <c r="Z129" s="37"/>
      <c r="AA129" s="37"/>
      <c r="AB129" s="37"/>
      <c r="AC129" s="37"/>
      <c r="AD129" s="2"/>
      <c r="AE129" s="37"/>
      <c r="AF129" s="37"/>
      <c r="AG129" s="38">
        <f t="shared" si="7"/>
        <v>3</v>
      </c>
      <c r="AH129" s="39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40" t="str">
        <f t="shared" si="8"/>
        <v>軟軟</v>
      </c>
      <c r="AJ129" s="41"/>
    </row>
    <row r="130" spans="1:36" ht="18" customHeight="1">
      <c r="A130" s="35" t="s">
        <v>58</v>
      </c>
      <c r="B130" s="36" t="s">
        <v>36</v>
      </c>
      <c r="C130" s="37"/>
      <c r="D130" s="2"/>
      <c r="E130" s="37"/>
      <c r="F130" s="37"/>
      <c r="G130" s="37"/>
      <c r="H130" s="37"/>
      <c r="I130" s="2"/>
      <c r="J130" s="37"/>
      <c r="K130" s="2"/>
      <c r="L130" s="37"/>
      <c r="M130" s="37"/>
      <c r="N130" s="37"/>
      <c r="O130" s="58">
        <v>1</v>
      </c>
      <c r="P130" s="2"/>
      <c r="Q130" s="37"/>
      <c r="R130" s="2"/>
      <c r="S130" s="37"/>
      <c r="T130" s="37"/>
      <c r="U130" s="37"/>
      <c r="V130" s="58">
        <v>1</v>
      </c>
      <c r="W130" s="2"/>
      <c r="X130" s="37"/>
      <c r="Y130" s="2"/>
      <c r="Z130" s="37"/>
      <c r="AA130" s="37"/>
      <c r="AB130" s="37"/>
      <c r="AC130" s="58">
        <v>1</v>
      </c>
      <c r="AD130" s="2"/>
      <c r="AE130" s="37"/>
      <c r="AF130" s="37"/>
      <c r="AG130" s="38">
        <f t="shared" si="7"/>
        <v>3</v>
      </c>
      <c r="AH130" s="39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40" t="str">
        <f t="shared" si="8"/>
        <v>子澔</v>
      </c>
      <c r="AJ130" s="41"/>
    </row>
    <row r="131" spans="1:36" ht="18" customHeight="1">
      <c r="A131" s="35" t="s">
        <v>58</v>
      </c>
      <c r="B131" s="60" t="s">
        <v>37</v>
      </c>
      <c r="C131" s="58">
        <v>1</v>
      </c>
      <c r="D131" s="2"/>
      <c r="E131" s="37"/>
      <c r="F131" s="37"/>
      <c r="G131" s="37"/>
      <c r="H131" s="37"/>
      <c r="I131" s="2"/>
      <c r="J131" s="37"/>
      <c r="K131" s="2"/>
      <c r="L131" s="37"/>
      <c r="M131" s="37"/>
      <c r="N131" s="37"/>
      <c r="O131" s="37"/>
      <c r="P131" s="2"/>
      <c r="Q131" s="58">
        <v>1</v>
      </c>
      <c r="R131" s="2"/>
      <c r="S131" s="37"/>
      <c r="T131" s="37"/>
      <c r="U131" s="37"/>
      <c r="V131" s="37"/>
      <c r="W131" s="2"/>
      <c r="X131" s="37"/>
      <c r="Y131" s="2"/>
      <c r="Z131" s="37"/>
      <c r="AA131" s="37"/>
      <c r="AB131" s="37"/>
      <c r="AC131" s="37"/>
      <c r="AD131" s="2"/>
      <c r="AE131" s="58">
        <v>1</v>
      </c>
      <c r="AF131" s="58"/>
      <c r="AG131" s="38">
        <f t="shared" si="7"/>
        <v>3</v>
      </c>
      <c r="AH131" s="59">
        <v>1000</v>
      </c>
      <c r="AI131" s="40" t="str">
        <f t="shared" si="8"/>
        <v>魚仔</v>
      </c>
      <c r="AJ131" s="41"/>
    </row>
  </sheetData>
  <mergeCells count="5">
    <mergeCell ref="AI1:AI3"/>
    <mergeCell ref="AJ1:AJ2"/>
    <mergeCell ref="AH1:AH3"/>
    <mergeCell ref="A1:B1"/>
    <mergeCell ref="AG1:AG3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A9999"/>
    <outlinePr summaryBelow="0" summaryRight="0"/>
  </sheetPr>
  <dimension ref="A1:AK13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3" width="4.81640625" customWidth="1"/>
    <col min="34" max="34" width="4.453125" customWidth="1"/>
    <col min="35" max="35" width="6" customWidth="1"/>
    <col min="36" max="36" width="6.1796875" customWidth="1"/>
    <col min="37" max="37" width="13.26953125" hidden="1" customWidth="1"/>
  </cols>
  <sheetData>
    <row r="1" spans="1:37" ht="18" customHeight="1">
      <c r="A1" s="279" t="s">
        <v>0</v>
      </c>
      <c r="B1" s="280"/>
      <c r="C1" s="1" t="s">
        <v>206</v>
      </c>
      <c r="D1" s="1"/>
      <c r="E1" s="1" t="s">
        <v>206</v>
      </c>
      <c r="F1" s="1" t="s">
        <v>182</v>
      </c>
      <c r="G1" s="2"/>
      <c r="H1" s="1" t="s">
        <v>183</v>
      </c>
      <c r="I1" s="1" t="s">
        <v>182</v>
      </c>
      <c r="J1" s="1" t="s">
        <v>207</v>
      </c>
      <c r="K1" s="1" t="s">
        <v>185</v>
      </c>
      <c r="L1" s="1"/>
      <c r="M1" s="1" t="s">
        <v>182</v>
      </c>
      <c r="N1" s="2"/>
      <c r="O1" s="1" t="s">
        <v>183</v>
      </c>
      <c r="P1" s="1" t="s">
        <v>185</v>
      </c>
      <c r="Q1" s="1"/>
      <c r="R1" s="1" t="s">
        <v>185</v>
      </c>
      <c r="S1" s="1"/>
      <c r="T1" s="1"/>
      <c r="U1" s="2"/>
      <c r="V1" s="1" t="s">
        <v>183</v>
      </c>
      <c r="W1" s="2"/>
      <c r="X1" s="1" t="s">
        <v>208</v>
      </c>
      <c r="Y1" s="1"/>
      <c r="Z1" s="1"/>
      <c r="AA1" s="1" t="s">
        <v>182</v>
      </c>
      <c r="AB1" s="2"/>
      <c r="AC1" s="1" t="s">
        <v>183</v>
      </c>
      <c r="AD1" s="2"/>
      <c r="AE1" s="1" t="s">
        <v>184</v>
      </c>
      <c r="AF1" s="1" t="s">
        <v>185</v>
      </c>
      <c r="AG1" s="1"/>
      <c r="AH1" s="281" t="s">
        <v>6</v>
      </c>
      <c r="AI1" s="276" t="s">
        <v>7</v>
      </c>
      <c r="AJ1" s="271" t="s">
        <v>172</v>
      </c>
      <c r="AK1" s="274" t="s">
        <v>209</v>
      </c>
    </row>
    <row r="2" spans="1:37" ht="18" customHeight="1">
      <c r="A2" s="4" t="s">
        <v>2</v>
      </c>
      <c r="B2" s="5" t="s">
        <v>3</v>
      </c>
      <c r="C2" s="7">
        <v>45261</v>
      </c>
      <c r="D2" s="7">
        <v>45262</v>
      </c>
      <c r="E2" s="7">
        <v>45263</v>
      </c>
      <c r="F2" s="7">
        <v>45264</v>
      </c>
      <c r="G2" s="6">
        <v>45265</v>
      </c>
      <c r="H2" s="7">
        <v>45266</v>
      </c>
      <c r="I2" s="7">
        <v>45267</v>
      </c>
      <c r="J2" s="7">
        <v>45268</v>
      </c>
      <c r="K2" s="7">
        <v>45269</v>
      </c>
      <c r="L2" s="7">
        <v>45270</v>
      </c>
      <c r="M2" s="7">
        <v>45271</v>
      </c>
      <c r="N2" s="6">
        <v>45272</v>
      </c>
      <c r="O2" s="7">
        <v>45273</v>
      </c>
      <c r="P2" s="7">
        <v>45274</v>
      </c>
      <c r="Q2" s="7">
        <v>45275</v>
      </c>
      <c r="R2" s="7">
        <v>45276</v>
      </c>
      <c r="S2" s="7">
        <v>45277</v>
      </c>
      <c r="T2" s="7">
        <v>45278</v>
      </c>
      <c r="U2" s="6">
        <v>45279</v>
      </c>
      <c r="V2" s="7">
        <v>45280</v>
      </c>
      <c r="W2" s="6">
        <v>45281</v>
      </c>
      <c r="X2" s="7">
        <v>45282</v>
      </c>
      <c r="Y2" s="7">
        <v>45283</v>
      </c>
      <c r="Z2" s="7">
        <v>45284</v>
      </c>
      <c r="AA2" s="7">
        <v>45285</v>
      </c>
      <c r="AB2" s="6">
        <v>45286</v>
      </c>
      <c r="AC2" s="7">
        <v>45287</v>
      </c>
      <c r="AD2" s="6">
        <v>45288</v>
      </c>
      <c r="AE2" s="7">
        <v>45289</v>
      </c>
      <c r="AF2" s="7">
        <v>45290</v>
      </c>
      <c r="AG2" s="7">
        <v>45291</v>
      </c>
      <c r="AH2" s="282"/>
      <c r="AI2" s="277"/>
      <c r="AJ2" s="272"/>
      <c r="AK2" s="275"/>
    </row>
    <row r="3" spans="1:37" ht="18" customHeight="1">
      <c r="A3" s="4" t="s">
        <v>4</v>
      </c>
      <c r="B3" s="5" t="s">
        <v>5</v>
      </c>
      <c r="C3" s="1">
        <f t="shared" ref="C3:AG3" si="0">WEEKDAY(C2-1)</f>
        <v>5</v>
      </c>
      <c r="D3" s="1">
        <f t="shared" si="0"/>
        <v>6</v>
      </c>
      <c r="E3" s="1">
        <f t="shared" si="0"/>
        <v>7</v>
      </c>
      <c r="F3" s="1">
        <f t="shared" si="0"/>
        <v>1</v>
      </c>
      <c r="G3" s="2">
        <f t="shared" si="0"/>
        <v>2</v>
      </c>
      <c r="H3" s="1">
        <f t="shared" si="0"/>
        <v>3</v>
      </c>
      <c r="I3" s="1">
        <f t="shared" si="0"/>
        <v>4</v>
      </c>
      <c r="J3" s="1">
        <f t="shared" si="0"/>
        <v>5</v>
      </c>
      <c r="K3" s="1">
        <f t="shared" si="0"/>
        <v>6</v>
      </c>
      <c r="L3" s="1">
        <f t="shared" si="0"/>
        <v>7</v>
      </c>
      <c r="M3" s="1">
        <f t="shared" si="0"/>
        <v>1</v>
      </c>
      <c r="N3" s="2">
        <f t="shared" si="0"/>
        <v>2</v>
      </c>
      <c r="O3" s="1">
        <f t="shared" si="0"/>
        <v>3</v>
      </c>
      <c r="P3" s="1">
        <f t="shared" si="0"/>
        <v>4</v>
      </c>
      <c r="Q3" s="1">
        <f t="shared" si="0"/>
        <v>5</v>
      </c>
      <c r="R3" s="1">
        <f t="shared" si="0"/>
        <v>6</v>
      </c>
      <c r="S3" s="1">
        <f t="shared" si="0"/>
        <v>7</v>
      </c>
      <c r="T3" s="1">
        <f t="shared" si="0"/>
        <v>1</v>
      </c>
      <c r="U3" s="2">
        <f t="shared" si="0"/>
        <v>2</v>
      </c>
      <c r="V3" s="1">
        <f t="shared" si="0"/>
        <v>3</v>
      </c>
      <c r="W3" s="2">
        <f t="shared" si="0"/>
        <v>4</v>
      </c>
      <c r="X3" s="1">
        <f t="shared" si="0"/>
        <v>5</v>
      </c>
      <c r="Y3" s="1">
        <f t="shared" si="0"/>
        <v>6</v>
      </c>
      <c r="Z3" s="1">
        <f t="shared" si="0"/>
        <v>7</v>
      </c>
      <c r="AA3" s="1">
        <f t="shared" si="0"/>
        <v>1</v>
      </c>
      <c r="AB3" s="2">
        <f t="shared" si="0"/>
        <v>2</v>
      </c>
      <c r="AC3" s="1">
        <f t="shared" si="0"/>
        <v>3</v>
      </c>
      <c r="AD3" s="2">
        <f t="shared" si="0"/>
        <v>4</v>
      </c>
      <c r="AE3" s="1">
        <f t="shared" si="0"/>
        <v>5</v>
      </c>
      <c r="AF3" s="1">
        <f t="shared" si="0"/>
        <v>6</v>
      </c>
      <c r="AG3" s="1">
        <f t="shared" si="0"/>
        <v>7</v>
      </c>
      <c r="AH3" s="283"/>
      <c r="AI3" s="278"/>
      <c r="AJ3" s="273"/>
      <c r="AK3" s="8" t="e">
        <f ca="1">SUM(AI4:AI135)</f>
        <v>#NAME?</v>
      </c>
    </row>
    <row r="4" spans="1:37" ht="18" customHeight="1">
      <c r="A4" s="9" t="s">
        <v>174</v>
      </c>
      <c r="B4" s="10" t="s">
        <v>10</v>
      </c>
      <c r="C4" s="11">
        <v>1</v>
      </c>
      <c r="D4" s="11"/>
      <c r="E4" s="11">
        <v>1</v>
      </c>
      <c r="F4" s="11">
        <v>1</v>
      </c>
      <c r="G4" s="2"/>
      <c r="H4" s="11"/>
      <c r="I4" s="11"/>
      <c r="J4" s="11"/>
      <c r="K4" s="11"/>
      <c r="L4" s="11"/>
      <c r="M4" s="11"/>
      <c r="N4" s="2"/>
      <c r="O4" s="11"/>
      <c r="P4" s="11"/>
      <c r="Q4" s="11"/>
      <c r="R4" s="11"/>
      <c r="S4" s="11"/>
      <c r="T4" s="11"/>
      <c r="U4" s="2"/>
      <c r="V4" s="11"/>
      <c r="W4" s="2"/>
      <c r="X4" s="11"/>
      <c r="Y4" s="11"/>
      <c r="Z4" s="11"/>
      <c r="AA4" s="11"/>
      <c r="AB4" s="2"/>
      <c r="AC4" s="11"/>
      <c r="AD4" s="2"/>
      <c r="AE4" s="11">
        <v>1</v>
      </c>
      <c r="AF4" s="11"/>
      <c r="AG4" s="11"/>
      <c r="AH4" s="13">
        <f t="shared" ref="AH4:AH35" si="1">COUNTA(C4:AG4)</f>
        <v>4</v>
      </c>
      <c r="AI4" s="14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15" t="str">
        <f t="shared" ref="AJ4:AJ35" si="2">B4</f>
        <v>阿發</v>
      </c>
      <c r="AK4" s="43"/>
    </row>
    <row r="5" spans="1:37" ht="18" customHeight="1">
      <c r="A5" s="9" t="s">
        <v>174</v>
      </c>
      <c r="B5" s="10" t="s">
        <v>13</v>
      </c>
      <c r="C5" s="11"/>
      <c r="D5" s="11"/>
      <c r="E5" s="11"/>
      <c r="F5" s="11">
        <v>1</v>
      </c>
      <c r="G5" s="2"/>
      <c r="H5" s="11">
        <v>1</v>
      </c>
      <c r="I5" s="11">
        <v>1</v>
      </c>
      <c r="J5" s="11"/>
      <c r="K5" s="11">
        <v>1</v>
      </c>
      <c r="L5" s="11"/>
      <c r="M5" s="11">
        <v>1</v>
      </c>
      <c r="N5" s="2"/>
      <c r="O5" s="11">
        <v>1</v>
      </c>
      <c r="P5" s="11">
        <v>1</v>
      </c>
      <c r="Q5" s="11"/>
      <c r="R5" s="11">
        <v>1</v>
      </c>
      <c r="S5" s="11"/>
      <c r="T5" s="11"/>
      <c r="U5" s="2"/>
      <c r="V5" s="11">
        <v>1</v>
      </c>
      <c r="W5" s="2"/>
      <c r="X5" s="11"/>
      <c r="Y5" s="11"/>
      <c r="Z5" s="11"/>
      <c r="AA5" s="11">
        <v>1</v>
      </c>
      <c r="AB5" s="2"/>
      <c r="AC5" s="11">
        <v>1</v>
      </c>
      <c r="AD5" s="2"/>
      <c r="AE5" s="11">
        <v>1</v>
      </c>
      <c r="AF5" s="11"/>
      <c r="AG5" s="11"/>
      <c r="AH5" s="13">
        <f t="shared" si="1"/>
        <v>12</v>
      </c>
      <c r="AI5" s="14" t="e">
        <f ca="1">IF(A5="O", (VALUE(_xludf.IFS(AH5=0,"0",AH5=1,"150",AH5=2,"300",AH5=3,"450",AH5=4,"600",AH5=5,"750",AH5&gt;=6,"800"))),(VALUE(_xludf.IFS(AH5=0,"0",AH5=1,"150",AH5=2,"300",AH5=3,"450",AH5=4,"600",AH5=5,"750",AH5=6,"900",AH5&gt;=7,"1,000"))))</f>
        <v>#NAME?</v>
      </c>
      <c r="AJ5" s="15" t="str">
        <f t="shared" si="2"/>
        <v>李洋</v>
      </c>
      <c r="AK5" s="43"/>
    </row>
    <row r="6" spans="1:37" ht="18" customHeight="1">
      <c r="A6" s="9" t="s">
        <v>174</v>
      </c>
      <c r="B6" s="10" t="s">
        <v>11</v>
      </c>
      <c r="C6" s="11"/>
      <c r="D6" s="11"/>
      <c r="E6" s="11"/>
      <c r="F6" s="11"/>
      <c r="G6" s="2"/>
      <c r="H6" s="11">
        <v>1</v>
      </c>
      <c r="I6" s="11">
        <v>1</v>
      </c>
      <c r="J6" s="11"/>
      <c r="K6" s="11">
        <v>1</v>
      </c>
      <c r="L6" s="11"/>
      <c r="M6" s="11">
        <v>1</v>
      </c>
      <c r="N6" s="2"/>
      <c r="O6" s="11">
        <v>1</v>
      </c>
      <c r="P6" s="11"/>
      <c r="Q6" s="11"/>
      <c r="R6" s="11"/>
      <c r="S6" s="11"/>
      <c r="T6" s="11"/>
      <c r="U6" s="2"/>
      <c r="V6" s="11">
        <v>1</v>
      </c>
      <c r="W6" s="2"/>
      <c r="X6" s="11"/>
      <c r="Y6" s="11"/>
      <c r="Z6" s="11"/>
      <c r="AA6" s="11"/>
      <c r="AB6" s="2"/>
      <c r="AC6" s="11">
        <v>1</v>
      </c>
      <c r="AD6" s="2"/>
      <c r="AE6" s="11">
        <v>1</v>
      </c>
      <c r="AF6" s="11"/>
      <c r="AG6" s="11"/>
      <c r="AH6" s="13">
        <f t="shared" si="1"/>
        <v>8</v>
      </c>
      <c r="AI6" s="14" t="e">
        <f ca="1">IF(A6="O", (VALUE(_xludf.IFS(AH6=0,"0",AH6=1,"150",AH6=2,"300",AH6=3,"450",AH6=4,"600",AH6=5,"750",AH6&gt;=6,"800"))),(VALUE(_xludf.IFS(AH6=0,"0",AH6=1,"150",AH6=2,"300",AH6=3,"450",AH6=4,"600",AH6=5,"750",AH6=6,"900",AH6&gt;=7,"1,000"))))</f>
        <v>#NAME?</v>
      </c>
      <c r="AJ6" s="15" t="str">
        <f t="shared" si="2"/>
        <v>捷升</v>
      </c>
      <c r="AK6" s="43"/>
    </row>
    <row r="7" spans="1:37" ht="18" customHeight="1">
      <c r="A7" s="9" t="s">
        <v>174</v>
      </c>
      <c r="B7" s="10" t="s">
        <v>19</v>
      </c>
      <c r="C7" s="11"/>
      <c r="D7" s="11"/>
      <c r="E7" s="11"/>
      <c r="F7" s="11">
        <v>1</v>
      </c>
      <c r="G7" s="2"/>
      <c r="H7" s="11">
        <v>1</v>
      </c>
      <c r="I7" s="11">
        <v>1</v>
      </c>
      <c r="J7" s="11"/>
      <c r="K7" s="11">
        <v>1</v>
      </c>
      <c r="L7" s="11"/>
      <c r="M7" s="11">
        <v>1</v>
      </c>
      <c r="N7" s="2"/>
      <c r="O7" s="11">
        <v>1</v>
      </c>
      <c r="P7" s="11"/>
      <c r="Q7" s="11"/>
      <c r="R7" s="11"/>
      <c r="S7" s="11"/>
      <c r="T7" s="11"/>
      <c r="U7" s="2"/>
      <c r="V7" s="11">
        <v>1</v>
      </c>
      <c r="W7" s="2"/>
      <c r="X7" s="11"/>
      <c r="Y7" s="11"/>
      <c r="Z7" s="11"/>
      <c r="AA7" s="11">
        <v>1</v>
      </c>
      <c r="AB7" s="2"/>
      <c r="AC7" s="11">
        <v>1</v>
      </c>
      <c r="AD7" s="2"/>
      <c r="AE7" s="11">
        <v>1</v>
      </c>
      <c r="AF7" s="11"/>
      <c r="AG7" s="11"/>
      <c r="AH7" s="13">
        <f t="shared" si="1"/>
        <v>10</v>
      </c>
      <c r="AI7" s="14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15" t="str">
        <f t="shared" si="2"/>
        <v>青蛙</v>
      </c>
      <c r="AK7" s="43"/>
    </row>
    <row r="8" spans="1:37" ht="18" customHeight="1">
      <c r="A8" s="9" t="s">
        <v>174</v>
      </c>
      <c r="B8" s="10" t="s">
        <v>14</v>
      </c>
      <c r="C8" s="11"/>
      <c r="D8" s="11"/>
      <c r="E8" s="11"/>
      <c r="F8" s="11">
        <v>1</v>
      </c>
      <c r="G8" s="2"/>
      <c r="H8" s="11">
        <v>1</v>
      </c>
      <c r="I8" s="11">
        <v>1</v>
      </c>
      <c r="J8" s="11"/>
      <c r="K8" s="11">
        <v>1</v>
      </c>
      <c r="L8" s="11"/>
      <c r="M8" s="11">
        <v>1</v>
      </c>
      <c r="N8" s="2"/>
      <c r="O8" s="11">
        <v>1</v>
      </c>
      <c r="P8" s="11">
        <v>1</v>
      </c>
      <c r="Q8" s="11"/>
      <c r="R8" s="11">
        <v>1</v>
      </c>
      <c r="S8" s="11"/>
      <c r="T8" s="11"/>
      <c r="U8" s="2"/>
      <c r="V8" s="11">
        <v>1</v>
      </c>
      <c r="W8" s="2"/>
      <c r="X8" s="11"/>
      <c r="Y8" s="11"/>
      <c r="Z8" s="11"/>
      <c r="AA8" s="11">
        <v>1</v>
      </c>
      <c r="AB8" s="2"/>
      <c r="AC8" s="11">
        <v>1</v>
      </c>
      <c r="AD8" s="2"/>
      <c r="AE8" s="11">
        <v>1</v>
      </c>
      <c r="AF8" s="11"/>
      <c r="AG8" s="11"/>
      <c r="AH8" s="13">
        <f t="shared" si="1"/>
        <v>12</v>
      </c>
      <c r="AI8" s="14" t="e">
        <f ca="1">IF(A8="O", (VALUE(_xludf.IFS(AH8=0,"0",AH8=1,"150",AH8=2,"300",AH8=3,"450",AH8=4,"600",AH8=5,"750",AH8&gt;=6,"800"))),(VALUE(_xludf.IFS(AH8=0,"0",AH8=1,"150",AH8=2,"300",AH8=3,"450",AH8=4,"600",AH8=5,"750",AH8=6,"900",AH8&gt;=7,"1,000"))))</f>
        <v>#NAME?</v>
      </c>
      <c r="AJ8" s="15" t="str">
        <f t="shared" si="2"/>
        <v>曉明</v>
      </c>
      <c r="AK8" s="43"/>
    </row>
    <row r="9" spans="1:37" ht="18" customHeight="1">
      <c r="A9" s="9" t="s">
        <v>174</v>
      </c>
      <c r="B9" s="10" t="s">
        <v>18</v>
      </c>
      <c r="C9" s="11"/>
      <c r="D9" s="11"/>
      <c r="E9" s="11"/>
      <c r="F9" s="11"/>
      <c r="G9" s="2"/>
      <c r="H9" s="11">
        <v>1</v>
      </c>
      <c r="I9" s="11">
        <v>1</v>
      </c>
      <c r="J9" s="11"/>
      <c r="K9" s="11">
        <v>1</v>
      </c>
      <c r="L9" s="11"/>
      <c r="M9" s="11">
        <v>1</v>
      </c>
      <c r="N9" s="2"/>
      <c r="O9" s="11">
        <v>1</v>
      </c>
      <c r="P9" s="11"/>
      <c r="Q9" s="11"/>
      <c r="R9" s="11">
        <v>1</v>
      </c>
      <c r="S9" s="11"/>
      <c r="T9" s="11"/>
      <c r="U9" s="2"/>
      <c r="V9" s="11">
        <v>1</v>
      </c>
      <c r="W9" s="2"/>
      <c r="X9" s="11"/>
      <c r="Y9" s="11"/>
      <c r="Z9" s="11"/>
      <c r="AA9" s="11">
        <v>1</v>
      </c>
      <c r="AB9" s="2"/>
      <c r="AC9" s="11"/>
      <c r="AD9" s="2"/>
      <c r="AE9" s="11">
        <v>1</v>
      </c>
      <c r="AF9" s="11">
        <v>1</v>
      </c>
      <c r="AG9" s="11"/>
      <c r="AH9" s="13">
        <f t="shared" si="1"/>
        <v>10</v>
      </c>
      <c r="AI9" s="14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15" t="str">
        <f t="shared" si="2"/>
        <v>皓元</v>
      </c>
      <c r="AK9" s="43"/>
    </row>
    <row r="10" spans="1:37" ht="18" customHeight="1">
      <c r="A10" s="9" t="s">
        <v>174</v>
      </c>
      <c r="B10" s="10" t="s">
        <v>21</v>
      </c>
      <c r="C10" s="11"/>
      <c r="D10" s="11"/>
      <c r="E10" s="11"/>
      <c r="F10" s="11"/>
      <c r="G10" s="2"/>
      <c r="H10" s="11">
        <v>1</v>
      </c>
      <c r="I10" s="11"/>
      <c r="J10" s="11"/>
      <c r="K10" s="11">
        <v>1</v>
      </c>
      <c r="L10" s="11"/>
      <c r="M10" s="11"/>
      <c r="N10" s="2"/>
      <c r="O10" s="11">
        <v>1</v>
      </c>
      <c r="P10" s="11"/>
      <c r="Q10" s="11"/>
      <c r="R10" s="11"/>
      <c r="S10" s="11"/>
      <c r="T10" s="11"/>
      <c r="U10" s="2"/>
      <c r="V10" s="11"/>
      <c r="W10" s="2"/>
      <c r="X10" s="11"/>
      <c r="Y10" s="11"/>
      <c r="Z10" s="11"/>
      <c r="AA10" s="11"/>
      <c r="AB10" s="2"/>
      <c r="AC10" s="11"/>
      <c r="AD10" s="2"/>
      <c r="AE10" s="11"/>
      <c r="AF10" s="11"/>
      <c r="AG10" s="11"/>
      <c r="AH10" s="13">
        <f t="shared" si="1"/>
        <v>3</v>
      </c>
      <c r="AI10" s="14" t="e">
        <f ca="1">IF(A10="O", (VALUE(_xludf.IFS(AH10=0,"0",AH10=1,"150",AH10=2,"300",AH10=3,"450",AH10=4,"600",AH10=5,"750",AH10&gt;=6,"800"))),(VALUE(_xludf.IFS(AH10=0,"0",AH10=1,"150",AH10=2,"300",AH10=3,"450",AH10=4,"600",AH10=5,"750",AH10=6,"900",AH10&gt;=7,"1,000"))))</f>
        <v>#NAME?</v>
      </c>
      <c r="AJ10" s="15" t="str">
        <f t="shared" si="2"/>
        <v>晧全</v>
      </c>
      <c r="AK10" s="43"/>
    </row>
    <row r="11" spans="1:37" ht="18" customHeight="1">
      <c r="A11" s="9" t="s">
        <v>174</v>
      </c>
      <c r="B11" s="10" t="s">
        <v>72</v>
      </c>
      <c r="C11" s="11"/>
      <c r="D11" s="11"/>
      <c r="E11" s="11"/>
      <c r="F11" s="11"/>
      <c r="G11" s="2"/>
      <c r="H11" s="11">
        <v>1</v>
      </c>
      <c r="I11" s="11"/>
      <c r="J11" s="11"/>
      <c r="K11" s="11">
        <v>1</v>
      </c>
      <c r="L11" s="11"/>
      <c r="M11" s="11"/>
      <c r="N11" s="2"/>
      <c r="O11" s="11">
        <v>1</v>
      </c>
      <c r="P11" s="11"/>
      <c r="Q11" s="11"/>
      <c r="R11" s="11"/>
      <c r="S11" s="11"/>
      <c r="T11" s="11"/>
      <c r="U11" s="2"/>
      <c r="V11" s="11"/>
      <c r="W11" s="2"/>
      <c r="X11" s="11"/>
      <c r="Y11" s="11"/>
      <c r="Z11" s="11"/>
      <c r="AA11" s="11"/>
      <c r="AB11" s="2"/>
      <c r="AC11" s="11">
        <v>1</v>
      </c>
      <c r="AD11" s="2"/>
      <c r="AE11" s="11">
        <v>1</v>
      </c>
      <c r="AF11" s="11"/>
      <c r="AG11" s="11"/>
      <c r="AH11" s="13">
        <f t="shared" si="1"/>
        <v>5</v>
      </c>
      <c r="AI11" s="14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15" t="str">
        <f t="shared" si="2"/>
        <v>八卦</v>
      </c>
      <c r="AK11" s="43"/>
    </row>
    <row r="12" spans="1:37" ht="18" customHeight="1">
      <c r="A12" s="9" t="s">
        <v>174</v>
      </c>
      <c r="B12" s="10" t="s">
        <v>175</v>
      </c>
      <c r="C12" s="11"/>
      <c r="D12" s="11"/>
      <c r="E12" s="11"/>
      <c r="F12" s="11"/>
      <c r="G12" s="2"/>
      <c r="H12" s="11"/>
      <c r="I12" s="11"/>
      <c r="J12" s="11"/>
      <c r="K12" s="11">
        <v>1</v>
      </c>
      <c r="L12" s="11"/>
      <c r="M12" s="11"/>
      <c r="N12" s="2"/>
      <c r="O12" s="11"/>
      <c r="P12" s="11"/>
      <c r="Q12" s="11"/>
      <c r="R12" s="11"/>
      <c r="S12" s="11"/>
      <c r="T12" s="11"/>
      <c r="U12" s="2"/>
      <c r="V12" s="11"/>
      <c r="W12" s="2"/>
      <c r="X12" s="11"/>
      <c r="Y12" s="11"/>
      <c r="Z12" s="11"/>
      <c r="AA12" s="11"/>
      <c r="AB12" s="2"/>
      <c r="AC12" s="11"/>
      <c r="AD12" s="2"/>
      <c r="AE12" s="11"/>
      <c r="AF12" s="11"/>
      <c r="AG12" s="11"/>
      <c r="AH12" s="13">
        <f t="shared" si="1"/>
        <v>1</v>
      </c>
      <c r="AI12" s="14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15" t="str">
        <f t="shared" si="2"/>
        <v>咪咪</v>
      </c>
      <c r="AK12" s="43"/>
    </row>
    <row r="13" spans="1:37" ht="18" customHeight="1">
      <c r="A13" s="9" t="s">
        <v>174</v>
      </c>
      <c r="B13" s="10" t="s">
        <v>17</v>
      </c>
      <c r="C13" s="11"/>
      <c r="D13" s="11"/>
      <c r="E13" s="11"/>
      <c r="F13" s="11">
        <v>1</v>
      </c>
      <c r="G13" s="2"/>
      <c r="H13" s="11"/>
      <c r="I13" s="11">
        <v>1</v>
      </c>
      <c r="J13" s="11"/>
      <c r="K13" s="11"/>
      <c r="L13" s="11"/>
      <c r="M13" s="11">
        <v>1</v>
      </c>
      <c r="N13" s="2"/>
      <c r="O13" s="11"/>
      <c r="P13" s="11">
        <v>1</v>
      </c>
      <c r="Q13" s="11"/>
      <c r="R13" s="11">
        <v>1</v>
      </c>
      <c r="S13" s="11"/>
      <c r="T13" s="11"/>
      <c r="U13" s="2"/>
      <c r="V13" s="11"/>
      <c r="W13" s="2"/>
      <c r="X13" s="11"/>
      <c r="Y13" s="11"/>
      <c r="Z13" s="11"/>
      <c r="AA13" s="11"/>
      <c r="AB13" s="2"/>
      <c r="AC13" s="11"/>
      <c r="AD13" s="2"/>
      <c r="AE13" s="11"/>
      <c r="AF13" s="11"/>
      <c r="AG13" s="11"/>
      <c r="AH13" s="13">
        <f t="shared" si="1"/>
        <v>5</v>
      </c>
      <c r="AI13" s="14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15" t="str">
        <f t="shared" si="2"/>
        <v>光曜</v>
      </c>
      <c r="AK13" s="16"/>
    </row>
    <row r="14" spans="1:37" ht="18" customHeight="1">
      <c r="A14" s="9" t="s">
        <v>174</v>
      </c>
      <c r="B14" s="10" t="s">
        <v>15</v>
      </c>
      <c r="C14" s="11"/>
      <c r="D14" s="11"/>
      <c r="E14" s="11"/>
      <c r="F14" s="11">
        <v>1</v>
      </c>
      <c r="G14" s="2"/>
      <c r="H14" s="11">
        <v>1</v>
      </c>
      <c r="I14" s="11"/>
      <c r="J14" s="11"/>
      <c r="K14" s="11">
        <v>1</v>
      </c>
      <c r="L14" s="11"/>
      <c r="M14" s="11">
        <v>1</v>
      </c>
      <c r="N14" s="2"/>
      <c r="O14" s="11">
        <v>1</v>
      </c>
      <c r="P14" s="11"/>
      <c r="Q14" s="11"/>
      <c r="R14" s="11">
        <v>1</v>
      </c>
      <c r="S14" s="11"/>
      <c r="T14" s="11"/>
      <c r="U14" s="2"/>
      <c r="V14" s="11">
        <v>1</v>
      </c>
      <c r="W14" s="2"/>
      <c r="X14" s="11"/>
      <c r="Y14" s="11"/>
      <c r="Z14" s="11"/>
      <c r="AA14" s="11">
        <v>1</v>
      </c>
      <c r="AB14" s="2"/>
      <c r="AC14" s="11">
        <v>1</v>
      </c>
      <c r="AD14" s="2"/>
      <c r="AE14" s="11">
        <v>1</v>
      </c>
      <c r="AF14" s="11"/>
      <c r="AG14" s="11"/>
      <c r="AH14" s="13">
        <f t="shared" si="1"/>
        <v>10</v>
      </c>
      <c r="AI14" s="14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15" t="str">
        <f t="shared" si="2"/>
        <v>大支</v>
      </c>
      <c r="AK14" s="43"/>
    </row>
    <row r="15" spans="1:37" ht="18" customHeight="1">
      <c r="A15" s="9" t="s">
        <v>174</v>
      </c>
      <c r="B15" s="10" t="s">
        <v>61</v>
      </c>
      <c r="C15" s="11"/>
      <c r="D15" s="11"/>
      <c r="E15" s="11"/>
      <c r="F15" s="11">
        <v>1</v>
      </c>
      <c r="G15" s="2"/>
      <c r="H15" s="11">
        <v>1</v>
      </c>
      <c r="I15" s="11">
        <v>1</v>
      </c>
      <c r="J15" s="11"/>
      <c r="K15" s="11"/>
      <c r="L15" s="11"/>
      <c r="M15" s="11">
        <v>1</v>
      </c>
      <c r="N15" s="2"/>
      <c r="O15" s="11"/>
      <c r="P15" s="11">
        <v>1</v>
      </c>
      <c r="Q15" s="11"/>
      <c r="R15" s="11">
        <v>1</v>
      </c>
      <c r="S15" s="11"/>
      <c r="T15" s="11"/>
      <c r="U15" s="2"/>
      <c r="V15" s="11"/>
      <c r="W15" s="2"/>
      <c r="X15" s="11"/>
      <c r="Y15" s="11"/>
      <c r="Z15" s="11"/>
      <c r="AA15" s="11">
        <v>1</v>
      </c>
      <c r="AB15" s="2"/>
      <c r="AC15" s="11">
        <v>1</v>
      </c>
      <c r="AD15" s="2"/>
      <c r="AE15" s="11">
        <v>1</v>
      </c>
      <c r="AF15" s="11"/>
      <c r="AG15" s="11"/>
      <c r="AH15" s="13">
        <f t="shared" si="1"/>
        <v>9</v>
      </c>
      <c r="AI15" s="14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15" t="str">
        <f t="shared" si="2"/>
        <v>韋融</v>
      </c>
      <c r="AK15" s="16"/>
    </row>
    <row r="16" spans="1:37" ht="18" customHeight="1">
      <c r="A16" s="9" t="s">
        <v>174</v>
      </c>
      <c r="B16" s="10" t="s">
        <v>20</v>
      </c>
      <c r="C16" s="11"/>
      <c r="D16" s="11"/>
      <c r="E16" s="11"/>
      <c r="F16" s="11">
        <v>1</v>
      </c>
      <c r="G16" s="2"/>
      <c r="H16" s="11"/>
      <c r="I16" s="11"/>
      <c r="J16" s="11"/>
      <c r="K16" s="11"/>
      <c r="L16" s="11"/>
      <c r="M16" s="11">
        <v>1</v>
      </c>
      <c r="N16" s="2"/>
      <c r="O16" s="11"/>
      <c r="P16" s="11"/>
      <c r="Q16" s="11"/>
      <c r="R16" s="11"/>
      <c r="S16" s="11"/>
      <c r="T16" s="11"/>
      <c r="U16" s="2"/>
      <c r="V16" s="11">
        <v>1</v>
      </c>
      <c r="W16" s="2"/>
      <c r="X16" s="11"/>
      <c r="Y16" s="11"/>
      <c r="Z16" s="11"/>
      <c r="AA16" s="11">
        <v>1</v>
      </c>
      <c r="AB16" s="2"/>
      <c r="AC16" s="11">
        <v>1</v>
      </c>
      <c r="AD16" s="2"/>
      <c r="AE16" s="11"/>
      <c r="AF16" s="11"/>
      <c r="AG16" s="11"/>
      <c r="AH16" s="13">
        <f t="shared" si="1"/>
        <v>5</v>
      </c>
      <c r="AI16" s="14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15" t="str">
        <f t="shared" si="2"/>
        <v>港弟</v>
      </c>
      <c r="AK16" s="43"/>
    </row>
    <row r="17" spans="1:37" ht="18" customHeight="1">
      <c r="A17" s="9" t="s">
        <v>174</v>
      </c>
      <c r="B17" s="10" t="s">
        <v>16</v>
      </c>
      <c r="C17" s="11"/>
      <c r="D17" s="11"/>
      <c r="E17" s="11"/>
      <c r="F17" s="11"/>
      <c r="G17" s="2"/>
      <c r="H17" s="11">
        <v>1</v>
      </c>
      <c r="I17" s="11">
        <v>1</v>
      </c>
      <c r="J17" s="11"/>
      <c r="K17" s="11">
        <v>1</v>
      </c>
      <c r="L17" s="11"/>
      <c r="M17" s="11">
        <v>1</v>
      </c>
      <c r="N17" s="2"/>
      <c r="O17" s="11">
        <v>1</v>
      </c>
      <c r="P17" s="11"/>
      <c r="Q17" s="11"/>
      <c r="R17" s="11">
        <v>1</v>
      </c>
      <c r="S17" s="11"/>
      <c r="T17" s="11"/>
      <c r="U17" s="2"/>
      <c r="V17" s="11">
        <v>1</v>
      </c>
      <c r="W17" s="2"/>
      <c r="X17" s="11"/>
      <c r="Y17" s="11"/>
      <c r="Z17" s="11"/>
      <c r="AA17" s="11">
        <v>1</v>
      </c>
      <c r="AB17" s="2"/>
      <c r="AC17" s="11">
        <v>1</v>
      </c>
      <c r="AD17" s="2"/>
      <c r="AE17" s="11">
        <v>1</v>
      </c>
      <c r="AF17" s="11"/>
      <c r="AG17" s="11"/>
      <c r="AH17" s="13">
        <f t="shared" si="1"/>
        <v>10</v>
      </c>
      <c r="AI17" s="14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15" t="str">
        <f t="shared" si="2"/>
        <v>弼善</v>
      </c>
      <c r="AK17" s="43"/>
    </row>
    <row r="18" spans="1:37" ht="18" customHeight="1">
      <c r="A18" s="9" t="s">
        <v>174</v>
      </c>
      <c r="B18" s="10" t="s">
        <v>62</v>
      </c>
      <c r="C18" s="11"/>
      <c r="D18" s="11"/>
      <c r="E18" s="11"/>
      <c r="F18" s="11"/>
      <c r="G18" s="2"/>
      <c r="H18" s="11"/>
      <c r="I18" s="11"/>
      <c r="J18" s="11"/>
      <c r="K18" s="11"/>
      <c r="L18" s="11"/>
      <c r="M18" s="11"/>
      <c r="N18" s="2"/>
      <c r="O18" s="11"/>
      <c r="P18" s="11"/>
      <c r="Q18" s="11"/>
      <c r="R18" s="11"/>
      <c r="S18" s="11"/>
      <c r="T18" s="11"/>
      <c r="U18" s="2"/>
      <c r="V18" s="11"/>
      <c r="W18" s="2"/>
      <c r="X18" s="11"/>
      <c r="Y18" s="11"/>
      <c r="Z18" s="11"/>
      <c r="AA18" s="11"/>
      <c r="AB18" s="2"/>
      <c r="AC18" s="11"/>
      <c r="AD18" s="2"/>
      <c r="AE18" s="11"/>
      <c r="AF18" s="11"/>
      <c r="AG18" s="11"/>
      <c r="AH18" s="13">
        <f t="shared" si="1"/>
        <v>0</v>
      </c>
      <c r="AI18" s="14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15" t="str">
        <f t="shared" si="2"/>
        <v>國源</v>
      </c>
      <c r="AK18" s="17"/>
    </row>
    <row r="19" spans="1:37" ht="18" customHeight="1">
      <c r="A19" s="18" t="s">
        <v>174</v>
      </c>
      <c r="B19" s="19" t="s">
        <v>89</v>
      </c>
      <c r="C19" s="20"/>
      <c r="D19" s="20"/>
      <c r="E19" s="20"/>
      <c r="F19" s="20"/>
      <c r="G19" s="2"/>
      <c r="H19" s="20">
        <v>1</v>
      </c>
      <c r="I19" s="20">
        <v>1</v>
      </c>
      <c r="J19" s="20"/>
      <c r="K19" s="20">
        <v>1</v>
      </c>
      <c r="L19" s="20"/>
      <c r="M19" s="20"/>
      <c r="N19" s="2"/>
      <c r="O19" s="20">
        <v>1</v>
      </c>
      <c r="P19" s="20"/>
      <c r="Q19" s="20"/>
      <c r="R19" s="20"/>
      <c r="S19" s="20"/>
      <c r="T19" s="20"/>
      <c r="U19" s="2"/>
      <c r="V19" s="20">
        <v>1</v>
      </c>
      <c r="W19" s="2"/>
      <c r="X19" s="20"/>
      <c r="Y19" s="20"/>
      <c r="Z19" s="20"/>
      <c r="AA19" s="20"/>
      <c r="AB19" s="2"/>
      <c r="AC19" s="20"/>
      <c r="AD19" s="2"/>
      <c r="AE19" s="20"/>
      <c r="AF19" s="45"/>
      <c r="AG19" s="45"/>
      <c r="AH19" s="21">
        <f t="shared" si="1"/>
        <v>5</v>
      </c>
      <c r="AI19" s="22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23" t="str">
        <f t="shared" si="2"/>
        <v>泡芙</v>
      </c>
      <c r="AK19" s="24"/>
    </row>
    <row r="20" spans="1:37" ht="18" customHeight="1">
      <c r="A20" s="18" t="s">
        <v>174</v>
      </c>
      <c r="B20" s="19" t="s">
        <v>90</v>
      </c>
      <c r="C20" s="20"/>
      <c r="D20" s="20"/>
      <c r="E20" s="20"/>
      <c r="F20" s="20"/>
      <c r="G20" s="2"/>
      <c r="H20" s="20">
        <v>1</v>
      </c>
      <c r="I20" s="20"/>
      <c r="J20" s="20"/>
      <c r="K20" s="20">
        <v>1</v>
      </c>
      <c r="L20" s="20"/>
      <c r="M20" s="20"/>
      <c r="N20" s="2"/>
      <c r="O20" s="20">
        <v>1</v>
      </c>
      <c r="P20" s="20"/>
      <c r="Q20" s="20"/>
      <c r="R20" s="20"/>
      <c r="S20" s="20"/>
      <c r="T20" s="20"/>
      <c r="U20" s="2"/>
      <c r="V20" s="20"/>
      <c r="W20" s="2"/>
      <c r="X20" s="20"/>
      <c r="Y20" s="20"/>
      <c r="Z20" s="20"/>
      <c r="AA20" s="20"/>
      <c r="AB20" s="2"/>
      <c r="AC20" s="20">
        <v>1</v>
      </c>
      <c r="AD20" s="2"/>
      <c r="AE20" s="20"/>
      <c r="AF20" s="45"/>
      <c r="AG20" s="45"/>
      <c r="AH20" s="21">
        <f t="shared" si="1"/>
        <v>4</v>
      </c>
      <c r="AI20" s="22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23" t="str">
        <f t="shared" si="2"/>
        <v>蓓蓓</v>
      </c>
      <c r="AK20" s="24"/>
    </row>
    <row r="21" spans="1:37" ht="18" customHeight="1">
      <c r="A21" s="18" t="s">
        <v>174</v>
      </c>
      <c r="B21" s="19" t="s">
        <v>150</v>
      </c>
      <c r="C21" s="20"/>
      <c r="D21" s="20"/>
      <c r="E21" s="20"/>
      <c r="F21" s="20">
        <v>1</v>
      </c>
      <c r="G21" s="2"/>
      <c r="H21" s="20">
        <v>1</v>
      </c>
      <c r="I21" s="20">
        <v>1</v>
      </c>
      <c r="J21" s="20"/>
      <c r="K21" s="20">
        <v>1</v>
      </c>
      <c r="L21" s="20"/>
      <c r="M21" s="20">
        <v>1</v>
      </c>
      <c r="N21" s="2"/>
      <c r="O21" s="20">
        <v>1</v>
      </c>
      <c r="P21" s="20">
        <v>1</v>
      </c>
      <c r="Q21" s="20"/>
      <c r="R21" s="20">
        <v>1</v>
      </c>
      <c r="S21" s="20"/>
      <c r="T21" s="20"/>
      <c r="U21" s="2"/>
      <c r="V21" s="20">
        <v>1</v>
      </c>
      <c r="W21" s="2"/>
      <c r="X21" s="20"/>
      <c r="Y21" s="20"/>
      <c r="Z21" s="20"/>
      <c r="AA21" s="20">
        <v>1</v>
      </c>
      <c r="AB21" s="2"/>
      <c r="AC21" s="20">
        <v>1</v>
      </c>
      <c r="AD21" s="2"/>
      <c r="AE21" s="20"/>
      <c r="AF21" s="45"/>
      <c r="AG21" s="45"/>
      <c r="AH21" s="21">
        <f t="shared" si="1"/>
        <v>11</v>
      </c>
      <c r="AI21" s="22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23" t="str">
        <f t="shared" si="2"/>
        <v>高麗菜</v>
      </c>
      <c r="AK21" s="24"/>
    </row>
    <row r="22" spans="1:37" ht="18" customHeight="1">
      <c r="A22" s="18" t="s">
        <v>174</v>
      </c>
      <c r="B22" s="19" t="s">
        <v>164</v>
      </c>
      <c r="C22" s="20"/>
      <c r="D22" s="20"/>
      <c r="E22" s="20"/>
      <c r="F22" s="20"/>
      <c r="G22" s="2"/>
      <c r="H22" s="20"/>
      <c r="I22" s="20"/>
      <c r="J22" s="20"/>
      <c r="K22" s="20"/>
      <c r="L22" s="20"/>
      <c r="M22" s="20"/>
      <c r="N22" s="2"/>
      <c r="O22" s="20"/>
      <c r="P22" s="20"/>
      <c r="Q22" s="20"/>
      <c r="R22" s="20"/>
      <c r="S22" s="20"/>
      <c r="T22" s="20"/>
      <c r="U22" s="2"/>
      <c r="V22" s="20"/>
      <c r="W22" s="2"/>
      <c r="X22" s="20"/>
      <c r="Y22" s="20"/>
      <c r="Z22" s="20"/>
      <c r="AA22" s="20"/>
      <c r="AB22" s="2"/>
      <c r="AC22" s="20"/>
      <c r="AD22" s="2"/>
      <c r="AE22" s="20"/>
      <c r="AF22" s="20"/>
      <c r="AG22" s="20"/>
      <c r="AH22" s="21">
        <f t="shared" si="1"/>
        <v>0</v>
      </c>
      <c r="AI22" s="22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23" t="str">
        <f t="shared" si="2"/>
        <v>小菜</v>
      </c>
      <c r="AK22" s="25"/>
    </row>
    <row r="23" spans="1:37" ht="18" customHeight="1">
      <c r="A23" s="18" t="s">
        <v>174</v>
      </c>
      <c r="B23" s="19" t="s">
        <v>94</v>
      </c>
      <c r="C23" s="20"/>
      <c r="D23" s="20"/>
      <c r="E23" s="20"/>
      <c r="F23" s="20">
        <v>1</v>
      </c>
      <c r="G23" s="2"/>
      <c r="H23" s="20">
        <v>1</v>
      </c>
      <c r="I23" s="20"/>
      <c r="J23" s="20"/>
      <c r="K23" s="20">
        <v>1</v>
      </c>
      <c r="L23" s="20"/>
      <c r="M23" s="20">
        <v>1</v>
      </c>
      <c r="N23" s="2"/>
      <c r="O23" s="20">
        <v>1</v>
      </c>
      <c r="P23" s="20"/>
      <c r="Q23" s="20"/>
      <c r="R23" s="20">
        <v>1</v>
      </c>
      <c r="S23" s="20"/>
      <c r="T23" s="20"/>
      <c r="U23" s="2"/>
      <c r="V23" s="20">
        <v>1</v>
      </c>
      <c r="W23" s="2"/>
      <c r="X23" s="20"/>
      <c r="Y23" s="20"/>
      <c r="Z23" s="20"/>
      <c r="AA23" s="20">
        <v>1</v>
      </c>
      <c r="AB23" s="2"/>
      <c r="AC23" s="20">
        <v>1</v>
      </c>
      <c r="AD23" s="2"/>
      <c r="AE23" s="20">
        <v>1</v>
      </c>
      <c r="AF23" s="45"/>
      <c r="AG23" s="45"/>
      <c r="AH23" s="21">
        <f t="shared" si="1"/>
        <v>10</v>
      </c>
      <c r="AI23" s="22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23" t="str">
        <f t="shared" si="2"/>
        <v>小花</v>
      </c>
      <c r="AK23" s="44"/>
    </row>
    <row r="24" spans="1:37" ht="18" customHeight="1">
      <c r="A24" s="18" t="s">
        <v>174</v>
      </c>
      <c r="B24" s="19" t="s">
        <v>102</v>
      </c>
      <c r="C24" s="20"/>
      <c r="D24" s="20"/>
      <c r="E24" s="20"/>
      <c r="F24" s="20"/>
      <c r="G24" s="2"/>
      <c r="H24" s="20"/>
      <c r="I24" s="20"/>
      <c r="J24" s="20"/>
      <c r="K24" s="20"/>
      <c r="L24" s="20"/>
      <c r="M24" s="20"/>
      <c r="N24" s="2"/>
      <c r="O24" s="20"/>
      <c r="P24" s="20"/>
      <c r="Q24" s="20"/>
      <c r="R24" s="20"/>
      <c r="S24" s="20"/>
      <c r="T24" s="20"/>
      <c r="U24" s="2"/>
      <c r="V24" s="20"/>
      <c r="W24" s="2"/>
      <c r="X24" s="20"/>
      <c r="Y24" s="20"/>
      <c r="Z24" s="20"/>
      <c r="AA24" s="20"/>
      <c r="AB24" s="2"/>
      <c r="AC24" s="20"/>
      <c r="AD24" s="2"/>
      <c r="AE24" s="20"/>
      <c r="AF24" s="20"/>
      <c r="AG24" s="20"/>
      <c r="AH24" s="21">
        <f t="shared" si="1"/>
        <v>0</v>
      </c>
      <c r="AI24" s="22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23" t="str">
        <f t="shared" si="2"/>
        <v>妮妮</v>
      </c>
      <c r="AK24" s="24"/>
    </row>
    <row r="25" spans="1:37" ht="18" customHeight="1">
      <c r="A25" s="18" t="s">
        <v>174</v>
      </c>
      <c r="B25" s="19" t="s">
        <v>165</v>
      </c>
      <c r="C25" s="20"/>
      <c r="D25" s="20"/>
      <c r="E25" s="20"/>
      <c r="F25" s="20"/>
      <c r="G25" s="2"/>
      <c r="H25" s="20">
        <v>1</v>
      </c>
      <c r="I25" s="20"/>
      <c r="J25" s="20"/>
      <c r="K25" s="20">
        <v>1</v>
      </c>
      <c r="L25" s="20"/>
      <c r="M25" s="20"/>
      <c r="N25" s="2"/>
      <c r="O25" s="20">
        <v>1</v>
      </c>
      <c r="P25" s="20"/>
      <c r="Q25" s="20"/>
      <c r="R25" s="20">
        <v>1</v>
      </c>
      <c r="S25" s="20"/>
      <c r="T25" s="20"/>
      <c r="U25" s="2"/>
      <c r="V25" s="20"/>
      <c r="W25" s="2"/>
      <c r="X25" s="20"/>
      <c r="Y25" s="20"/>
      <c r="Z25" s="20"/>
      <c r="AA25" s="20"/>
      <c r="AB25" s="2"/>
      <c r="AC25" s="20"/>
      <c r="AD25" s="2"/>
      <c r="AE25" s="20">
        <v>1</v>
      </c>
      <c r="AF25" s="45"/>
      <c r="AG25" s="45"/>
      <c r="AH25" s="21">
        <f t="shared" si="1"/>
        <v>5</v>
      </c>
      <c r="AI25" s="22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23" t="str">
        <f t="shared" si="2"/>
        <v>小貓</v>
      </c>
      <c r="AK25" s="44"/>
    </row>
    <row r="26" spans="1:37" ht="18" customHeight="1">
      <c r="A26" s="18" t="s">
        <v>174</v>
      </c>
      <c r="B26" s="19" t="s">
        <v>166</v>
      </c>
      <c r="C26" s="20"/>
      <c r="D26" s="20"/>
      <c r="E26" s="20"/>
      <c r="F26" s="20"/>
      <c r="G26" s="2"/>
      <c r="H26" s="20"/>
      <c r="I26" s="20"/>
      <c r="J26" s="20"/>
      <c r="K26" s="20"/>
      <c r="L26" s="20"/>
      <c r="M26" s="20"/>
      <c r="N26" s="2"/>
      <c r="O26" s="20"/>
      <c r="P26" s="20"/>
      <c r="Q26" s="20"/>
      <c r="R26" s="20"/>
      <c r="S26" s="20"/>
      <c r="T26" s="20"/>
      <c r="U26" s="2"/>
      <c r="V26" s="20"/>
      <c r="W26" s="2"/>
      <c r="X26" s="20"/>
      <c r="Y26" s="20"/>
      <c r="Z26" s="20"/>
      <c r="AA26" s="20"/>
      <c r="AB26" s="2"/>
      <c r="AC26" s="20"/>
      <c r="AD26" s="2"/>
      <c r="AE26" s="20"/>
      <c r="AF26" s="20">
        <v>1</v>
      </c>
      <c r="AG26" s="20"/>
      <c r="AH26" s="21">
        <f t="shared" si="1"/>
        <v>1</v>
      </c>
      <c r="AI26" s="22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23" t="str">
        <f t="shared" si="2"/>
        <v>哈比</v>
      </c>
      <c r="AK26" s="24"/>
    </row>
    <row r="27" spans="1:37" ht="18" customHeight="1">
      <c r="A27" s="18" t="s">
        <v>174</v>
      </c>
      <c r="B27" s="19" t="s">
        <v>91</v>
      </c>
      <c r="C27" s="20">
        <v>1</v>
      </c>
      <c r="D27" s="20"/>
      <c r="E27" s="20"/>
      <c r="F27" s="20"/>
      <c r="G27" s="2"/>
      <c r="H27" s="20">
        <v>1</v>
      </c>
      <c r="I27" s="20"/>
      <c r="J27" s="20"/>
      <c r="K27" s="20">
        <v>1</v>
      </c>
      <c r="L27" s="20"/>
      <c r="M27" s="20"/>
      <c r="N27" s="2"/>
      <c r="O27" s="20">
        <v>1</v>
      </c>
      <c r="P27" s="20"/>
      <c r="Q27" s="20"/>
      <c r="R27" s="20">
        <v>1</v>
      </c>
      <c r="S27" s="20"/>
      <c r="T27" s="20"/>
      <c r="U27" s="2"/>
      <c r="V27" s="20"/>
      <c r="W27" s="2"/>
      <c r="X27" s="20"/>
      <c r="Y27" s="20"/>
      <c r="Z27" s="20"/>
      <c r="AA27" s="20"/>
      <c r="AB27" s="2"/>
      <c r="AC27" s="20"/>
      <c r="AD27" s="2"/>
      <c r="AE27" s="20"/>
      <c r="AF27" s="45"/>
      <c r="AG27" s="45"/>
      <c r="AH27" s="21">
        <f t="shared" si="1"/>
        <v>5</v>
      </c>
      <c r="AI27" s="22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23" t="str">
        <f t="shared" si="2"/>
        <v>柔柔</v>
      </c>
      <c r="AK27" s="24"/>
    </row>
    <row r="28" spans="1:37" ht="18" customHeight="1">
      <c r="A28" s="18" t="s">
        <v>174</v>
      </c>
      <c r="B28" s="19" t="s">
        <v>176</v>
      </c>
      <c r="C28" s="20"/>
      <c r="D28" s="20"/>
      <c r="E28" s="20"/>
      <c r="F28" s="20"/>
      <c r="G28" s="2"/>
      <c r="H28" s="20"/>
      <c r="I28" s="20"/>
      <c r="J28" s="20"/>
      <c r="K28" s="20"/>
      <c r="L28" s="20"/>
      <c r="M28" s="20"/>
      <c r="N28" s="2"/>
      <c r="O28" s="20"/>
      <c r="P28" s="20"/>
      <c r="Q28" s="20"/>
      <c r="R28" s="20"/>
      <c r="S28" s="20"/>
      <c r="T28" s="20"/>
      <c r="U28" s="2"/>
      <c r="V28" s="20"/>
      <c r="W28" s="2"/>
      <c r="X28" s="20"/>
      <c r="Y28" s="20"/>
      <c r="Z28" s="20"/>
      <c r="AA28" s="20">
        <v>1</v>
      </c>
      <c r="AB28" s="2"/>
      <c r="AC28" s="20">
        <v>1</v>
      </c>
      <c r="AD28" s="2"/>
      <c r="AE28" s="20">
        <v>1</v>
      </c>
      <c r="AF28" s="20"/>
      <c r="AG28" s="20"/>
      <c r="AH28" s="21">
        <f t="shared" si="1"/>
        <v>3</v>
      </c>
      <c r="AI28" s="22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23" t="str">
        <f t="shared" si="2"/>
        <v>芮芮</v>
      </c>
      <c r="AK28" s="25"/>
    </row>
    <row r="29" spans="1:37" ht="18" customHeight="1">
      <c r="A29" s="18" t="s">
        <v>174</v>
      </c>
      <c r="B29" s="19" t="s">
        <v>123</v>
      </c>
      <c r="C29" s="20"/>
      <c r="D29" s="20"/>
      <c r="E29" s="20"/>
      <c r="F29" s="20"/>
      <c r="G29" s="2"/>
      <c r="H29" s="20">
        <v>1</v>
      </c>
      <c r="I29" s="20"/>
      <c r="J29" s="20">
        <v>1</v>
      </c>
      <c r="K29" s="20">
        <v>1</v>
      </c>
      <c r="L29" s="20"/>
      <c r="M29" s="20"/>
      <c r="N29" s="2"/>
      <c r="O29" s="20">
        <v>1</v>
      </c>
      <c r="P29" s="20"/>
      <c r="Q29" s="20"/>
      <c r="R29" s="20">
        <v>1</v>
      </c>
      <c r="S29" s="20"/>
      <c r="T29" s="20"/>
      <c r="U29" s="2"/>
      <c r="V29" s="20"/>
      <c r="W29" s="2"/>
      <c r="X29" s="20"/>
      <c r="Y29" s="20"/>
      <c r="Z29" s="20"/>
      <c r="AA29" s="20"/>
      <c r="AB29" s="2"/>
      <c r="AC29" s="20"/>
      <c r="AD29" s="2"/>
      <c r="AE29" s="20"/>
      <c r="AF29" s="45"/>
      <c r="AG29" s="45"/>
      <c r="AH29" s="21">
        <f t="shared" si="1"/>
        <v>5</v>
      </c>
      <c r="AI29" s="22" t="e">
        <f ca="1">IF(A29="O", (VALUE(_xludf.IFS(AH29=0,"0",AH29=1,"150",AH29=2,"300",AH29=3,"450",AH29=4,"600",AH29=5,"750",AH29&gt;=6,"800"))),(VALUE(_xludf.IFS(AH29=0,"0",AH29=1,"150",AH29=2,"300",AH29=3,"450",AH29=4,"600",AH29=5,"750",AH29=6,"900",AH29&gt;=7,"1,000"))))</f>
        <v>#NAME?</v>
      </c>
      <c r="AJ29" s="23" t="str">
        <f t="shared" si="2"/>
        <v>瑤瑤</v>
      </c>
      <c r="AK29" s="24"/>
    </row>
    <row r="30" spans="1:37" ht="18" customHeight="1">
      <c r="A30" s="18" t="s">
        <v>174</v>
      </c>
      <c r="B30" s="19" t="s">
        <v>147</v>
      </c>
      <c r="C30" s="20"/>
      <c r="D30" s="20"/>
      <c r="E30" s="20"/>
      <c r="F30" s="20">
        <v>1</v>
      </c>
      <c r="G30" s="2"/>
      <c r="H30" s="20"/>
      <c r="I30" s="20">
        <v>1</v>
      </c>
      <c r="J30" s="20"/>
      <c r="K30" s="20"/>
      <c r="L30" s="20"/>
      <c r="M30" s="20">
        <v>1</v>
      </c>
      <c r="N30" s="2"/>
      <c r="O30" s="20"/>
      <c r="P30" s="20"/>
      <c r="Q30" s="20"/>
      <c r="R30" s="20">
        <v>1</v>
      </c>
      <c r="S30" s="20"/>
      <c r="T30" s="20"/>
      <c r="U30" s="2"/>
      <c r="V30" s="20"/>
      <c r="W30" s="2"/>
      <c r="X30" s="20"/>
      <c r="Y30" s="20"/>
      <c r="Z30" s="20"/>
      <c r="AA30" s="20">
        <v>1</v>
      </c>
      <c r="AB30" s="2"/>
      <c r="AC30" s="20"/>
      <c r="AD30" s="2"/>
      <c r="AE30" s="20">
        <v>1</v>
      </c>
      <c r="AF30" s="20"/>
      <c r="AG30" s="20"/>
      <c r="AH30" s="21">
        <f t="shared" si="1"/>
        <v>6</v>
      </c>
      <c r="AI30" s="22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23" t="str">
        <f t="shared" si="2"/>
        <v>湘苡</v>
      </c>
      <c r="AK30" s="44"/>
    </row>
    <row r="31" spans="1:37" ht="18" customHeight="1">
      <c r="A31" s="18" t="s">
        <v>174</v>
      </c>
      <c r="B31" s="19" t="s">
        <v>93</v>
      </c>
      <c r="C31" s="20"/>
      <c r="D31" s="20"/>
      <c r="E31" s="20"/>
      <c r="F31" s="20">
        <v>1</v>
      </c>
      <c r="G31" s="2"/>
      <c r="H31" s="20"/>
      <c r="I31" s="20">
        <v>1</v>
      </c>
      <c r="J31" s="20"/>
      <c r="K31" s="20"/>
      <c r="L31" s="20"/>
      <c r="M31" s="20">
        <v>1</v>
      </c>
      <c r="N31" s="2"/>
      <c r="O31" s="20"/>
      <c r="P31" s="20">
        <v>1</v>
      </c>
      <c r="Q31" s="20"/>
      <c r="R31" s="20">
        <v>1</v>
      </c>
      <c r="S31" s="20"/>
      <c r="T31" s="20"/>
      <c r="U31" s="2"/>
      <c r="V31" s="20"/>
      <c r="W31" s="2"/>
      <c r="X31" s="20"/>
      <c r="Y31" s="20"/>
      <c r="Z31" s="20"/>
      <c r="AA31" s="20">
        <v>1</v>
      </c>
      <c r="AB31" s="2"/>
      <c r="AC31" s="20">
        <v>1</v>
      </c>
      <c r="AD31" s="2"/>
      <c r="AE31" s="20">
        <v>1</v>
      </c>
      <c r="AF31" s="20"/>
      <c r="AG31" s="20"/>
      <c r="AH31" s="21">
        <f t="shared" si="1"/>
        <v>8</v>
      </c>
      <c r="AI31" s="22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23" t="str">
        <f t="shared" si="2"/>
        <v>冠婷</v>
      </c>
      <c r="AK31" s="24"/>
    </row>
    <row r="32" spans="1:37" ht="18" customHeight="1">
      <c r="A32" s="18" t="s">
        <v>174</v>
      </c>
      <c r="B32" s="19" t="s">
        <v>149</v>
      </c>
      <c r="C32" s="20"/>
      <c r="D32" s="20"/>
      <c r="E32" s="20"/>
      <c r="F32" s="20">
        <v>1</v>
      </c>
      <c r="G32" s="2"/>
      <c r="H32" s="20"/>
      <c r="I32" s="20">
        <v>1</v>
      </c>
      <c r="J32" s="20"/>
      <c r="K32" s="20"/>
      <c r="L32" s="20"/>
      <c r="M32" s="20">
        <v>1</v>
      </c>
      <c r="N32" s="2"/>
      <c r="O32" s="20"/>
      <c r="P32" s="20">
        <v>1</v>
      </c>
      <c r="Q32" s="20"/>
      <c r="R32" s="20">
        <v>1</v>
      </c>
      <c r="S32" s="20"/>
      <c r="T32" s="20"/>
      <c r="U32" s="2"/>
      <c r="V32" s="20"/>
      <c r="W32" s="2"/>
      <c r="X32" s="20"/>
      <c r="Y32" s="20"/>
      <c r="Z32" s="20"/>
      <c r="AA32" s="20"/>
      <c r="AB32" s="2"/>
      <c r="AC32" s="20"/>
      <c r="AD32" s="2"/>
      <c r="AE32" s="20"/>
      <c r="AF32" s="20"/>
      <c r="AG32" s="20"/>
      <c r="AH32" s="21">
        <f t="shared" si="1"/>
        <v>5</v>
      </c>
      <c r="AI32" s="22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23" t="str">
        <f t="shared" si="2"/>
        <v>晏寧</v>
      </c>
      <c r="AK32" s="24"/>
    </row>
    <row r="33" spans="1:37" ht="18" customHeight="1">
      <c r="A33" s="18" t="s">
        <v>174</v>
      </c>
      <c r="B33" s="19" t="s">
        <v>146</v>
      </c>
      <c r="C33" s="20"/>
      <c r="D33" s="20"/>
      <c r="E33" s="20"/>
      <c r="F33" s="20"/>
      <c r="G33" s="2"/>
      <c r="H33" s="20">
        <v>1</v>
      </c>
      <c r="I33" s="20"/>
      <c r="J33" s="20"/>
      <c r="K33" s="20"/>
      <c r="L33" s="20"/>
      <c r="M33" s="20">
        <v>1</v>
      </c>
      <c r="N33" s="2"/>
      <c r="O33" s="20">
        <v>1</v>
      </c>
      <c r="P33" s="20"/>
      <c r="Q33" s="20"/>
      <c r="R33" s="20">
        <v>1</v>
      </c>
      <c r="S33" s="20"/>
      <c r="T33" s="20"/>
      <c r="U33" s="2"/>
      <c r="V33" s="20"/>
      <c r="W33" s="2"/>
      <c r="X33" s="20"/>
      <c r="Y33" s="20"/>
      <c r="Z33" s="20"/>
      <c r="AA33" s="20"/>
      <c r="AB33" s="2"/>
      <c r="AC33" s="20"/>
      <c r="AD33" s="2"/>
      <c r="AE33" s="20"/>
      <c r="AF33" s="20"/>
      <c r="AG33" s="20"/>
      <c r="AH33" s="21">
        <f t="shared" si="1"/>
        <v>4</v>
      </c>
      <c r="AI33" s="22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23" t="str">
        <f t="shared" si="2"/>
        <v>飛飛</v>
      </c>
      <c r="AK33" s="24"/>
    </row>
    <row r="34" spans="1:37" ht="18" customHeight="1">
      <c r="A34" s="26" t="s">
        <v>174</v>
      </c>
      <c r="B34" s="27" t="s">
        <v>116</v>
      </c>
      <c r="C34" s="47">
        <v>1</v>
      </c>
      <c r="D34" s="47"/>
      <c r="E34" s="47"/>
      <c r="F34" s="47">
        <v>1</v>
      </c>
      <c r="G34" s="46"/>
      <c r="H34" s="47">
        <v>1</v>
      </c>
      <c r="I34" s="47"/>
      <c r="J34" s="47">
        <v>1</v>
      </c>
      <c r="K34" s="47">
        <v>1</v>
      </c>
      <c r="L34" s="47"/>
      <c r="M34" s="47">
        <v>1</v>
      </c>
      <c r="N34" s="46"/>
      <c r="O34" s="47">
        <v>1</v>
      </c>
      <c r="P34" s="47"/>
      <c r="Q34" s="47"/>
      <c r="R34" s="47">
        <v>1</v>
      </c>
      <c r="S34" s="47"/>
      <c r="T34" s="47"/>
      <c r="U34" s="46"/>
      <c r="V34" s="47"/>
      <c r="W34" s="46"/>
      <c r="X34" s="47"/>
      <c r="Y34" s="47"/>
      <c r="Z34" s="47"/>
      <c r="AA34" s="47">
        <v>1</v>
      </c>
      <c r="AB34" s="46"/>
      <c r="AC34" s="47">
        <v>1</v>
      </c>
      <c r="AD34" s="46"/>
      <c r="AE34" s="47"/>
      <c r="AF34" s="47">
        <v>1</v>
      </c>
      <c r="AG34" s="47"/>
      <c r="AH34" s="29">
        <f t="shared" si="1"/>
        <v>11</v>
      </c>
      <c r="AI34" s="30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31" t="str">
        <f t="shared" si="2"/>
        <v>大汪</v>
      </c>
      <c r="AK34" s="32"/>
    </row>
    <row r="35" spans="1:37" ht="18" customHeight="1">
      <c r="A35" s="26" t="s">
        <v>174</v>
      </c>
      <c r="B35" s="27" t="s">
        <v>118</v>
      </c>
      <c r="C35" s="47">
        <v>1</v>
      </c>
      <c r="D35" s="47"/>
      <c r="E35" s="47"/>
      <c r="F35" s="47"/>
      <c r="G35" s="46"/>
      <c r="H35" s="47">
        <v>1</v>
      </c>
      <c r="I35" s="47"/>
      <c r="J35" s="47">
        <v>1</v>
      </c>
      <c r="K35" s="47">
        <v>1</v>
      </c>
      <c r="L35" s="47"/>
      <c r="M35" s="47"/>
      <c r="N35" s="46"/>
      <c r="O35" s="47">
        <v>1</v>
      </c>
      <c r="P35" s="47"/>
      <c r="Q35" s="47"/>
      <c r="R35" s="47">
        <v>1</v>
      </c>
      <c r="S35" s="47"/>
      <c r="T35" s="47"/>
      <c r="U35" s="46"/>
      <c r="V35" s="47"/>
      <c r="W35" s="46"/>
      <c r="X35" s="47"/>
      <c r="Y35" s="47"/>
      <c r="Z35" s="47"/>
      <c r="AA35" s="47"/>
      <c r="AB35" s="46"/>
      <c r="AC35" s="47"/>
      <c r="AD35" s="46"/>
      <c r="AE35" s="47">
        <v>1</v>
      </c>
      <c r="AF35" s="47"/>
      <c r="AG35" s="47"/>
      <c r="AH35" s="29">
        <f t="shared" si="1"/>
        <v>7</v>
      </c>
      <c r="AI35" s="30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31" t="str">
        <f t="shared" si="2"/>
        <v>雅筑</v>
      </c>
      <c r="AK35" s="32"/>
    </row>
    <row r="36" spans="1:37" ht="18" customHeight="1">
      <c r="A36" s="26" t="s">
        <v>174</v>
      </c>
      <c r="B36" s="27" t="s">
        <v>141</v>
      </c>
      <c r="C36" s="28"/>
      <c r="D36" s="28"/>
      <c r="E36" s="28"/>
      <c r="F36" s="28"/>
      <c r="G36" s="2"/>
      <c r="H36" s="28"/>
      <c r="I36" s="28"/>
      <c r="J36" s="28"/>
      <c r="K36" s="28"/>
      <c r="L36" s="28"/>
      <c r="M36" s="28"/>
      <c r="N36" s="2"/>
      <c r="O36" s="28"/>
      <c r="P36" s="28"/>
      <c r="Q36" s="28"/>
      <c r="R36" s="28"/>
      <c r="S36" s="28"/>
      <c r="T36" s="28"/>
      <c r="U36" s="2"/>
      <c r="V36" s="28"/>
      <c r="W36" s="2"/>
      <c r="X36" s="28"/>
      <c r="Y36" s="28"/>
      <c r="Z36" s="28"/>
      <c r="AA36" s="28"/>
      <c r="AB36" s="2"/>
      <c r="AC36" s="28"/>
      <c r="AD36" s="2"/>
      <c r="AE36" s="28"/>
      <c r="AF36" s="28"/>
      <c r="AG36" s="28"/>
      <c r="AH36" s="29">
        <f t="shared" ref="AH36:AH67" si="3">COUNTA(C36:AG36)</f>
        <v>0</v>
      </c>
      <c r="AI36" s="30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31" t="str">
        <f t="shared" ref="AJ36:AJ67" si="4">B36</f>
        <v>Cindy</v>
      </c>
      <c r="AK36" s="32"/>
    </row>
    <row r="37" spans="1:37" ht="18" customHeight="1">
      <c r="A37" s="26" t="s">
        <v>174</v>
      </c>
      <c r="B37" s="27" t="s">
        <v>103</v>
      </c>
      <c r="C37" s="47">
        <v>1</v>
      </c>
      <c r="D37" s="47"/>
      <c r="E37" s="47"/>
      <c r="F37" s="47"/>
      <c r="G37" s="46"/>
      <c r="H37" s="47">
        <v>1</v>
      </c>
      <c r="I37" s="47"/>
      <c r="J37" s="47"/>
      <c r="K37" s="47">
        <v>1</v>
      </c>
      <c r="L37" s="47"/>
      <c r="M37" s="47"/>
      <c r="N37" s="46"/>
      <c r="O37" s="47">
        <v>1</v>
      </c>
      <c r="P37" s="47"/>
      <c r="Q37" s="47"/>
      <c r="R37" s="47">
        <v>1</v>
      </c>
      <c r="S37" s="47"/>
      <c r="T37" s="47"/>
      <c r="U37" s="46"/>
      <c r="V37" s="47"/>
      <c r="W37" s="46"/>
      <c r="X37" s="47"/>
      <c r="Y37" s="47"/>
      <c r="Z37" s="47"/>
      <c r="AA37" s="47">
        <v>1</v>
      </c>
      <c r="AB37" s="46"/>
      <c r="AC37" s="47">
        <v>1</v>
      </c>
      <c r="AD37" s="46"/>
      <c r="AE37" s="47"/>
      <c r="AF37" s="47">
        <v>1</v>
      </c>
      <c r="AG37" s="47"/>
      <c r="AH37" s="29">
        <f t="shared" si="3"/>
        <v>8</v>
      </c>
      <c r="AI37" s="30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31" t="str">
        <f t="shared" si="4"/>
        <v>圈圈</v>
      </c>
      <c r="AK37" s="33"/>
    </row>
    <row r="38" spans="1:37" ht="18" customHeight="1">
      <c r="A38" s="26" t="s">
        <v>174</v>
      </c>
      <c r="B38" s="27" t="s">
        <v>120</v>
      </c>
      <c r="C38" s="47"/>
      <c r="D38" s="47"/>
      <c r="E38" s="47"/>
      <c r="F38" s="47"/>
      <c r="G38" s="46"/>
      <c r="H38" s="47">
        <v>1</v>
      </c>
      <c r="I38" s="47"/>
      <c r="J38" s="47"/>
      <c r="K38" s="47">
        <v>1</v>
      </c>
      <c r="L38" s="47"/>
      <c r="M38" s="47"/>
      <c r="N38" s="46"/>
      <c r="O38" s="47">
        <v>1</v>
      </c>
      <c r="P38" s="47"/>
      <c r="Q38" s="47"/>
      <c r="R38" s="47">
        <v>1</v>
      </c>
      <c r="S38" s="47"/>
      <c r="T38" s="47"/>
      <c r="U38" s="46"/>
      <c r="V38" s="47"/>
      <c r="W38" s="46"/>
      <c r="X38" s="47"/>
      <c r="Y38" s="47"/>
      <c r="Z38" s="47"/>
      <c r="AA38" s="47"/>
      <c r="AB38" s="46"/>
      <c r="AC38" s="47"/>
      <c r="AD38" s="46"/>
      <c r="AE38" s="47"/>
      <c r="AF38" s="47"/>
      <c r="AG38" s="47"/>
      <c r="AH38" s="29">
        <f t="shared" si="3"/>
        <v>4</v>
      </c>
      <c r="AI38" s="30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31" t="str">
        <f t="shared" si="4"/>
        <v>品君</v>
      </c>
      <c r="AK38" s="33"/>
    </row>
    <row r="39" spans="1:37" ht="18" customHeight="1">
      <c r="A39" s="26" t="s">
        <v>174</v>
      </c>
      <c r="B39" s="27" t="s">
        <v>142</v>
      </c>
      <c r="C39" s="47">
        <v>1</v>
      </c>
      <c r="D39" s="47"/>
      <c r="E39" s="47"/>
      <c r="F39" s="47"/>
      <c r="G39" s="46"/>
      <c r="H39" s="47">
        <v>1</v>
      </c>
      <c r="I39" s="47"/>
      <c r="J39" s="47"/>
      <c r="K39" s="47">
        <v>1</v>
      </c>
      <c r="L39" s="47"/>
      <c r="M39" s="47"/>
      <c r="N39" s="46"/>
      <c r="O39" s="47">
        <v>1</v>
      </c>
      <c r="P39" s="47"/>
      <c r="Q39" s="47"/>
      <c r="R39" s="47">
        <v>1</v>
      </c>
      <c r="S39" s="47"/>
      <c r="T39" s="47"/>
      <c r="U39" s="46"/>
      <c r="V39" s="47"/>
      <c r="W39" s="46"/>
      <c r="X39" s="47"/>
      <c r="Y39" s="47"/>
      <c r="Z39" s="47"/>
      <c r="AA39" s="47"/>
      <c r="AB39" s="46"/>
      <c r="AC39" s="47"/>
      <c r="AD39" s="46"/>
      <c r="AE39" s="47"/>
      <c r="AF39" s="47"/>
      <c r="AG39" s="47"/>
      <c r="AH39" s="29">
        <f t="shared" si="3"/>
        <v>5</v>
      </c>
      <c r="AI39" s="30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31" t="str">
        <f t="shared" si="4"/>
        <v>如靜</v>
      </c>
      <c r="AK39" s="33"/>
    </row>
    <row r="40" spans="1:37" ht="18" customHeight="1">
      <c r="A40" s="26" t="s">
        <v>174</v>
      </c>
      <c r="B40" s="27" t="s">
        <v>143</v>
      </c>
      <c r="C40" s="47"/>
      <c r="D40" s="47"/>
      <c r="E40" s="47"/>
      <c r="F40" s="47"/>
      <c r="G40" s="46"/>
      <c r="H40" s="47"/>
      <c r="I40" s="47"/>
      <c r="J40" s="47"/>
      <c r="K40" s="47"/>
      <c r="L40" s="47"/>
      <c r="M40" s="47"/>
      <c r="N40" s="46"/>
      <c r="O40" s="47"/>
      <c r="P40" s="47"/>
      <c r="Q40" s="47"/>
      <c r="R40" s="47"/>
      <c r="S40" s="47"/>
      <c r="T40" s="47"/>
      <c r="U40" s="46"/>
      <c r="V40" s="47"/>
      <c r="W40" s="46"/>
      <c r="X40" s="47"/>
      <c r="Y40" s="47"/>
      <c r="Z40" s="47"/>
      <c r="AA40" s="47"/>
      <c r="AB40" s="46"/>
      <c r="AC40" s="47"/>
      <c r="AD40" s="46"/>
      <c r="AE40" s="47"/>
      <c r="AF40" s="47"/>
      <c r="AG40" s="47"/>
      <c r="AH40" s="29">
        <f t="shared" si="3"/>
        <v>0</v>
      </c>
      <c r="AI40" s="30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31" t="str">
        <f t="shared" si="4"/>
        <v>毓玫</v>
      </c>
      <c r="AK40" s="33"/>
    </row>
    <row r="41" spans="1:37" ht="18" customHeight="1">
      <c r="A41" s="26" t="s">
        <v>174</v>
      </c>
      <c r="B41" s="27" t="s">
        <v>144</v>
      </c>
      <c r="C41" s="47"/>
      <c r="D41" s="47"/>
      <c r="E41" s="47"/>
      <c r="F41" s="47"/>
      <c r="G41" s="46"/>
      <c r="H41" s="47">
        <v>1</v>
      </c>
      <c r="I41" s="47"/>
      <c r="J41" s="47"/>
      <c r="K41" s="47">
        <v>1</v>
      </c>
      <c r="L41" s="47"/>
      <c r="M41" s="47"/>
      <c r="N41" s="46"/>
      <c r="O41" s="47">
        <v>1</v>
      </c>
      <c r="P41" s="47"/>
      <c r="Q41" s="47"/>
      <c r="R41" s="47">
        <v>1</v>
      </c>
      <c r="S41" s="47"/>
      <c r="T41" s="47"/>
      <c r="U41" s="46"/>
      <c r="V41" s="47"/>
      <c r="W41" s="46"/>
      <c r="X41" s="47"/>
      <c r="Y41" s="47"/>
      <c r="Z41" s="47"/>
      <c r="AA41" s="47"/>
      <c r="AB41" s="46"/>
      <c r="AC41" s="47"/>
      <c r="AD41" s="46"/>
      <c r="AE41" s="47"/>
      <c r="AF41" s="47"/>
      <c r="AG41" s="47"/>
      <c r="AH41" s="29">
        <f t="shared" si="3"/>
        <v>4</v>
      </c>
      <c r="AI41" s="30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31" t="str">
        <f t="shared" si="4"/>
        <v>美枝</v>
      </c>
      <c r="AK41" s="32"/>
    </row>
    <row r="42" spans="1:37" ht="18" customHeight="1">
      <c r="A42" s="26" t="s">
        <v>174</v>
      </c>
      <c r="B42" s="27" t="s">
        <v>145</v>
      </c>
      <c r="C42" s="47">
        <v>1</v>
      </c>
      <c r="D42" s="47"/>
      <c r="E42" s="47"/>
      <c r="F42" s="47"/>
      <c r="G42" s="46"/>
      <c r="H42" s="47">
        <v>1</v>
      </c>
      <c r="I42" s="47"/>
      <c r="J42" s="47"/>
      <c r="K42" s="47">
        <v>1</v>
      </c>
      <c r="L42" s="47"/>
      <c r="M42" s="47"/>
      <c r="N42" s="46"/>
      <c r="O42" s="47">
        <v>1</v>
      </c>
      <c r="P42" s="47"/>
      <c r="Q42" s="47"/>
      <c r="R42" s="47">
        <v>1</v>
      </c>
      <c r="S42" s="47"/>
      <c r="T42" s="47"/>
      <c r="U42" s="46"/>
      <c r="V42" s="47"/>
      <c r="W42" s="46"/>
      <c r="X42" s="47"/>
      <c r="Y42" s="47"/>
      <c r="Z42" s="47"/>
      <c r="AA42" s="47"/>
      <c r="AB42" s="46"/>
      <c r="AC42" s="47"/>
      <c r="AD42" s="46"/>
      <c r="AE42" s="47"/>
      <c r="AF42" s="47"/>
      <c r="AG42" s="47"/>
      <c r="AH42" s="29">
        <f t="shared" si="3"/>
        <v>5</v>
      </c>
      <c r="AI42" s="30" t="e">
        <f ca="1">IF(A42="O", (VALUE(_xludf.IFS(AH42=0,"0",AH42=1,"150",AH42=2,"300",AH42=3,"450",AH42=4,"600",AH42=5,"750",AH42&gt;=6,"800"))),(VALUE(_xludf.IFS(AH42=0,"0",AH42=1,"150",AH42=2,"300",AH42=3,"450",AH42=4,"600",AH42=5,"750",AH42=6,"900",AH42&gt;=7,"1,000"))))</f>
        <v>#NAME?</v>
      </c>
      <c r="AJ42" s="31" t="str">
        <f t="shared" si="4"/>
        <v>魯魯咪</v>
      </c>
      <c r="AK42" s="34"/>
    </row>
    <row r="43" spans="1:37" ht="18" customHeight="1">
      <c r="A43" s="9" t="s">
        <v>58</v>
      </c>
      <c r="B43" s="10" t="s">
        <v>23</v>
      </c>
      <c r="C43" s="48"/>
      <c r="D43" s="48"/>
      <c r="E43" s="48"/>
      <c r="F43" s="48"/>
      <c r="G43" s="46"/>
      <c r="H43" s="48">
        <v>1</v>
      </c>
      <c r="I43" s="48"/>
      <c r="J43" s="48"/>
      <c r="K43" s="48">
        <v>1</v>
      </c>
      <c r="L43" s="48"/>
      <c r="M43" s="48">
        <v>1</v>
      </c>
      <c r="N43" s="46"/>
      <c r="O43" s="48">
        <v>1</v>
      </c>
      <c r="P43" s="48"/>
      <c r="Q43" s="48"/>
      <c r="R43" s="48">
        <v>1</v>
      </c>
      <c r="S43" s="48"/>
      <c r="T43" s="48"/>
      <c r="U43" s="46"/>
      <c r="V43" s="48"/>
      <c r="W43" s="46"/>
      <c r="X43" s="48"/>
      <c r="Y43" s="48"/>
      <c r="Z43" s="48"/>
      <c r="AA43" s="48"/>
      <c r="AB43" s="46"/>
      <c r="AC43" s="48"/>
      <c r="AD43" s="46"/>
      <c r="AE43" s="48"/>
      <c r="AF43" s="48"/>
      <c r="AG43" s="48"/>
      <c r="AH43" s="13">
        <f t="shared" si="3"/>
        <v>5</v>
      </c>
      <c r="AI43" s="14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15" t="str">
        <f t="shared" si="4"/>
        <v>ㄈㄈ</v>
      </c>
      <c r="AK43" s="17"/>
    </row>
    <row r="44" spans="1:37" ht="18" customHeight="1">
      <c r="A44" s="9" t="s">
        <v>58</v>
      </c>
      <c r="B44" s="10" t="s">
        <v>24</v>
      </c>
      <c r="C44" s="48"/>
      <c r="D44" s="48"/>
      <c r="E44" s="48"/>
      <c r="F44" s="48"/>
      <c r="G44" s="46"/>
      <c r="H44" s="48">
        <v>1</v>
      </c>
      <c r="I44" s="48">
        <v>1</v>
      </c>
      <c r="J44" s="48"/>
      <c r="K44" s="48">
        <v>1</v>
      </c>
      <c r="L44" s="48"/>
      <c r="M44" s="48">
        <v>1</v>
      </c>
      <c r="N44" s="46"/>
      <c r="O44" s="48">
        <v>1</v>
      </c>
      <c r="P44" s="48"/>
      <c r="Q44" s="48"/>
      <c r="R44" s="48">
        <v>1</v>
      </c>
      <c r="S44" s="48"/>
      <c r="T44" s="48"/>
      <c r="U44" s="46"/>
      <c r="V44" s="48"/>
      <c r="W44" s="46"/>
      <c r="X44" s="48"/>
      <c r="Y44" s="48"/>
      <c r="Z44" s="48"/>
      <c r="AA44" s="48"/>
      <c r="AB44" s="46"/>
      <c r="AC44" s="48">
        <v>1</v>
      </c>
      <c r="AD44" s="46"/>
      <c r="AE44" s="48">
        <v>1</v>
      </c>
      <c r="AF44" s="48">
        <v>1</v>
      </c>
      <c r="AG44" s="48"/>
      <c r="AH44" s="13">
        <f t="shared" si="3"/>
        <v>9</v>
      </c>
      <c r="AI44" s="14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15" t="str">
        <f t="shared" si="4"/>
        <v>大熊</v>
      </c>
      <c r="AK44" s="17"/>
    </row>
    <row r="45" spans="1:37" ht="18" customHeight="1">
      <c r="A45" s="9" t="s">
        <v>58</v>
      </c>
      <c r="B45" s="10" t="s">
        <v>64</v>
      </c>
      <c r="C45" s="48"/>
      <c r="D45" s="48"/>
      <c r="E45" s="48"/>
      <c r="F45" s="48">
        <v>1</v>
      </c>
      <c r="G45" s="46"/>
      <c r="H45" s="48">
        <v>1</v>
      </c>
      <c r="I45" s="48"/>
      <c r="J45" s="48"/>
      <c r="K45" s="48">
        <v>1</v>
      </c>
      <c r="L45" s="48"/>
      <c r="M45" s="48">
        <v>1</v>
      </c>
      <c r="N45" s="46"/>
      <c r="O45" s="48">
        <v>1</v>
      </c>
      <c r="P45" s="48"/>
      <c r="Q45" s="48"/>
      <c r="R45" s="48"/>
      <c r="S45" s="48"/>
      <c r="T45" s="48"/>
      <c r="U45" s="46"/>
      <c r="V45" s="48">
        <v>1</v>
      </c>
      <c r="W45" s="46"/>
      <c r="X45" s="48"/>
      <c r="Y45" s="48"/>
      <c r="Z45" s="48">
        <v>1</v>
      </c>
      <c r="AA45" s="48"/>
      <c r="AB45" s="46"/>
      <c r="AC45" s="48">
        <v>1</v>
      </c>
      <c r="AD45" s="46"/>
      <c r="AE45" s="48">
        <v>1</v>
      </c>
      <c r="AF45" s="48"/>
      <c r="AG45" s="48"/>
      <c r="AH45" s="13">
        <f t="shared" si="3"/>
        <v>9</v>
      </c>
      <c r="AI45" s="14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15" t="str">
        <f t="shared" si="4"/>
        <v>園棠</v>
      </c>
      <c r="AK45" s="17"/>
    </row>
    <row r="46" spans="1:37" ht="18" customHeight="1">
      <c r="A46" s="9" t="s">
        <v>58</v>
      </c>
      <c r="B46" s="10" t="s">
        <v>178</v>
      </c>
      <c r="C46" s="48"/>
      <c r="D46" s="48"/>
      <c r="E46" s="48"/>
      <c r="F46" s="48">
        <v>1</v>
      </c>
      <c r="G46" s="46"/>
      <c r="H46" s="48">
        <v>1</v>
      </c>
      <c r="I46" s="48">
        <v>1</v>
      </c>
      <c r="J46" s="48"/>
      <c r="K46" s="48">
        <v>1</v>
      </c>
      <c r="L46" s="48"/>
      <c r="M46" s="48">
        <v>1</v>
      </c>
      <c r="N46" s="46"/>
      <c r="O46" s="48">
        <v>1</v>
      </c>
      <c r="P46" s="48">
        <v>1</v>
      </c>
      <c r="Q46" s="48"/>
      <c r="R46" s="48">
        <v>1</v>
      </c>
      <c r="S46" s="48"/>
      <c r="T46" s="48"/>
      <c r="U46" s="46"/>
      <c r="V46" s="48">
        <v>1</v>
      </c>
      <c r="W46" s="46"/>
      <c r="X46" s="48"/>
      <c r="Y46" s="48"/>
      <c r="Z46" s="48"/>
      <c r="AA46" s="48"/>
      <c r="AB46" s="46"/>
      <c r="AC46" s="48">
        <v>1</v>
      </c>
      <c r="AD46" s="46"/>
      <c r="AE46" s="48"/>
      <c r="AF46" s="48"/>
      <c r="AG46" s="48"/>
      <c r="AH46" s="13">
        <f t="shared" si="3"/>
        <v>10</v>
      </c>
      <c r="AI46" s="14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15" t="str">
        <f t="shared" si="4"/>
        <v>Fish</v>
      </c>
      <c r="AK46" s="17"/>
    </row>
    <row r="47" spans="1:37" ht="18" customHeight="1">
      <c r="A47" s="9" t="s">
        <v>58</v>
      </c>
      <c r="B47" s="10" t="s">
        <v>25</v>
      </c>
      <c r="C47" s="48"/>
      <c r="D47" s="48"/>
      <c r="E47" s="48"/>
      <c r="F47" s="48"/>
      <c r="G47" s="46"/>
      <c r="H47" s="48">
        <v>1</v>
      </c>
      <c r="I47" s="48">
        <v>1</v>
      </c>
      <c r="J47" s="48"/>
      <c r="K47" s="48">
        <v>1</v>
      </c>
      <c r="L47" s="48"/>
      <c r="M47" s="48">
        <v>1</v>
      </c>
      <c r="N47" s="46"/>
      <c r="O47" s="48">
        <v>1</v>
      </c>
      <c r="P47" s="48">
        <v>1</v>
      </c>
      <c r="Q47" s="48"/>
      <c r="R47" s="48">
        <v>1</v>
      </c>
      <c r="S47" s="48"/>
      <c r="T47" s="48"/>
      <c r="U47" s="46"/>
      <c r="V47" s="48">
        <v>1</v>
      </c>
      <c r="W47" s="46"/>
      <c r="X47" s="48"/>
      <c r="Y47" s="48"/>
      <c r="Z47" s="48"/>
      <c r="AA47" s="48"/>
      <c r="AB47" s="46"/>
      <c r="AC47" s="48">
        <v>1</v>
      </c>
      <c r="AD47" s="46"/>
      <c r="AE47" s="48"/>
      <c r="AF47" s="48"/>
      <c r="AG47" s="48"/>
      <c r="AH47" s="13">
        <f t="shared" si="3"/>
        <v>9</v>
      </c>
      <c r="AI47" s="14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15" t="str">
        <f t="shared" si="4"/>
        <v>潘潘</v>
      </c>
      <c r="AK47" s="17"/>
    </row>
    <row r="48" spans="1:37" ht="18" customHeight="1">
      <c r="A48" s="9" t="s">
        <v>58</v>
      </c>
      <c r="B48" s="10" t="s">
        <v>63</v>
      </c>
      <c r="C48" s="48"/>
      <c r="D48" s="48"/>
      <c r="E48" s="48"/>
      <c r="F48" s="48"/>
      <c r="G48" s="46"/>
      <c r="H48" s="48">
        <v>1</v>
      </c>
      <c r="I48" s="48"/>
      <c r="J48" s="48"/>
      <c r="K48" s="48">
        <v>1</v>
      </c>
      <c r="L48" s="48"/>
      <c r="M48" s="48">
        <v>1</v>
      </c>
      <c r="N48" s="46"/>
      <c r="O48" s="48">
        <v>1</v>
      </c>
      <c r="P48" s="48"/>
      <c r="Q48" s="48"/>
      <c r="R48" s="48">
        <v>1</v>
      </c>
      <c r="S48" s="48"/>
      <c r="T48" s="48"/>
      <c r="U48" s="46"/>
      <c r="V48" s="48">
        <v>1</v>
      </c>
      <c r="W48" s="46"/>
      <c r="X48" s="48"/>
      <c r="Y48" s="48"/>
      <c r="Z48" s="48"/>
      <c r="AA48" s="48"/>
      <c r="AB48" s="46"/>
      <c r="AC48" s="48">
        <v>1</v>
      </c>
      <c r="AD48" s="46"/>
      <c r="AE48" s="48"/>
      <c r="AF48" s="48"/>
      <c r="AG48" s="48"/>
      <c r="AH48" s="13">
        <f t="shared" si="3"/>
        <v>7</v>
      </c>
      <c r="AI48" s="14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15" t="str">
        <f t="shared" si="4"/>
        <v>芒果</v>
      </c>
      <c r="AK48" s="17"/>
    </row>
    <row r="49" spans="1:37" ht="18" customHeight="1">
      <c r="A49" s="9" t="s">
        <v>58</v>
      </c>
      <c r="B49" s="10" t="s">
        <v>22</v>
      </c>
      <c r="C49" s="48">
        <v>1</v>
      </c>
      <c r="D49" s="48"/>
      <c r="E49" s="48"/>
      <c r="F49" s="48">
        <v>1</v>
      </c>
      <c r="G49" s="46"/>
      <c r="H49" s="48">
        <v>1</v>
      </c>
      <c r="I49" s="48">
        <v>1</v>
      </c>
      <c r="J49" s="48">
        <v>1</v>
      </c>
      <c r="K49" s="48">
        <v>1</v>
      </c>
      <c r="L49" s="48"/>
      <c r="M49" s="48">
        <v>1</v>
      </c>
      <c r="N49" s="46"/>
      <c r="O49" s="48"/>
      <c r="P49" s="48">
        <v>1</v>
      </c>
      <c r="Q49" s="48"/>
      <c r="R49" s="48">
        <v>1</v>
      </c>
      <c r="S49" s="48"/>
      <c r="T49" s="48"/>
      <c r="U49" s="46"/>
      <c r="V49" s="48">
        <v>1</v>
      </c>
      <c r="W49" s="46"/>
      <c r="X49" s="48"/>
      <c r="Y49" s="48"/>
      <c r="Z49" s="48">
        <v>1</v>
      </c>
      <c r="AA49" s="48"/>
      <c r="AB49" s="46"/>
      <c r="AC49" s="48"/>
      <c r="AD49" s="46"/>
      <c r="AE49" s="48"/>
      <c r="AF49" s="48"/>
      <c r="AG49" s="48"/>
      <c r="AH49" s="13">
        <f t="shared" si="3"/>
        <v>11</v>
      </c>
      <c r="AI49" s="14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15" t="str">
        <f t="shared" si="4"/>
        <v>Mars</v>
      </c>
      <c r="AK49" s="17"/>
    </row>
    <row r="50" spans="1:37" ht="18" customHeight="1">
      <c r="A50" s="9" t="s">
        <v>58</v>
      </c>
      <c r="B50" s="10" t="s">
        <v>59</v>
      </c>
      <c r="C50" s="11"/>
      <c r="D50" s="11"/>
      <c r="E50" s="11"/>
      <c r="F50" s="11"/>
      <c r="G50" s="2"/>
      <c r="H50" s="11"/>
      <c r="I50" s="11"/>
      <c r="J50" s="11"/>
      <c r="K50" s="11"/>
      <c r="L50" s="11"/>
      <c r="M50" s="11"/>
      <c r="N50" s="2"/>
      <c r="O50" s="11"/>
      <c r="P50" s="11"/>
      <c r="Q50" s="11"/>
      <c r="R50" s="11"/>
      <c r="S50" s="11"/>
      <c r="T50" s="11"/>
      <c r="U50" s="2"/>
      <c r="V50" s="11"/>
      <c r="W50" s="2"/>
      <c r="X50" s="11"/>
      <c r="Y50" s="11"/>
      <c r="Z50" s="11"/>
      <c r="AA50" s="11"/>
      <c r="AB50" s="2"/>
      <c r="AC50" s="11"/>
      <c r="AD50" s="2"/>
      <c r="AE50" s="11"/>
      <c r="AF50" s="11"/>
      <c r="AG50" s="11"/>
      <c r="AH50" s="13">
        <f t="shared" si="3"/>
        <v>0</v>
      </c>
      <c r="AI50" s="14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15" t="str">
        <f t="shared" si="4"/>
        <v>阿幹</v>
      </c>
      <c r="AK50" s="17"/>
    </row>
    <row r="51" spans="1:37" ht="18" customHeight="1">
      <c r="A51" s="9" t="s">
        <v>58</v>
      </c>
      <c r="B51" s="10" t="s">
        <v>27</v>
      </c>
      <c r="C51" s="11"/>
      <c r="D51" s="11"/>
      <c r="E51" s="11"/>
      <c r="F51" s="11"/>
      <c r="G51" s="2"/>
      <c r="H51" s="11"/>
      <c r="I51" s="11"/>
      <c r="J51" s="11"/>
      <c r="K51" s="11"/>
      <c r="L51" s="11"/>
      <c r="M51" s="11"/>
      <c r="N51" s="2"/>
      <c r="O51" s="11"/>
      <c r="P51" s="11"/>
      <c r="Q51" s="11"/>
      <c r="R51" s="11"/>
      <c r="S51" s="11"/>
      <c r="T51" s="11"/>
      <c r="U51" s="2"/>
      <c r="V51" s="11"/>
      <c r="W51" s="2"/>
      <c r="X51" s="11"/>
      <c r="Y51" s="11"/>
      <c r="Z51" s="11"/>
      <c r="AA51" s="11"/>
      <c r="AB51" s="2"/>
      <c r="AC51" s="11"/>
      <c r="AD51" s="2"/>
      <c r="AE51" s="11"/>
      <c r="AF51" s="11"/>
      <c r="AG51" s="11"/>
      <c r="AH51" s="13">
        <f t="shared" si="3"/>
        <v>0</v>
      </c>
      <c r="AI51" s="14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15" t="str">
        <f t="shared" si="4"/>
        <v>芋圓</v>
      </c>
      <c r="AK51" s="17"/>
    </row>
    <row r="52" spans="1:37" ht="18" customHeight="1">
      <c r="A52" s="9" t="s">
        <v>58</v>
      </c>
      <c r="B52" s="10" t="s">
        <v>28</v>
      </c>
      <c r="C52" s="11"/>
      <c r="D52" s="11"/>
      <c r="E52" s="11"/>
      <c r="F52" s="11">
        <v>1</v>
      </c>
      <c r="G52" s="2"/>
      <c r="H52" s="11"/>
      <c r="I52" s="11"/>
      <c r="J52" s="11">
        <v>1</v>
      </c>
      <c r="K52" s="11"/>
      <c r="L52" s="11"/>
      <c r="M52" s="11"/>
      <c r="N52" s="2"/>
      <c r="O52" s="11"/>
      <c r="P52" s="11"/>
      <c r="Q52" s="11"/>
      <c r="R52" s="11"/>
      <c r="S52" s="11"/>
      <c r="T52" s="11"/>
      <c r="U52" s="2"/>
      <c r="V52" s="11"/>
      <c r="W52" s="2"/>
      <c r="X52" s="11"/>
      <c r="Y52" s="11"/>
      <c r="Z52" s="11"/>
      <c r="AA52" s="11"/>
      <c r="AB52" s="2"/>
      <c r="AC52" s="11"/>
      <c r="AD52" s="2"/>
      <c r="AE52" s="11">
        <v>1</v>
      </c>
      <c r="AF52" s="11"/>
      <c r="AG52" s="11"/>
      <c r="AH52" s="13">
        <f t="shared" si="3"/>
        <v>3</v>
      </c>
      <c r="AI52" s="14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15" t="str">
        <f t="shared" si="4"/>
        <v>克勤</v>
      </c>
      <c r="AK52" s="17"/>
    </row>
    <row r="53" spans="1:37" ht="18" customHeight="1">
      <c r="A53" s="9" t="s">
        <v>58</v>
      </c>
      <c r="B53" s="10" t="s">
        <v>29</v>
      </c>
      <c r="C53" s="11"/>
      <c r="D53" s="11"/>
      <c r="E53" s="11"/>
      <c r="F53" s="11">
        <v>1</v>
      </c>
      <c r="G53" s="2"/>
      <c r="H53" s="11"/>
      <c r="I53" s="11"/>
      <c r="J53" s="11"/>
      <c r="K53" s="11"/>
      <c r="L53" s="11"/>
      <c r="M53" s="11">
        <v>1</v>
      </c>
      <c r="N53" s="2"/>
      <c r="O53" s="11"/>
      <c r="P53" s="11"/>
      <c r="Q53" s="11"/>
      <c r="R53" s="11"/>
      <c r="S53" s="11"/>
      <c r="T53" s="11"/>
      <c r="U53" s="2"/>
      <c r="V53" s="11"/>
      <c r="W53" s="2"/>
      <c r="X53" s="11"/>
      <c r="Y53" s="11"/>
      <c r="Z53" s="11">
        <v>1</v>
      </c>
      <c r="AA53" s="11"/>
      <c r="AB53" s="2"/>
      <c r="AC53" s="11"/>
      <c r="AD53" s="2"/>
      <c r="AE53" s="11"/>
      <c r="AF53" s="11">
        <v>1</v>
      </c>
      <c r="AG53" s="11"/>
      <c r="AH53" s="13">
        <f t="shared" si="3"/>
        <v>4</v>
      </c>
      <c r="AI53" s="14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15" t="str">
        <f t="shared" si="4"/>
        <v>大頭</v>
      </c>
      <c r="AK53" s="17"/>
    </row>
    <row r="54" spans="1:37" ht="18" customHeight="1">
      <c r="A54" s="9" t="s">
        <v>58</v>
      </c>
      <c r="B54" s="10" t="s">
        <v>66</v>
      </c>
      <c r="C54" s="11"/>
      <c r="D54" s="11"/>
      <c r="E54" s="11"/>
      <c r="F54" s="11"/>
      <c r="G54" s="2"/>
      <c r="H54" s="11"/>
      <c r="I54" s="11"/>
      <c r="J54" s="11"/>
      <c r="K54" s="11"/>
      <c r="L54" s="11"/>
      <c r="M54" s="11"/>
      <c r="N54" s="2"/>
      <c r="O54" s="11"/>
      <c r="P54" s="11"/>
      <c r="Q54" s="11"/>
      <c r="R54" s="11"/>
      <c r="S54" s="11"/>
      <c r="T54" s="11"/>
      <c r="U54" s="2"/>
      <c r="V54" s="11"/>
      <c r="W54" s="2"/>
      <c r="X54" s="11"/>
      <c r="Y54" s="11"/>
      <c r="Z54" s="11"/>
      <c r="AA54" s="11"/>
      <c r="AB54" s="2"/>
      <c r="AC54" s="11"/>
      <c r="AD54" s="2"/>
      <c r="AE54" s="11"/>
      <c r="AF54" s="11"/>
      <c r="AG54" s="11"/>
      <c r="AH54" s="13">
        <f t="shared" si="3"/>
        <v>0</v>
      </c>
      <c r="AI54" s="14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15" t="str">
        <f t="shared" si="4"/>
        <v>昆佑</v>
      </c>
      <c r="AK54" s="17"/>
    </row>
    <row r="55" spans="1:37" ht="18" customHeight="1">
      <c r="A55" s="9" t="s">
        <v>58</v>
      </c>
      <c r="B55" s="10" t="s">
        <v>68</v>
      </c>
      <c r="C55" s="11"/>
      <c r="D55" s="11"/>
      <c r="E55" s="11"/>
      <c r="F55" s="11"/>
      <c r="G55" s="2"/>
      <c r="H55" s="11"/>
      <c r="I55" s="11"/>
      <c r="J55" s="11"/>
      <c r="K55" s="11"/>
      <c r="L55" s="11"/>
      <c r="M55" s="11"/>
      <c r="N55" s="2"/>
      <c r="O55" s="11"/>
      <c r="P55" s="11"/>
      <c r="Q55" s="11"/>
      <c r="R55" s="11"/>
      <c r="S55" s="11"/>
      <c r="T55" s="11"/>
      <c r="U55" s="2"/>
      <c r="V55" s="11"/>
      <c r="W55" s="2"/>
      <c r="X55" s="11"/>
      <c r="Y55" s="11"/>
      <c r="Z55" s="11"/>
      <c r="AA55" s="11"/>
      <c r="AB55" s="2"/>
      <c r="AC55" s="11"/>
      <c r="AD55" s="2"/>
      <c r="AE55" s="11"/>
      <c r="AF55" s="11"/>
      <c r="AG55" s="11"/>
      <c r="AH55" s="13">
        <f t="shared" si="3"/>
        <v>0</v>
      </c>
      <c r="AI55" s="14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15" t="str">
        <f t="shared" si="4"/>
        <v>兔子</v>
      </c>
      <c r="AK55" s="17"/>
    </row>
    <row r="56" spans="1:37" ht="18" customHeight="1">
      <c r="A56" s="9" t="s">
        <v>58</v>
      </c>
      <c r="B56" s="10" t="s">
        <v>69</v>
      </c>
      <c r="C56" s="11"/>
      <c r="D56" s="11"/>
      <c r="E56" s="11"/>
      <c r="F56" s="11"/>
      <c r="G56" s="2"/>
      <c r="H56" s="11"/>
      <c r="I56" s="11"/>
      <c r="J56" s="11"/>
      <c r="K56" s="11"/>
      <c r="L56" s="11"/>
      <c r="M56" s="11"/>
      <c r="N56" s="2"/>
      <c r="O56" s="11"/>
      <c r="P56" s="11"/>
      <c r="Q56" s="11"/>
      <c r="R56" s="11"/>
      <c r="S56" s="11"/>
      <c r="T56" s="11"/>
      <c r="U56" s="2"/>
      <c r="V56" s="11"/>
      <c r="W56" s="2"/>
      <c r="X56" s="11"/>
      <c r="Y56" s="11"/>
      <c r="Z56" s="11"/>
      <c r="AA56" s="11"/>
      <c r="AB56" s="2"/>
      <c r="AC56" s="11"/>
      <c r="AD56" s="2"/>
      <c r="AE56" s="11"/>
      <c r="AF56" s="11"/>
      <c r="AG56" s="11"/>
      <c r="AH56" s="13">
        <f t="shared" si="3"/>
        <v>0</v>
      </c>
      <c r="AI56" s="14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15" t="str">
        <f t="shared" si="4"/>
        <v>小馬</v>
      </c>
      <c r="AK56" s="17"/>
    </row>
    <row r="57" spans="1:37" ht="18" customHeight="1">
      <c r="A57" s="9" t="s">
        <v>58</v>
      </c>
      <c r="B57" s="10" t="s">
        <v>70</v>
      </c>
      <c r="C57" s="11"/>
      <c r="D57" s="11"/>
      <c r="E57" s="11"/>
      <c r="F57" s="11"/>
      <c r="G57" s="2"/>
      <c r="H57" s="11"/>
      <c r="I57" s="11"/>
      <c r="J57" s="11"/>
      <c r="K57" s="11"/>
      <c r="L57" s="11"/>
      <c r="M57" s="11"/>
      <c r="N57" s="2"/>
      <c r="O57" s="11"/>
      <c r="P57" s="11"/>
      <c r="Q57" s="11"/>
      <c r="R57" s="11"/>
      <c r="S57" s="11"/>
      <c r="T57" s="11"/>
      <c r="U57" s="2"/>
      <c r="V57" s="11"/>
      <c r="W57" s="2"/>
      <c r="X57" s="11"/>
      <c r="Y57" s="11"/>
      <c r="Z57" s="11"/>
      <c r="AA57" s="11"/>
      <c r="AB57" s="2"/>
      <c r="AC57" s="11"/>
      <c r="AD57" s="2"/>
      <c r="AE57" s="11"/>
      <c r="AF57" s="11"/>
      <c r="AG57" s="11"/>
      <c r="AH57" s="13">
        <f t="shared" si="3"/>
        <v>0</v>
      </c>
      <c r="AI57" s="14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15" t="str">
        <f t="shared" si="4"/>
        <v>Allen</v>
      </c>
      <c r="AK57" s="17"/>
    </row>
    <row r="58" spans="1:37" ht="18" customHeight="1">
      <c r="A58" s="9" t="s">
        <v>58</v>
      </c>
      <c r="B58" s="10" t="s">
        <v>71</v>
      </c>
      <c r="C58" s="11"/>
      <c r="D58" s="11"/>
      <c r="E58" s="11"/>
      <c r="F58" s="11"/>
      <c r="G58" s="2"/>
      <c r="H58" s="11"/>
      <c r="I58" s="11"/>
      <c r="J58" s="11"/>
      <c r="K58" s="11"/>
      <c r="L58" s="11"/>
      <c r="M58" s="11"/>
      <c r="N58" s="2"/>
      <c r="O58" s="11"/>
      <c r="P58" s="11"/>
      <c r="Q58" s="11"/>
      <c r="R58" s="11"/>
      <c r="S58" s="11"/>
      <c r="T58" s="11"/>
      <c r="U58" s="2"/>
      <c r="V58" s="11"/>
      <c r="W58" s="2"/>
      <c r="X58" s="11"/>
      <c r="Y58" s="11"/>
      <c r="Z58" s="11"/>
      <c r="AA58" s="11"/>
      <c r="AB58" s="2"/>
      <c r="AC58" s="11"/>
      <c r="AD58" s="2"/>
      <c r="AE58" s="11"/>
      <c r="AF58" s="11"/>
      <c r="AG58" s="11"/>
      <c r="AH58" s="13">
        <f t="shared" si="3"/>
        <v>0</v>
      </c>
      <c r="AI58" s="14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15" t="str">
        <f t="shared" si="4"/>
        <v>嘴嘴</v>
      </c>
      <c r="AK58" s="17"/>
    </row>
    <row r="59" spans="1:37" ht="18" customHeight="1">
      <c r="A59" s="9" t="s">
        <v>58</v>
      </c>
      <c r="B59" s="10" t="s">
        <v>74</v>
      </c>
      <c r="C59" s="11"/>
      <c r="D59" s="11"/>
      <c r="E59" s="11"/>
      <c r="F59" s="11"/>
      <c r="G59" s="2"/>
      <c r="H59" s="11"/>
      <c r="I59" s="11"/>
      <c r="J59" s="11"/>
      <c r="K59" s="11"/>
      <c r="L59" s="11"/>
      <c r="M59" s="11"/>
      <c r="N59" s="2"/>
      <c r="O59" s="11"/>
      <c r="P59" s="11"/>
      <c r="Q59" s="11"/>
      <c r="R59" s="11"/>
      <c r="S59" s="11"/>
      <c r="T59" s="11"/>
      <c r="U59" s="2"/>
      <c r="V59" s="11"/>
      <c r="W59" s="2"/>
      <c r="X59" s="11"/>
      <c r="Y59" s="11"/>
      <c r="Z59" s="11"/>
      <c r="AA59" s="11"/>
      <c r="AB59" s="2"/>
      <c r="AC59" s="11"/>
      <c r="AD59" s="2"/>
      <c r="AE59" s="11"/>
      <c r="AF59" s="48"/>
      <c r="AG59" s="48"/>
      <c r="AH59" s="13">
        <f t="shared" si="3"/>
        <v>0</v>
      </c>
      <c r="AI59" s="14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15" t="str">
        <f t="shared" si="4"/>
        <v>蘆葦</v>
      </c>
      <c r="AK59" s="17"/>
    </row>
    <row r="60" spans="1:37" ht="18" customHeight="1">
      <c r="A60" s="9" t="s">
        <v>58</v>
      </c>
      <c r="B60" s="10" t="s">
        <v>30</v>
      </c>
      <c r="C60" s="11"/>
      <c r="D60" s="11"/>
      <c r="E60" s="11">
        <v>1</v>
      </c>
      <c r="F60" s="11"/>
      <c r="G60" s="2"/>
      <c r="H60" s="11"/>
      <c r="I60" s="11"/>
      <c r="J60" s="11"/>
      <c r="K60" s="11"/>
      <c r="L60" s="11"/>
      <c r="M60" s="11"/>
      <c r="N60" s="2"/>
      <c r="O60" s="11"/>
      <c r="P60" s="11"/>
      <c r="Q60" s="11"/>
      <c r="R60" s="11"/>
      <c r="S60" s="11"/>
      <c r="T60" s="11"/>
      <c r="U60" s="2"/>
      <c r="V60" s="11"/>
      <c r="W60" s="2"/>
      <c r="X60" s="11"/>
      <c r="Y60" s="11"/>
      <c r="Z60" s="11"/>
      <c r="AA60" s="11"/>
      <c r="AB60" s="2"/>
      <c r="AC60" s="11"/>
      <c r="AD60" s="2"/>
      <c r="AE60" s="11"/>
      <c r="AF60" s="11"/>
      <c r="AG60" s="11"/>
      <c r="AH60" s="13">
        <f t="shared" si="3"/>
        <v>1</v>
      </c>
      <c r="AI60" s="14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15" t="str">
        <f t="shared" si="4"/>
        <v>鯰魚</v>
      </c>
      <c r="AK60" s="17"/>
    </row>
    <row r="61" spans="1:37" ht="18" customHeight="1">
      <c r="A61" s="9" t="s">
        <v>58</v>
      </c>
      <c r="B61" s="10" t="s">
        <v>31</v>
      </c>
      <c r="C61" s="11"/>
      <c r="D61" s="11"/>
      <c r="E61" s="11"/>
      <c r="F61" s="11"/>
      <c r="G61" s="2"/>
      <c r="H61" s="11"/>
      <c r="I61" s="11"/>
      <c r="J61" s="11"/>
      <c r="K61" s="11"/>
      <c r="L61" s="11"/>
      <c r="M61" s="11"/>
      <c r="N61" s="2"/>
      <c r="O61" s="11"/>
      <c r="P61" s="11"/>
      <c r="Q61" s="11"/>
      <c r="R61" s="11"/>
      <c r="S61" s="11"/>
      <c r="T61" s="11"/>
      <c r="U61" s="2"/>
      <c r="V61" s="11"/>
      <c r="W61" s="2"/>
      <c r="X61" s="11"/>
      <c r="Y61" s="11"/>
      <c r="Z61" s="11">
        <v>1</v>
      </c>
      <c r="AA61" s="11"/>
      <c r="AB61" s="2"/>
      <c r="AC61" s="11"/>
      <c r="AD61" s="2"/>
      <c r="AE61" s="11"/>
      <c r="AF61" s="11"/>
      <c r="AG61" s="11"/>
      <c r="AH61" s="13">
        <f t="shared" si="3"/>
        <v>1</v>
      </c>
      <c r="AI61" s="14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15" t="str">
        <f t="shared" si="4"/>
        <v>阿美</v>
      </c>
      <c r="AK61" s="17"/>
    </row>
    <row r="62" spans="1:37" ht="18" customHeight="1">
      <c r="A62" s="9" t="s">
        <v>58</v>
      </c>
      <c r="B62" s="10" t="s">
        <v>73</v>
      </c>
      <c r="C62" s="11"/>
      <c r="D62" s="11"/>
      <c r="E62" s="11"/>
      <c r="F62" s="11"/>
      <c r="G62" s="2"/>
      <c r="H62" s="11"/>
      <c r="I62" s="11"/>
      <c r="J62" s="11"/>
      <c r="K62" s="11"/>
      <c r="L62" s="11"/>
      <c r="M62" s="11"/>
      <c r="N62" s="2"/>
      <c r="O62" s="11"/>
      <c r="P62" s="11"/>
      <c r="Q62" s="11"/>
      <c r="R62" s="11"/>
      <c r="S62" s="11"/>
      <c r="T62" s="11"/>
      <c r="U62" s="2"/>
      <c r="V62" s="11"/>
      <c r="W62" s="2"/>
      <c r="X62" s="11"/>
      <c r="Y62" s="11"/>
      <c r="Z62" s="11"/>
      <c r="AA62" s="11"/>
      <c r="AB62" s="2"/>
      <c r="AC62" s="11"/>
      <c r="AD62" s="2"/>
      <c r="AE62" s="11"/>
      <c r="AF62" s="11"/>
      <c r="AG62" s="11"/>
      <c r="AH62" s="13">
        <f t="shared" si="3"/>
        <v>0</v>
      </c>
      <c r="AI62" s="14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15" t="str">
        <f t="shared" si="4"/>
        <v>冠軍</v>
      </c>
      <c r="AK62" s="17"/>
    </row>
    <row r="63" spans="1:37" ht="18" customHeight="1">
      <c r="A63" s="9" t="s">
        <v>58</v>
      </c>
      <c r="B63" s="10" t="s">
        <v>26</v>
      </c>
      <c r="C63" s="11"/>
      <c r="D63" s="11"/>
      <c r="E63" s="11"/>
      <c r="F63" s="11"/>
      <c r="G63" s="2"/>
      <c r="H63" s="11"/>
      <c r="I63" s="11"/>
      <c r="J63" s="11"/>
      <c r="K63" s="11"/>
      <c r="L63" s="11"/>
      <c r="M63" s="11"/>
      <c r="N63" s="2"/>
      <c r="O63" s="11"/>
      <c r="P63" s="11"/>
      <c r="Q63" s="11"/>
      <c r="R63" s="11">
        <v>1</v>
      </c>
      <c r="S63" s="11"/>
      <c r="T63" s="11"/>
      <c r="U63" s="2"/>
      <c r="V63" s="11"/>
      <c r="W63" s="2"/>
      <c r="X63" s="11"/>
      <c r="Y63" s="11"/>
      <c r="Z63" s="11"/>
      <c r="AA63" s="11"/>
      <c r="AB63" s="2"/>
      <c r="AC63" s="11"/>
      <c r="AD63" s="2"/>
      <c r="AE63" s="11"/>
      <c r="AF63" s="11"/>
      <c r="AG63" s="11"/>
      <c r="AH63" s="13">
        <f t="shared" si="3"/>
        <v>1</v>
      </c>
      <c r="AI63" s="14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15" t="str">
        <f t="shared" si="4"/>
        <v>曉強</v>
      </c>
      <c r="AK63" s="17"/>
    </row>
    <row r="64" spans="1:37" ht="18" customHeight="1">
      <c r="A64" s="9" t="s">
        <v>58</v>
      </c>
      <c r="B64" s="10" t="s">
        <v>198</v>
      </c>
      <c r="C64" s="11"/>
      <c r="D64" s="11"/>
      <c r="E64" s="11"/>
      <c r="F64" s="11"/>
      <c r="G64" s="2"/>
      <c r="H64" s="11"/>
      <c r="I64" s="11"/>
      <c r="J64" s="11"/>
      <c r="K64" s="11"/>
      <c r="L64" s="11"/>
      <c r="M64" s="11"/>
      <c r="N64" s="2"/>
      <c r="O64" s="11"/>
      <c r="P64" s="11"/>
      <c r="Q64" s="11"/>
      <c r="R64" s="11"/>
      <c r="S64" s="11"/>
      <c r="T64" s="11"/>
      <c r="U64" s="2"/>
      <c r="V64" s="11"/>
      <c r="W64" s="2"/>
      <c r="X64" s="11"/>
      <c r="Y64" s="11"/>
      <c r="Z64" s="11"/>
      <c r="AA64" s="11"/>
      <c r="AB64" s="2"/>
      <c r="AC64" s="11"/>
      <c r="AD64" s="2"/>
      <c r="AE64" s="11"/>
      <c r="AF64" s="11">
        <v>1</v>
      </c>
      <c r="AG64" s="11"/>
      <c r="AH64" s="13">
        <f t="shared" si="3"/>
        <v>1</v>
      </c>
      <c r="AI64" s="14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15" t="str">
        <f t="shared" si="4"/>
        <v>郁翔</v>
      </c>
      <c r="AK64" s="17"/>
    </row>
    <row r="65" spans="1:37" ht="18" customHeight="1">
      <c r="A65" s="9" t="s">
        <v>58</v>
      </c>
      <c r="B65" s="10" t="s">
        <v>67</v>
      </c>
      <c r="C65" s="11"/>
      <c r="D65" s="11"/>
      <c r="E65" s="11"/>
      <c r="F65" s="11"/>
      <c r="G65" s="2"/>
      <c r="H65" s="11"/>
      <c r="I65" s="11"/>
      <c r="J65" s="11"/>
      <c r="K65" s="11"/>
      <c r="L65" s="11"/>
      <c r="M65" s="11"/>
      <c r="N65" s="2"/>
      <c r="O65" s="11"/>
      <c r="P65" s="11"/>
      <c r="Q65" s="11"/>
      <c r="R65" s="11"/>
      <c r="S65" s="11"/>
      <c r="T65" s="11"/>
      <c r="U65" s="2"/>
      <c r="V65" s="11"/>
      <c r="W65" s="2"/>
      <c r="X65" s="11"/>
      <c r="Y65" s="11"/>
      <c r="Z65" s="11"/>
      <c r="AA65" s="11"/>
      <c r="AB65" s="2"/>
      <c r="AC65" s="11"/>
      <c r="AD65" s="2"/>
      <c r="AE65" s="11"/>
      <c r="AF65" s="11"/>
      <c r="AG65" s="11"/>
      <c r="AH65" s="13">
        <f t="shared" si="3"/>
        <v>0</v>
      </c>
      <c r="AI65" s="14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15" t="str">
        <f t="shared" si="4"/>
        <v>歐吉</v>
      </c>
      <c r="AK65" s="17"/>
    </row>
    <row r="66" spans="1:37" ht="18" customHeight="1">
      <c r="A66" s="9" t="s">
        <v>58</v>
      </c>
      <c r="B66" s="10" t="s">
        <v>65</v>
      </c>
      <c r="C66" s="11"/>
      <c r="D66" s="11"/>
      <c r="E66" s="11"/>
      <c r="F66" s="11"/>
      <c r="G66" s="2"/>
      <c r="H66" s="11"/>
      <c r="I66" s="11"/>
      <c r="J66" s="11"/>
      <c r="K66" s="11"/>
      <c r="L66" s="11"/>
      <c r="M66" s="11"/>
      <c r="N66" s="2"/>
      <c r="O66" s="11"/>
      <c r="P66" s="11"/>
      <c r="Q66" s="11"/>
      <c r="R66" s="11"/>
      <c r="S66" s="11"/>
      <c r="T66" s="11"/>
      <c r="U66" s="2"/>
      <c r="V66" s="11"/>
      <c r="W66" s="2"/>
      <c r="X66" s="11"/>
      <c r="Y66" s="11"/>
      <c r="Z66" s="11"/>
      <c r="AA66" s="11"/>
      <c r="AB66" s="2"/>
      <c r="AC66" s="11"/>
      <c r="AD66" s="2"/>
      <c r="AE66" s="11"/>
      <c r="AF66" s="11"/>
      <c r="AG66" s="11"/>
      <c r="AH66" s="13">
        <f t="shared" si="3"/>
        <v>0</v>
      </c>
      <c r="AI66" s="14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15" t="str">
        <f t="shared" si="4"/>
        <v>文淵</v>
      </c>
      <c r="AK66" s="17"/>
    </row>
    <row r="67" spans="1:37" ht="18" customHeight="1">
      <c r="A67" s="9" t="s">
        <v>58</v>
      </c>
      <c r="B67" s="10" t="s">
        <v>75</v>
      </c>
      <c r="C67" s="11"/>
      <c r="D67" s="11"/>
      <c r="E67" s="11"/>
      <c r="F67" s="11"/>
      <c r="G67" s="2"/>
      <c r="H67" s="11"/>
      <c r="I67" s="11"/>
      <c r="J67" s="11"/>
      <c r="K67" s="11"/>
      <c r="L67" s="11"/>
      <c r="M67" s="11"/>
      <c r="N67" s="2"/>
      <c r="O67" s="11"/>
      <c r="P67" s="11"/>
      <c r="Q67" s="11"/>
      <c r="R67" s="11"/>
      <c r="S67" s="11"/>
      <c r="T67" s="11"/>
      <c r="U67" s="2"/>
      <c r="V67" s="11"/>
      <c r="W67" s="2"/>
      <c r="X67" s="11"/>
      <c r="Y67" s="11"/>
      <c r="Z67" s="11"/>
      <c r="AA67" s="11"/>
      <c r="AB67" s="2"/>
      <c r="AC67" s="11"/>
      <c r="AD67" s="2"/>
      <c r="AE67" s="11"/>
      <c r="AF67" s="11"/>
      <c r="AG67" s="11"/>
      <c r="AH67" s="13">
        <f t="shared" si="3"/>
        <v>0</v>
      </c>
      <c r="AI67" s="14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15" t="str">
        <f t="shared" si="4"/>
        <v>叮噹</v>
      </c>
      <c r="AK67" s="17"/>
    </row>
    <row r="68" spans="1:37" ht="18" customHeight="1">
      <c r="A68" s="9" t="s">
        <v>58</v>
      </c>
      <c r="B68" s="10" t="s">
        <v>76</v>
      </c>
      <c r="C68" s="11"/>
      <c r="D68" s="11"/>
      <c r="E68" s="11"/>
      <c r="F68" s="11"/>
      <c r="G68" s="2"/>
      <c r="H68" s="11"/>
      <c r="I68" s="11"/>
      <c r="J68" s="11"/>
      <c r="K68" s="11"/>
      <c r="L68" s="11"/>
      <c r="M68" s="11"/>
      <c r="N68" s="2"/>
      <c r="O68" s="11"/>
      <c r="P68" s="11"/>
      <c r="Q68" s="11"/>
      <c r="R68" s="11"/>
      <c r="S68" s="11"/>
      <c r="T68" s="11"/>
      <c r="U68" s="2"/>
      <c r="V68" s="11"/>
      <c r="W68" s="2"/>
      <c r="X68" s="11"/>
      <c r="Y68" s="11"/>
      <c r="Z68" s="11"/>
      <c r="AA68" s="11"/>
      <c r="AB68" s="2"/>
      <c r="AC68" s="11"/>
      <c r="AD68" s="2"/>
      <c r="AE68" s="11"/>
      <c r="AF68" s="11"/>
      <c r="AG68" s="11"/>
      <c r="AH68" s="13">
        <f t="shared" ref="AH68:AH99" si="5">COUNTA(C68:AG68)</f>
        <v>0</v>
      </c>
      <c r="AI68" s="14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15" t="str">
        <f t="shared" ref="AJ68:AJ99" si="6">B68</f>
        <v>肥肥</v>
      </c>
      <c r="AK68" s="17"/>
    </row>
    <row r="69" spans="1:37" ht="18" customHeight="1">
      <c r="A69" s="9" t="s">
        <v>58</v>
      </c>
      <c r="B69" s="10" t="s">
        <v>77</v>
      </c>
      <c r="C69" s="11"/>
      <c r="D69" s="11"/>
      <c r="E69" s="11"/>
      <c r="F69" s="11"/>
      <c r="G69" s="2"/>
      <c r="H69" s="11"/>
      <c r="I69" s="11"/>
      <c r="J69" s="11"/>
      <c r="K69" s="11"/>
      <c r="L69" s="11"/>
      <c r="M69" s="11"/>
      <c r="N69" s="2"/>
      <c r="O69" s="11"/>
      <c r="P69" s="11"/>
      <c r="Q69" s="11"/>
      <c r="R69" s="11"/>
      <c r="S69" s="11"/>
      <c r="T69" s="11"/>
      <c r="U69" s="2"/>
      <c r="V69" s="11"/>
      <c r="W69" s="2"/>
      <c r="X69" s="11"/>
      <c r="Y69" s="11"/>
      <c r="Z69" s="11"/>
      <c r="AA69" s="11"/>
      <c r="AB69" s="2"/>
      <c r="AC69" s="11"/>
      <c r="AD69" s="2"/>
      <c r="AE69" s="11"/>
      <c r="AF69" s="11"/>
      <c r="AG69" s="11"/>
      <c r="AH69" s="13">
        <f t="shared" si="5"/>
        <v>0</v>
      </c>
      <c r="AI69" s="14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15" t="str">
        <f t="shared" si="6"/>
        <v>小夫</v>
      </c>
      <c r="AK69" s="17"/>
    </row>
    <row r="70" spans="1:37" ht="18" customHeight="1">
      <c r="A70" s="9" t="s">
        <v>58</v>
      </c>
      <c r="B70" s="10" t="s">
        <v>78</v>
      </c>
      <c r="C70" s="11"/>
      <c r="D70" s="11"/>
      <c r="E70" s="11"/>
      <c r="F70" s="11"/>
      <c r="G70" s="2"/>
      <c r="H70" s="11"/>
      <c r="I70" s="11"/>
      <c r="J70" s="11"/>
      <c r="K70" s="11"/>
      <c r="L70" s="11"/>
      <c r="M70" s="11"/>
      <c r="N70" s="2"/>
      <c r="O70" s="11"/>
      <c r="P70" s="11"/>
      <c r="Q70" s="11"/>
      <c r="R70" s="11"/>
      <c r="S70" s="11"/>
      <c r="T70" s="11"/>
      <c r="U70" s="2"/>
      <c r="V70" s="11"/>
      <c r="W70" s="2"/>
      <c r="X70" s="11"/>
      <c r="Y70" s="11"/>
      <c r="Z70" s="11"/>
      <c r="AA70" s="11"/>
      <c r="AB70" s="2"/>
      <c r="AC70" s="11"/>
      <c r="AD70" s="2"/>
      <c r="AE70" s="11"/>
      <c r="AF70" s="11"/>
      <c r="AG70" s="11"/>
      <c r="AH70" s="13">
        <f t="shared" si="5"/>
        <v>0</v>
      </c>
      <c r="AI70" s="14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15" t="str">
        <f t="shared" si="6"/>
        <v>小邱</v>
      </c>
      <c r="AK70" s="17"/>
    </row>
    <row r="71" spans="1:37" ht="18" customHeight="1">
      <c r="A71" s="9" t="s">
        <v>58</v>
      </c>
      <c r="B71" s="10" t="s">
        <v>79</v>
      </c>
      <c r="C71" s="11"/>
      <c r="D71" s="11"/>
      <c r="E71" s="11"/>
      <c r="F71" s="11"/>
      <c r="G71" s="2"/>
      <c r="H71" s="11"/>
      <c r="I71" s="11"/>
      <c r="J71" s="11"/>
      <c r="K71" s="11"/>
      <c r="L71" s="11"/>
      <c r="M71" s="11"/>
      <c r="N71" s="2"/>
      <c r="O71" s="11"/>
      <c r="P71" s="11"/>
      <c r="Q71" s="11"/>
      <c r="R71" s="11"/>
      <c r="S71" s="11"/>
      <c r="T71" s="11"/>
      <c r="U71" s="2"/>
      <c r="V71" s="11"/>
      <c r="W71" s="2"/>
      <c r="X71" s="11"/>
      <c r="Y71" s="11"/>
      <c r="Z71" s="11"/>
      <c r="AA71" s="11"/>
      <c r="AB71" s="2"/>
      <c r="AC71" s="11"/>
      <c r="AD71" s="2"/>
      <c r="AE71" s="11"/>
      <c r="AF71" s="11"/>
      <c r="AG71" s="11"/>
      <c r="AH71" s="13">
        <f t="shared" si="5"/>
        <v>0</v>
      </c>
      <c r="AI71" s="14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15" t="str">
        <f t="shared" si="6"/>
        <v>淳淳</v>
      </c>
      <c r="AK71" s="17"/>
    </row>
    <row r="72" spans="1:37" ht="18" customHeight="1">
      <c r="A72" s="9" t="s">
        <v>58</v>
      </c>
      <c r="B72" s="10" t="s">
        <v>80</v>
      </c>
      <c r="C72" s="11"/>
      <c r="D72" s="11"/>
      <c r="E72" s="11"/>
      <c r="F72" s="11"/>
      <c r="G72" s="2"/>
      <c r="H72" s="11"/>
      <c r="I72" s="11"/>
      <c r="J72" s="11"/>
      <c r="K72" s="11"/>
      <c r="L72" s="11"/>
      <c r="M72" s="11"/>
      <c r="N72" s="2"/>
      <c r="O72" s="11"/>
      <c r="P72" s="11"/>
      <c r="Q72" s="11"/>
      <c r="R72" s="11"/>
      <c r="S72" s="11"/>
      <c r="T72" s="11"/>
      <c r="U72" s="2"/>
      <c r="V72" s="11"/>
      <c r="W72" s="2"/>
      <c r="X72" s="11"/>
      <c r="Y72" s="11"/>
      <c r="Z72" s="11"/>
      <c r="AA72" s="11"/>
      <c r="AB72" s="2"/>
      <c r="AC72" s="11"/>
      <c r="AD72" s="2"/>
      <c r="AE72" s="11"/>
      <c r="AF72" s="11"/>
      <c r="AG72" s="11"/>
      <c r="AH72" s="13">
        <f t="shared" si="5"/>
        <v>0</v>
      </c>
      <c r="AI72" s="14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15" t="str">
        <f t="shared" si="6"/>
        <v>禿鷹</v>
      </c>
      <c r="AK72" s="17"/>
    </row>
    <row r="73" spans="1:37" ht="18" customHeight="1">
      <c r="A73" s="9" t="s">
        <v>58</v>
      </c>
      <c r="B73" s="10" t="s">
        <v>81</v>
      </c>
      <c r="C73" s="11"/>
      <c r="D73" s="11"/>
      <c r="E73" s="11"/>
      <c r="F73" s="11"/>
      <c r="G73" s="2"/>
      <c r="H73" s="11"/>
      <c r="I73" s="11"/>
      <c r="J73" s="11"/>
      <c r="K73" s="11"/>
      <c r="L73" s="11"/>
      <c r="M73" s="11"/>
      <c r="N73" s="2"/>
      <c r="O73" s="11"/>
      <c r="P73" s="11"/>
      <c r="Q73" s="11"/>
      <c r="R73" s="11"/>
      <c r="S73" s="11"/>
      <c r="T73" s="11"/>
      <c r="U73" s="2"/>
      <c r="V73" s="11"/>
      <c r="W73" s="2"/>
      <c r="X73" s="11"/>
      <c r="Y73" s="11"/>
      <c r="Z73" s="11"/>
      <c r="AA73" s="11"/>
      <c r="AB73" s="2"/>
      <c r="AC73" s="11"/>
      <c r="AD73" s="2"/>
      <c r="AE73" s="11"/>
      <c r="AF73" s="11"/>
      <c r="AG73" s="11"/>
      <c r="AH73" s="13">
        <f t="shared" si="5"/>
        <v>0</v>
      </c>
      <c r="AI73" s="14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15" t="str">
        <f t="shared" si="6"/>
        <v>王宏</v>
      </c>
      <c r="AK73" s="17"/>
    </row>
    <row r="74" spans="1:37" ht="18" customHeight="1">
      <c r="A74" s="9" t="s">
        <v>58</v>
      </c>
      <c r="B74" s="10" t="s">
        <v>82</v>
      </c>
      <c r="C74" s="11"/>
      <c r="D74" s="11"/>
      <c r="E74" s="11"/>
      <c r="F74" s="11"/>
      <c r="G74" s="2"/>
      <c r="H74" s="11"/>
      <c r="I74" s="11"/>
      <c r="J74" s="11"/>
      <c r="K74" s="11"/>
      <c r="L74" s="11"/>
      <c r="M74" s="11"/>
      <c r="N74" s="2"/>
      <c r="O74" s="11"/>
      <c r="P74" s="11"/>
      <c r="Q74" s="11"/>
      <c r="R74" s="11"/>
      <c r="S74" s="11"/>
      <c r="T74" s="11"/>
      <c r="U74" s="2"/>
      <c r="V74" s="11"/>
      <c r="W74" s="2"/>
      <c r="X74" s="11"/>
      <c r="Y74" s="11"/>
      <c r="Z74" s="11"/>
      <c r="AA74" s="11"/>
      <c r="AB74" s="2"/>
      <c r="AC74" s="11"/>
      <c r="AD74" s="2"/>
      <c r="AE74" s="11"/>
      <c r="AF74" s="11"/>
      <c r="AG74" s="11"/>
      <c r="AH74" s="13">
        <f t="shared" si="5"/>
        <v>0</v>
      </c>
      <c r="AI74" s="14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15" t="str">
        <f t="shared" si="6"/>
        <v>犀牛</v>
      </c>
      <c r="AK74" s="17"/>
    </row>
    <row r="75" spans="1:37" ht="18" customHeight="1">
      <c r="A75" s="9" t="s">
        <v>58</v>
      </c>
      <c r="B75" s="10" t="s">
        <v>83</v>
      </c>
      <c r="C75" s="11"/>
      <c r="D75" s="11"/>
      <c r="E75" s="11"/>
      <c r="F75" s="11"/>
      <c r="G75" s="2"/>
      <c r="H75" s="11"/>
      <c r="I75" s="11"/>
      <c r="J75" s="11"/>
      <c r="K75" s="11"/>
      <c r="L75" s="11"/>
      <c r="M75" s="11"/>
      <c r="N75" s="2"/>
      <c r="O75" s="11"/>
      <c r="P75" s="11"/>
      <c r="Q75" s="11"/>
      <c r="R75" s="11"/>
      <c r="S75" s="11"/>
      <c r="T75" s="11"/>
      <c r="U75" s="2"/>
      <c r="V75" s="11"/>
      <c r="W75" s="2"/>
      <c r="X75" s="11"/>
      <c r="Y75" s="11"/>
      <c r="Z75" s="11"/>
      <c r="AA75" s="11"/>
      <c r="AB75" s="2"/>
      <c r="AC75" s="11"/>
      <c r="AD75" s="2"/>
      <c r="AE75" s="11"/>
      <c r="AF75" s="11">
        <v>1</v>
      </c>
      <c r="AG75" s="11"/>
      <c r="AH75" s="13">
        <f t="shared" si="5"/>
        <v>1</v>
      </c>
      <c r="AI75" s="14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15" t="str">
        <f t="shared" si="6"/>
        <v>來福</v>
      </c>
      <c r="AK75" s="17"/>
    </row>
    <row r="76" spans="1:37" ht="18" customHeight="1">
      <c r="A76" s="9" t="s">
        <v>58</v>
      </c>
      <c r="B76" s="10" t="s">
        <v>84</v>
      </c>
      <c r="C76" s="11"/>
      <c r="D76" s="11"/>
      <c r="E76" s="11"/>
      <c r="F76" s="11"/>
      <c r="G76" s="2"/>
      <c r="H76" s="11"/>
      <c r="I76" s="11"/>
      <c r="J76" s="11"/>
      <c r="K76" s="11"/>
      <c r="L76" s="11"/>
      <c r="M76" s="11"/>
      <c r="N76" s="2"/>
      <c r="O76" s="11"/>
      <c r="P76" s="11"/>
      <c r="Q76" s="11"/>
      <c r="R76" s="11"/>
      <c r="S76" s="11"/>
      <c r="T76" s="11"/>
      <c r="U76" s="2"/>
      <c r="V76" s="11"/>
      <c r="W76" s="2"/>
      <c r="X76" s="11"/>
      <c r="Y76" s="11"/>
      <c r="Z76" s="11"/>
      <c r="AA76" s="11"/>
      <c r="AB76" s="2"/>
      <c r="AC76" s="11"/>
      <c r="AD76" s="2"/>
      <c r="AE76" s="11"/>
      <c r="AF76" s="11"/>
      <c r="AG76" s="11"/>
      <c r="AH76" s="13">
        <f t="shared" si="5"/>
        <v>0</v>
      </c>
      <c r="AI76" s="14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15" t="str">
        <f t="shared" si="6"/>
        <v>誌誌</v>
      </c>
      <c r="AK76" s="17"/>
    </row>
    <row r="77" spans="1:37" ht="18" customHeight="1">
      <c r="A77" s="9" t="s">
        <v>58</v>
      </c>
      <c r="B77" s="10" t="s">
        <v>86</v>
      </c>
      <c r="C77" s="11"/>
      <c r="D77" s="11"/>
      <c r="E77" s="11"/>
      <c r="F77" s="11"/>
      <c r="G77" s="2"/>
      <c r="H77" s="11"/>
      <c r="I77" s="11"/>
      <c r="J77" s="11"/>
      <c r="K77" s="11"/>
      <c r="L77" s="11"/>
      <c r="M77" s="11"/>
      <c r="N77" s="2"/>
      <c r="O77" s="11"/>
      <c r="P77" s="11"/>
      <c r="Q77" s="11"/>
      <c r="R77" s="11"/>
      <c r="S77" s="11"/>
      <c r="T77" s="11"/>
      <c r="U77" s="2"/>
      <c r="V77" s="11"/>
      <c r="W77" s="2"/>
      <c r="X77" s="11"/>
      <c r="Y77" s="11"/>
      <c r="Z77" s="11"/>
      <c r="AA77" s="11"/>
      <c r="AB77" s="2"/>
      <c r="AC77" s="11"/>
      <c r="AD77" s="2"/>
      <c r="AE77" s="11"/>
      <c r="AF77" s="11"/>
      <c r="AG77" s="11"/>
      <c r="AH77" s="13">
        <f t="shared" si="5"/>
        <v>0</v>
      </c>
      <c r="AI77" s="14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15" t="str">
        <f t="shared" si="6"/>
        <v>正誼</v>
      </c>
      <c r="AK77" s="17"/>
    </row>
    <row r="78" spans="1:37" ht="18" customHeight="1">
      <c r="A78" s="9" t="s">
        <v>58</v>
      </c>
      <c r="B78" s="10" t="s">
        <v>32</v>
      </c>
      <c r="C78" s="11"/>
      <c r="D78" s="11"/>
      <c r="E78" s="11"/>
      <c r="F78" s="11"/>
      <c r="G78" s="2"/>
      <c r="H78" s="11"/>
      <c r="I78" s="11"/>
      <c r="J78" s="11"/>
      <c r="K78" s="11"/>
      <c r="L78" s="11"/>
      <c r="M78" s="11"/>
      <c r="N78" s="2"/>
      <c r="O78" s="11"/>
      <c r="P78" s="11"/>
      <c r="Q78" s="11"/>
      <c r="R78" s="11"/>
      <c r="S78" s="11"/>
      <c r="T78" s="11"/>
      <c r="U78" s="2"/>
      <c r="V78" s="11"/>
      <c r="W78" s="2"/>
      <c r="X78" s="11"/>
      <c r="Y78" s="11"/>
      <c r="Z78" s="11"/>
      <c r="AA78" s="11"/>
      <c r="AB78" s="2"/>
      <c r="AC78" s="11"/>
      <c r="AD78" s="2"/>
      <c r="AE78" s="11"/>
      <c r="AF78" s="11"/>
      <c r="AG78" s="11"/>
      <c r="AH78" s="13">
        <f t="shared" si="5"/>
        <v>0</v>
      </c>
      <c r="AI78" s="14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15" t="str">
        <f t="shared" si="6"/>
        <v>小翔</v>
      </c>
      <c r="AK78" s="17"/>
    </row>
    <row r="79" spans="1:37" ht="18" customHeight="1">
      <c r="A79" s="9" t="s">
        <v>58</v>
      </c>
      <c r="B79" s="10" t="s">
        <v>179</v>
      </c>
      <c r="C79" s="11"/>
      <c r="D79" s="11"/>
      <c r="E79" s="11"/>
      <c r="F79" s="11"/>
      <c r="G79" s="2"/>
      <c r="H79" s="11"/>
      <c r="I79" s="11"/>
      <c r="J79" s="11"/>
      <c r="K79" s="11"/>
      <c r="L79" s="11"/>
      <c r="M79" s="11"/>
      <c r="N79" s="2"/>
      <c r="O79" s="11"/>
      <c r="P79" s="11"/>
      <c r="Q79" s="11"/>
      <c r="R79" s="11"/>
      <c r="S79" s="11"/>
      <c r="T79" s="11"/>
      <c r="U79" s="2"/>
      <c r="V79" s="11"/>
      <c r="W79" s="2"/>
      <c r="X79" s="11"/>
      <c r="Y79" s="11"/>
      <c r="Z79" s="11"/>
      <c r="AA79" s="11"/>
      <c r="AB79" s="2"/>
      <c r="AC79" s="11"/>
      <c r="AD79" s="2"/>
      <c r="AE79" s="11"/>
      <c r="AF79" s="11"/>
      <c r="AG79" s="11"/>
      <c r="AH79" s="13">
        <f t="shared" si="5"/>
        <v>0</v>
      </c>
      <c r="AI79" s="14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15" t="str">
        <f t="shared" si="6"/>
        <v>玹玹</v>
      </c>
      <c r="AK79" s="17"/>
    </row>
    <row r="80" spans="1:37" ht="18" customHeight="1">
      <c r="A80" s="9" t="s">
        <v>58</v>
      </c>
      <c r="B80" s="10" t="s">
        <v>85</v>
      </c>
      <c r="C80" s="11"/>
      <c r="D80" s="11"/>
      <c r="E80" s="11"/>
      <c r="F80" s="11"/>
      <c r="G80" s="2"/>
      <c r="H80" s="11"/>
      <c r="I80" s="11"/>
      <c r="J80" s="11"/>
      <c r="K80" s="11"/>
      <c r="L80" s="11"/>
      <c r="M80" s="11"/>
      <c r="N80" s="2"/>
      <c r="O80" s="11"/>
      <c r="P80" s="11"/>
      <c r="Q80" s="11"/>
      <c r="R80" s="11"/>
      <c r="S80" s="11"/>
      <c r="T80" s="11"/>
      <c r="U80" s="2"/>
      <c r="V80" s="11"/>
      <c r="W80" s="2"/>
      <c r="X80" s="11"/>
      <c r="Y80" s="11"/>
      <c r="Z80" s="11"/>
      <c r="AA80" s="11"/>
      <c r="AB80" s="2"/>
      <c r="AC80" s="11"/>
      <c r="AD80" s="2"/>
      <c r="AE80" s="11"/>
      <c r="AF80" s="11"/>
      <c r="AG80" s="11"/>
      <c r="AH80" s="13">
        <f t="shared" si="5"/>
        <v>0</v>
      </c>
      <c r="AI80" s="14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15" t="str">
        <f t="shared" si="6"/>
        <v>阿璽</v>
      </c>
      <c r="AK80" s="17"/>
    </row>
    <row r="81" spans="1:37" ht="18" customHeight="1">
      <c r="A81" s="9" t="s">
        <v>58</v>
      </c>
      <c r="B81" s="10" t="s">
        <v>33</v>
      </c>
      <c r="C81" s="11"/>
      <c r="D81" s="11"/>
      <c r="E81" s="11"/>
      <c r="F81" s="11"/>
      <c r="G81" s="2"/>
      <c r="H81" s="11"/>
      <c r="I81" s="11"/>
      <c r="J81" s="11"/>
      <c r="K81" s="11"/>
      <c r="L81" s="11"/>
      <c r="M81" s="11"/>
      <c r="N81" s="2"/>
      <c r="O81" s="11"/>
      <c r="P81" s="11"/>
      <c r="Q81" s="11"/>
      <c r="R81" s="11"/>
      <c r="S81" s="11"/>
      <c r="T81" s="11"/>
      <c r="U81" s="2"/>
      <c r="V81" s="11"/>
      <c r="W81" s="2"/>
      <c r="X81" s="11"/>
      <c r="Y81" s="11"/>
      <c r="Z81" s="11"/>
      <c r="AA81" s="11"/>
      <c r="AB81" s="2"/>
      <c r="AC81" s="11"/>
      <c r="AD81" s="2"/>
      <c r="AE81" s="11"/>
      <c r="AF81" s="11"/>
      <c r="AG81" s="11"/>
      <c r="AH81" s="13">
        <f t="shared" si="5"/>
        <v>0</v>
      </c>
      <c r="AI81" s="14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15" t="str">
        <f t="shared" si="6"/>
        <v>一飛</v>
      </c>
      <c r="AK81" s="17"/>
    </row>
    <row r="82" spans="1:37" ht="18" customHeight="1">
      <c r="A82" s="9" t="s">
        <v>58</v>
      </c>
      <c r="B82" s="10" t="s">
        <v>34</v>
      </c>
      <c r="C82" s="11"/>
      <c r="D82" s="11"/>
      <c r="E82" s="11"/>
      <c r="F82" s="11"/>
      <c r="G82" s="2"/>
      <c r="H82" s="11"/>
      <c r="I82" s="11"/>
      <c r="J82" s="11"/>
      <c r="K82" s="11"/>
      <c r="L82" s="11"/>
      <c r="M82" s="11"/>
      <c r="N82" s="2"/>
      <c r="O82" s="11"/>
      <c r="P82" s="11"/>
      <c r="Q82" s="11"/>
      <c r="R82" s="11"/>
      <c r="S82" s="11"/>
      <c r="T82" s="11"/>
      <c r="U82" s="2"/>
      <c r="V82" s="11"/>
      <c r="W82" s="2"/>
      <c r="X82" s="11"/>
      <c r="Y82" s="11"/>
      <c r="Z82" s="11"/>
      <c r="AA82" s="11"/>
      <c r="AB82" s="2"/>
      <c r="AC82" s="11"/>
      <c r="AD82" s="2"/>
      <c r="AE82" s="11"/>
      <c r="AF82" s="11"/>
      <c r="AG82" s="11"/>
      <c r="AH82" s="13">
        <f t="shared" si="5"/>
        <v>0</v>
      </c>
      <c r="AI82" s="61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15" t="str">
        <f t="shared" si="6"/>
        <v>雲翔</v>
      </c>
      <c r="AK82" s="43"/>
    </row>
    <row r="83" spans="1:37" ht="18" customHeight="1">
      <c r="A83" s="9" t="s">
        <v>58</v>
      </c>
      <c r="B83" s="10" t="s">
        <v>88</v>
      </c>
      <c r="C83" s="11"/>
      <c r="D83" s="11"/>
      <c r="E83" s="11"/>
      <c r="F83" s="11"/>
      <c r="G83" s="2"/>
      <c r="H83" s="11"/>
      <c r="I83" s="11"/>
      <c r="J83" s="11"/>
      <c r="K83" s="11"/>
      <c r="L83" s="11"/>
      <c r="M83" s="11"/>
      <c r="N83" s="2"/>
      <c r="O83" s="11"/>
      <c r="P83" s="11"/>
      <c r="Q83" s="11"/>
      <c r="R83" s="11">
        <v>1</v>
      </c>
      <c r="S83" s="11"/>
      <c r="T83" s="11"/>
      <c r="U83" s="2"/>
      <c r="V83" s="11"/>
      <c r="W83" s="2"/>
      <c r="X83" s="11"/>
      <c r="Y83" s="11"/>
      <c r="Z83" s="11"/>
      <c r="AA83" s="11"/>
      <c r="AB83" s="2"/>
      <c r="AC83" s="11"/>
      <c r="AD83" s="2"/>
      <c r="AE83" s="11"/>
      <c r="AF83" s="11"/>
      <c r="AG83" s="11"/>
      <c r="AH83" s="13">
        <f t="shared" si="5"/>
        <v>1</v>
      </c>
      <c r="AI83" s="14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15" t="str">
        <f t="shared" si="6"/>
        <v>皓皓</v>
      </c>
      <c r="AK83" s="43"/>
    </row>
    <row r="84" spans="1:37" ht="18" customHeight="1">
      <c r="A84" s="9" t="s">
        <v>58</v>
      </c>
      <c r="B84" s="10" t="s">
        <v>35</v>
      </c>
      <c r="C84" s="11"/>
      <c r="D84" s="11"/>
      <c r="E84" s="11"/>
      <c r="F84" s="11"/>
      <c r="G84" s="2"/>
      <c r="H84" s="11"/>
      <c r="I84" s="11"/>
      <c r="J84" s="11"/>
      <c r="K84" s="11"/>
      <c r="L84" s="11"/>
      <c r="M84" s="11"/>
      <c r="N84" s="2"/>
      <c r="O84" s="11"/>
      <c r="P84" s="11"/>
      <c r="Q84" s="11"/>
      <c r="R84" s="11"/>
      <c r="S84" s="11"/>
      <c r="T84" s="11"/>
      <c r="U84" s="2"/>
      <c r="V84" s="11"/>
      <c r="W84" s="2"/>
      <c r="X84" s="11"/>
      <c r="Y84" s="11"/>
      <c r="Z84" s="11"/>
      <c r="AA84" s="11"/>
      <c r="AB84" s="2"/>
      <c r="AC84" s="11"/>
      <c r="AD84" s="2"/>
      <c r="AE84" s="11"/>
      <c r="AF84" s="11"/>
      <c r="AG84" s="11"/>
      <c r="AH84" s="13">
        <f t="shared" si="5"/>
        <v>0</v>
      </c>
      <c r="AI84" s="14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15" t="str">
        <f t="shared" si="6"/>
        <v>阿戴</v>
      </c>
      <c r="AK84" s="43"/>
    </row>
    <row r="85" spans="1:37" ht="18" customHeight="1">
      <c r="A85" s="9" t="s">
        <v>58</v>
      </c>
      <c r="B85" s="10" t="s">
        <v>36</v>
      </c>
      <c r="C85" s="11"/>
      <c r="D85" s="11"/>
      <c r="E85" s="11"/>
      <c r="F85" s="11">
        <v>1</v>
      </c>
      <c r="G85" s="2"/>
      <c r="H85" s="11"/>
      <c r="I85" s="11">
        <v>1</v>
      </c>
      <c r="J85" s="11"/>
      <c r="K85" s="11"/>
      <c r="L85" s="11"/>
      <c r="M85" s="11">
        <v>1</v>
      </c>
      <c r="N85" s="2"/>
      <c r="O85" s="11"/>
      <c r="P85" s="11">
        <v>1</v>
      </c>
      <c r="Q85" s="11"/>
      <c r="R85" s="11"/>
      <c r="S85" s="11"/>
      <c r="T85" s="11"/>
      <c r="U85" s="2"/>
      <c r="V85" s="11"/>
      <c r="W85" s="2"/>
      <c r="X85" s="11"/>
      <c r="Y85" s="11"/>
      <c r="Z85" s="11"/>
      <c r="AA85" s="11"/>
      <c r="AB85" s="2"/>
      <c r="AC85" s="11"/>
      <c r="AD85" s="2"/>
      <c r="AE85" s="11"/>
      <c r="AF85" s="11"/>
      <c r="AG85" s="11"/>
      <c r="AH85" s="13">
        <f t="shared" si="5"/>
        <v>4</v>
      </c>
      <c r="AI85" s="14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15" t="str">
        <f t="shared" si="6"/>
        <v>子澔</v>
      </c>
      <c r="AK85" s="43"/>
    </row>
    <row r="86" spans="1:37" ht="18" customHeight="1">
      <c r="A86" s="9" t="s">
        <v>58</v>
      </c>
      <c r="B86" s="10" t="s">
        <v>37</v>
      </c>
      <c r="C86" s="11"/>
      <c r="D86" s="11"/>
      <c r="E86" s="11"/>
      <c r="F86" s="11"/>
      <c r="G86" s="2"/>
      <c r="H86" s="11"/>
      <c r="I86" s="11"/>
      <c r="J86" s="11"/>
      <c r="K86" s="11"/>
      <c r="L86" s="11"/>
      <c r="M86" s="11"/>
      <c r="N86" s="2"/>
      <c r="O86" s="11"/>
      <c r="P86" s="11"/>
      <c r="Q86" s="11"/>
      <c r="R86" s="11"/>
      <c r="S86" s="11"/>
      <c r="T86" s="11"/>
      <c r="U86" s="2"/>
      <c r="V86" s="11"/>
      <c r="W86" s="2"/>
      <c r="X86" s="11"/>
      <c r="Y86" s="11"/>
      <c r="Z86" s="11"/>
      <c r="AA86" s="11"/>
      <c r="AB86" s="2"/>
      <c r="AC86" s="11"/>
      <c r="AD86" s="2"/>
      <c r="AE86" s="11">
        <v>1</v>
      </c>
      <c r="AF86" s="11"/>
      <c r="AG86" s="11"/>
      <c r="AH86" s="13">
        <f t="shared" si="5"/>
        <v>1</v>
      </c>
      <c r="AI86" s="14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15" t="str">
        <f t="shared" si="6"/>
        <v>魚仔</v>
      </c>
      <c r="AK86" s="43"/>
    </row>
    <row r="87" spans="1:37" ht="18" customHeight="1">
      <c r="A87" s="18" t="s">
        <v>58</v>
      </c>
      <c r="B87" s="19" t="s">
        <v>151</v>
      </c>
      <c r="C87" s="45"/>
      <c r="D87" s="45"/>
      <c r="E87" s="45"/>
      <c r="F87" s="45"/>
      <c r="G87" s="46"/>
      <c r="H87" s="45">
        <v>1</v>
      </c>
      <c r="I87" s="45"/>
      <c r="J87" s="45"/>
      <c r="K87" s="45">
        <v>1</v>
      </c>
      <c r="L87" s="45"/>
      <c r="M87" s="45"/>
      <c r="N87" s="46"/>
      <c r="O87" s="45">
        <v>1</v>
      </c>
      <c r="P87" s="45"/>
      <c r="Q87" s="45"/>
      <c r="R87" s="45">
        <v>1</v>
      </c>
      <c r="S87" s="45"/>
      <c r="T87" s="45"/>
      <c r="U87" s="46"/>
      <c r="V87" s="45">
        <v>1</v>
      </c>
      <c r="W87" s="46"/>
      <c r="X87" s="45"/>
      <c r="Y87" s="45"/>
      <c r="Z87" s="45"/>
      <c r="AA87" s="45">
        <v>1</v>
      </c>
      <c r="AB87" s="46"/>
      <c r="AC87" s="45">
        <v>1</v>
      </c>
      <c r="AD87" s="46"/>
      <c r="AE87" s="45">
        <v>1</v>
      </c>
      <c r="AF87" s="45"/>
      <c r="AG87" s="45"/>
      <c r="AH87" s="21">
        <f t="shared" si="5"/>
        <v>8</v>
      </c>
      <c r="AI87" s="49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23" t="str">
        <f t="shared" si="6"/>
        <v>宇嬅</v>
      </c>
      <c r="AK87" s="44"/>
    </row>
    <row r="88" spans="1:37" ht="18" customHeight="1">
      <c r="A88" s="18" t="s">
        <v>58</v>
      </c>
      <c r="B88" s="19" t="s">
        <v>92</v>
      </c>
      <c r="C88" s="45"/>
      <c r="D88" s="45"/>
      <c r="E88" s="45"/>
      <c r="F88" s="45"/>
      <c r="G88" s="46"/>
      <c r="H88" s="45">
        <v>1</v>
      </c>
      <c r="I88" s="45">
        <v>1</v>
      </c>
      <c r="J88" s="45"/>
      <c r="K88" s="45">
        <v>1</v>
      </c>
      <c r="L88" s="45"/>
      <c r="M88" s="45">
        <v>1</v>
      </c>
      <c r="N88" s="46"/>
      <c r="O88" s="45">
        <v>1</v>
      </c>
      <c r="P88" s="45">
        <v>1</v>
      </c>
      <c r="Q88" s="45"/>
      <c r="R88" s="45">
        <v>1</v>
      </c>
      <c r="S88" s="45"/>
      <c r="T88" s="45"/>
      <c r="U88" s="46"/>
      <c r="V88" s="45">
        <v>1</v>
      </c>
      <c r="W88" s="46"/>
      <c r="X88" s="45"/>
      <c r="Y88" s="45"/>
      <c r="Z88" s="45"/>
      <c r="AA88" s="45"/>
      <c r="AB88" s="46"/>
      <c r="AC88" s="45"/>
      <c r="AD88" s="46"/>
      <c r="AE88" s="45"/>
      <c r="AF88" s="45"/>
      <c r="AG88" s="45"/>
      <c r="AH88" s="21">
        <f t="shared" si="5"/>
        <v>8</v>
      </c>
      <c r="AI88" s="49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23" t="str">
        <f t="shared" si="6"/>
        <v>婉晴</v>
      </c>
      <c r="AK88" s="44"/>
    </row>
    <row r="89" spans="1:37" ht="18" customHeight="1">
      <c r="A89" s="18" t="s">
        <v>58</v>
      </c>
      <c r="B89" s="19" t="s">
        <v>152</v>
      </c>
      <c r="C89" s="20"/>
      <c r="D89" s="20"/>
      <c r="E89" s="20"/>
      <c r="F89" s="20"/>
      <c r="G89" s="2"/>
      <c r="H89" s="20"/>
      <c r="I89" s="20"/>
      <c r="J89" s="20"/>
      <c r="K89" s="20"/>
      <c r="L89" s="20"/>
      <c r="M89" s="20"/>
      <c r="N89" s="2"/>
      <c r="O89" s="20"/>
      <c r="P89" s="20"/>
      <c r="Q89" s="20"/>
      <c r="R89" s="20"/>
      <c r="S89" s="20"/>
      <c r="T89" s="20"/>
      <c r="U89" s="2"/>
      <c r="V89" s="20"/>
      <c r="W89" s="2"/>
      <c r="X89" s="20"/>
      <c r="Y89" s="20"/>
      <c r="Z89" s="20"/>
      <c r="AA89" s="20"/>
      <c r="AB89" s="2"/>
      <c r="AC89" s="20"/>
      <c r="AD89" s="2"/>
      <c r="AE89" s="20"/>
      <c r="AF89" s="20"/>
      <c r="AG89" s="20"/>
      <c r="AH89" s="21">
        <f t="shared" si="5"/>
        <v>0</v>
      </c>
      <c r="AI89" s="49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23" t="str">
        <f t="shared" si="6"/>
        <v>阿俗</v>
      </c>
      <c r="AK89" s="25"/>
    </row>
    <row r="90" spans="1:37" ht="18" customHeight="1">
      <c r="A90" s="18" t="s">
        <v>58</v>
      </c>
      <c r="B90" s="19" t="s">
        <v>153</v>
      </c>
      <c r="C90" s="20"/>
      <c r="D90" s="20"/>
      <c r="E90" s="20"/>
      <c r="F90" s="20"/>
      <c r="G90" s="2"/>
      <c r="H90" s="20"/>
      <c r="I90" s="20"/>
      <c r="J90" s="20"/>
      <c r="K90" s="20"/>
      <c r="L90" s="20"/>
      <c r="M90" s="20"/>
      <c r="N90" s="2"/>
      <c r="O90" s="20"/>
      <c r="P90" s="20"/>
      <c r="Q90" s="20"/>
      <c r="R90" s="20"/>
      <c r="S90" s="20"/>
      <c r="T90" s="20"/>
      <c r="U90" s="2"/>
      <c r="V90" s="20"/>
      <c r="W90" s="2"/>
      <c r="X90" s="20"/>
      <c r="Y90" s="20"/>
      <c r="Z90" s="20"/>
      <c r="AA90" s="20">
        <v>1</v>
      </c>
      <c r="AB90" s="2"/>
      <c r="AC90" s="20"/>
      <c r="AD90" s="2"/>
      <c r="AE90" s="20"/>
      <c r="AF90" s="20"/>
      <c r="AG90" s="20"/>
      <c r="AH90" s="21">
        <f t="shared" si="5"/>
        <v>1</v>
      </c>
      <c r="AI90" s="49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23" t="str">
        <f t="shared" si="6"/>
        <v>傻妹</v>
      </c>
      <c r="AK90" s="44"/>
    </row>
    <row r="91" spans="1:37" ht="18" customHeight="1">
      <c r="A91" s="18" t="s">
        <v>58</v>
      </c>
      <c r="B91" s="19" t="s">
        <v>96</v>
      </c>
      <c r="C91" s="20"/>
      <c r="D91" s="20"/>
      <c r="E91" s="20"/>
      <c r="F91" s="20"/>
      <c r="G91" s="2"/>
      <c r="H91" s="20"/>
      <c r="I91" s="20"/>
      <c r="J91" s="20"/>
      <c r="K91" s="20"/>
      <c r="L91" s="20"/>
      <c r="M91" s="20"/>
      <c r="N91" s="2"/>
      <c r="O91" s="20"/>
      <c r="P91" s="20"/>
      <c r="Q91" s="20"/>
      <c r="R91" s="20"/>
      <c r="S91" s="20"/>
      <c r="T91" s="20"/>
      <c r="U91" s="2"/>
      <c r="V91" s="20"/>
      <c r="W91" s="2"/>
      <c r="X91" s="20"/>
      <c r="Y91" s="20"/>
      <c r="Z91" s="20"/>
      <c r="AA91" s="20"/>
      <c r="AB91" s="2"/>
      <c r="AC91" s="20"/>
      <c r="AD91" s="2"/>
      <c r="AE91" s="20"/>
      <c r="AF91" s="20"/>
      <c r="AG91" s="20"/>
      <c r="AH91" s="21">
        <f t="shared" si="5"/>
        <v>0</v>
      </c>
      <c r="AI91" s="49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23" t="str">
        <f t="shared" si="6"/>
        <v>靜婷</v>
      </c>
      <c r="AK91" s="25"/>
    </row>
    <row r="92" spans="1:37" ht="18" customHeight="1">
      <c r="A92" s="18" t="s">
        <v>58</v>
      </c>
      <c r="B92" s="19" t="s">
        <v>197</v>
      </c>
      <c r="C92" s="20"/>
      <c r="D92" s="20"/>
      <c r="E92" s="20"/>
      <c r="F92" s="20"/>
      <c r="G92" s="2"/>
      <c r="H92" s="20"/>
      <c r="I92" s="20"/>
      <c r="J92" s="20"/>
      <c r="K92" s="20"/>
      <c r="L92" s="20"/>
      <c r="M92" s="20"/>
      <c r="N92" s="2"/>
      <c r="O92" s="20"/>
      <c r="P92" s="20"/>
      <c r="Q92" s="20"/>
      <c r="R92" s="20"/>
      <c r="S92" s="20"/>
      <c r="T92" s="20"/>
      <c r="U92" s="2"/>
      <c r="V92" s="20"/>
      <c r="W92" s="2"/>
      <c r="X92" s="20"/>
      <c r="Y92" s="20"/>
      <c r="Z92" s="20"/>
      <c r="AA92" s="20"/>
      <c r="AB92" s="2"/>
      <c r="AC92" s="20"/>
      <c r="AD92" s="2"/>
      <c r="AE92" s="20"/>
      <c r="AF92" s="20"/>
      <c r="AG92" s="20"/>
      <c r="AH92" s="21">
        <f t="shared" si="5"/>
        <v>0</v>
      </c>
      <c r="AI92" s="49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23" t="str">
        <f t="shared" si="6"/>
        <v>Abby</v>
      </c>
      <c r="AK92" s="25"/>
    </row>
    <row r="93" spans="1:37" ht="18" customHeight="1">
      <c r="A93" s="18" t="s">
        <v>58</v>
      </c>
      <c r="B93" s="19" t="s">
        <v>95</v>
      </c>
      <c r="C93" s="45"/>
      <c r="D93" s="45"/>
      <c r="E93" s="45"/>
      <c r="F93" s="45"/>
      <c r="G93" s="46"/>
      <c r="H93" s="45"/>
      <c r="I93" s="45"/>
      <c r="J93" s="45">
        <v>1</v>
      </c>
      <c r="K93" s="45">
        <v>1</v>
      </c>
      <c r="L93" s="45"/>
      <c r="M93" s="45">
        <v>1</v>
      </c>
      <c r="N93" s="46"/>
      <c r="O93" s="45">
        <v>1</v>
      </c>
      <c r="P93" s="45"/>
      <c r="Q93" s="45"/>
      <c r="R93" s="45">
        <v>1</v>
      </c>
      <c r="S93" s="45"/>
      <c r="T93" s="45"/>
      <c r="U93" s="46"/>
      <c r="V93" s="45"/>
      <c r="W93" s="46"/>
      <c r="X93" s="45"/>
      <c r="Y93" s="45"/>
      <c r="Z93" s="45"/>
      <c r="AA93" s="45">
        <v>1</v>
      </c>
      <c r="AB93" s="46"/>
      <c r="AC93" s="45"/>
      <c r="AD93" s="46"/>
      <c r="AE93" s="45">
        <v>1</v>
      </c>
      <c r="AF93" s="45">
        <v>1</v>
      </c>
      <c r="AG93" s="45"/>
      <c r="AH93" s="21">
        <f t="shared" si="5"/>
        <v>8</v>
      </c>
      <c r="AI93" s="49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23" t="str">
        <f t="shared" si="6"/>
        <v>小吱</v>
      </c>
      <c r="AK93" s="25"/>
    </row>
    <row r="94" spans="1:37" ht="18" customHeight="1">
      <c r="A94" s="18" t="s">
        <v>58</v>
      </c>
      <c r="B94" s="19" t="s">
        <v>148</v>
      </c>
      <c r="C94" s="20"/>
      <c r="D94" s="20"/>
      <c r="E94" s="20"/>
      <c r="F94" s="20"/>
      <c r="G94" s="2"/>
      <c r="H94" s="20"/>
      <c r="I94" s="20"/>
      <c r="J94" s="20"/>
      <c r="K94" s="20"/>
      <c r="L94" s="20"/>
      <c r="M94" s="20"/>
      <c r="N94" s="2"/>
      <c r="O94" s="20"/>
      <c r="P94" s="20"/>
      <c r="Q94" s="20"/>
      <c r="R94" s="20"/>
      <c r="S94" s="20"/>
      <c r="T94" s="20"/>
      <c r="U94" s="2"/>
      <c r="V94" s="20"/>
      <c r="W94" s="2"/>
      <c r="X94" s="20"/>
      <c r="Y94" s="20"/>
      <c r="Z94" s="20"/>
      <c r="AA94" s="20"/>
      <c r="AB94" s="2"/>
      <c r="AC94" s="20"/>
      <c r="AD94" s="2"/>
      <c r="AE94" s="20"/>
      <c r="AF94" s="45"/>
      <c r="AG94" s="45"/>
      <c r="AH94" s="21">
        <f t="shared" si="5"/>
        <v>0</v>
      </c>
      <c r="AI94" s="49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23" t="str">
        <f t="shared" si="6"/>
        <v>雅雅</v>
      </c>
      <c r="AK94" s="25"/>
    </row>
    <row r="95" spans="1:37" ht="18" customHeight="1">
      <c r="A95" s="18" t="s">
        <v>58</v>
      </c>
      <c r="B95" s="19" t="s">
        <v>154</v>
      </c>
      <c r="C95" s="20"/>
      <c r="D95" s="20"/>
      <c r="E95" s="20"/>
      <c r="F95" s="20"/>
      <c r="G95" s="2"/>
      <c r="H95" s="20"/>
      <c r="I95" s="20"/>
      <c r="J95" s="20"/>
      <c r="K95" s="20"/>
      <c r="L95" s="20"/>
      <c r="M95" s="20"/>
      <c r="N95" s="2"/>
      <c r="O95" s="20"/>
      <c r="P95" s="20"/>
      <c r="Q95" s="20"/>
      <c r="R95" s="20"/>
      <c r="S95" s="20"/>
      <c r="T95" s="20"/>
      <c r="U95" s="2"/>
      <c r="V95" s="20"/>
      <c r="W95" s="2"/>
      <c r="X95" s="20"/>
      <c r="Y95" s="20"/>
      <c r="Z95" s="20"/>
      <c r="AA95" s="20"/>
      <c r="AB95" s="2"/>
      <c r="AC95" s="20"/>
      <c r="AD95" s="2"/>
      <c r="AE95" s="20"/>
      <c r="AF95" s="20"/>
      <c r="AG95" s="20"/>
      <c r="AH95" s="21">
        <f t="shared" si="5"/>
        <v>0</v>
      </c>
      <c r="AI95" s="49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23" t="str">
        <f t="shared" si="6"/>
        <v>筱攸</v>
      </c>
      <c r="AK95" s="25"/>
    </row>
    <row r="96" spans="1:37" ht="18" customHeight="1">
      <c r="A96" s="18" t="s">
        <v>58</v>
      </c>
      <c r="B96" s="19" t="s">
        <v>155</v>
      </c>
      <c r="C96" s="20"/>
      <c r="D96" s="20"/>
      <c r="E96" s="20"/>
      <c r="F96" s="20">
        <v>1</v>
      </c>
      <c r="G96" s="2"/>
      <c r="H96" s="20"/>
      <c r="I96" s="20"/>
      <c r="J96" s="20"/>
      <c r="K96" s="20"/>
      <c r="L96" s="20"/>
      <c r="M96" s="20">
        <v>1</v>
      </c>
      <c r="N96" s="2"/>
      <c r="O96" s="20"/>
      <c r="P96" s="20"/>
      <c r="Q96" s="20"/>
      <c r="R96" s="20">
        <v>1</v>
      </c>
      <c r="S96" s="20"/>
      <c r="T96" s="20"/>
      <c r="U96" s="2"/>
      <c r="V96" s="20"/>
      <c r="W96" s="2"/>
      <c r="X96" s="20"/>
      <c r="Y96" s="20"/>
      <c r="Z96" s="20"/>
      <c r="AA96" s="20"/>
      <c r="AB96" s="2"/>
      <c r="AC96" s="20"/>
      <c r="AD96" s="2"/>
      <c r="AE96" s="20"/>
      <c r="AF96" s="20"/>
      <c r="AG96" s="20"/>
      <c r="AH96" s="21">
        <f t="shared" si="5"/>
        <v>3</v>
      </c>
      <c r="AI96" s="49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23" t="str">
        <f t="shared" si="6"/>
        <v>康康</v>
      </c>
      <c r="AK96" s="25"/>
    </row>
    <row r="97" spans="1:37" ht="18" customHeight="1">
      <c r="A97" s="18" t="s">
        <v>58</v>
      </c>
      <c r="B97" s="19" t="s">
        <v>156</v>
      </c>
      <c r="C97" s="20"/>
      <c r="D97" s="20"/>
      <c r="E97" s="20"/>
      <c r="F97" s="20"/>
      <c r="G97" s="2"/>
      <c r="H97" s="20"/>
      <c r="I97" s="20"/>
      <c r="J97" s="20"/>
      <c r="K97" s="20"/>
      <c r="L97" s="20"/>
      <c r="M97" s="20"/>
      <c r="N97" s="2"/>
      <c r="O97" s="20"/>
      <c r="P97" s="20"/>
      <c r="Q97" s="20"/>
      <c r="R97" s="20"/>
      <c r="S97" s="20"/>
      <c r="T97" s="20"/>
      <c r="U97" s="2"/>
      <c r="V97" s="20"/>
      <c r="W97" s="2"/>
      <c r="X97" s="20"/>
      <c r="Y97" s="20"/>
      <c r="Z97" s="20"/>
      <c r="AA97" s="20"/>
      <c r="AB97" s="2"/>
      <c r="AC97" s="20"/>
      <c r="AD97" s="2"/>
      <c r="AE97" s="20"/>
      <c r="AF97" s="20"/>
      <c r="AG97" s="20"/>
      <c r="AH97" s="21">
        <f t="shared" si="5"/>
        <v>0</v>
      </c>
      <c r="AI97" s="49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23" t="str">
        <f t="shared" si="6"/>
        <v>阿金</v>
      </c>
      <c r="AK97" s="25"/>
    </row>
    <row r="98" spans="1:37" ht="18" customHeight="1">
      <c r="A98" s="18" t="s">
        <v>58</v>
      </c>
      <c r="B98" s="19" t="s">
        <v>157</v>
      </c>
      <c r="C98" s="20"/>
      <c r="D98" s="20"/>
      <c r="E98" s="20"/>
      <c r="F98" s="20"/>
      <c r="G98" s="2"/>
      <c r="H98" s="20"/>
      <c r="I98" s="20"/>
      <c r="J98" s="20"/>
      <c r="K98" s="20"/>
      <c r="L98" s="20"/>
      <c r="M98" s="20"/>
      <c r="N98" s="2"/>
      <c r="O98" s="20"/>
      <c r="P98" s="20"/>
      <c r="Q98" s="20"/>
      <c r="R98" s="20"/>
      <c r="S98" s="20"/>
      <c r="T98" s="20"/>
      <c r="U98" s="2"/>
      <c r="V98" s="20"/>
      <c r="W98" s="2"/>
      <c r="X98" s="20"/>
      <c r="Y98" s="20"/>
      <c r="Z98" s="20"/>
      <c r="AA98" s="20"/>
      <c r="AB98" s="2"/>
      <c r="AC98" s="20"/>
      <c r="AD98" s="2"/>
      <c r="AE98" s="20"/>
      <c r="AF98" s="20"/>
      <c r="AG98" s="20"/>
      <c r="AH98" s="21">
        <f t="shared" si="5"/>
        <v>0</v>
      </c>
      <c r="AI98" s="49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23" t="str">
        <f t="shared" si="6"/>
        <v>派大</v>
      </c>
      <c r="AK98" s="25"/>
    </row>
    <row r="99" spans="1:37" ht="18" customHeight="1">
      <c r="A99" s="18" t="s">
        <v>58</v>
      </c>
      <c r="B99" s="19" t="s">
        <v>158</v>
      </c>
      <c r="C99" s="20"/>
      <c r="D99" s="20"/>
      <c r="E99" s="20"/>
      <c r="F99" s="20"/>
      <c r="G99" s="2"/>
      <c r="H99" s="20"/>
      <c r="I99" s="20"/>
      <c r="J99" s="20"/>
      <c r="K99" s="20"/>
      <c r="L99" s="20"/>
      <c r="M99" s="20"/>
      <c r="N99" s="2"/>
      <c r="O99" s="20"/>
      <c r="P99" s="20"/>
      <c r="Q99" s="20"/>
      <c r="R99" s="20"/>
      <c r="S99" s="20"/>
      <c r="T99" s="20"/>
      <c r="U99" s="2"/>
      <c r="V99" s="20"/>
      <c r="W99" s="2"/>
      <c r="X99" s="20"/>
      <c r="Y99" s="20"/>
      <c r="Z99" s="20"/>
      <c r="AA99" s="20"/>
      <c r="AB99" s="2"/>
      <c r="AC99" s="20"/>
      <c r="AD99" s="2"/>
      <c r="AE99" s="20"/>
      <c r="AF99" s="20"/>
      <c r="AG99" s="20"/>
      <c r="AH99" s="21">
        <f t="shared" si="5"/>
        <v>0</v>
      </c>
      <c r="AI99" s="49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23" t="str">
        <f t="shared" si="6"/>
        <v>吉娃</v>
      </c>
      <c r="AK99" s="25"/>
    </row>
    <row r="100" spans="1:37" ht="18" customHeight="1">
      <c r="A100" s="18" t="s">
        <v>58</v>
      </c>
      <c r="B100" s="19" t="s">
        <v>159</v>
      </c>
      <c r="C100" s="20"/>
      <c r="D100" s="20"/>
      <c r="E100" s="20"/>
      <c r="F100" s="20"/>
      <c r="G100" s="2"/>
      <c r="H100" s="20"/>
      <c r="I100" s="20"/>
      <c r="J100" s="20"/>
      <c r="K100" s="20"/>
      <c r="L100" s="20"/>
      <c r="M100" s="20"/>
      <c r="N100" s="2"/>
      <c r="O100" s="20"/>
      <c r="P100" s="20"/>
      <c r="Q100" s="20"/>
      <c r="R100" s="20"/>
      <c r="S100" s="20"/>
      <c r="T100" s="20"/>
      <c r="U100" s="2"/>
      <c r="V100" s="20"/>
      <c r="W100" s="2"/>
      <c r="X100" s="20"/>
      <c r="Y100" s="20"/>
      <c r="Z100" s="20"/>
      <c r="AA100" s="20"/>
      <c r="AB100" s="2"/>
      <c r="AC100" s="20"/>
      <c r="AD100" s="2"/>
      <c r="AE100" s="20"/>
      <c r="AF100" s="20"/>
      <c r="AG100" s="20"/>
      <c r="AH100" s="21">
        <f t="shared" ref="AH100:AH131" si="7">COUNTA(C100:AG100)</f>
        <v>0</v>
      </c>
      <c r="AI100" s="49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23" t="str">
        <f t="shared" ref="AJ100:AJ134" si="8">B100</f>
        <v>小寧</v>
      </c>
      <c r="AK100" s="25"/>
    </row>
    <row r="101" spans="1:37" ht="18" customHeight="1">
      <c r="A101" s="18" t="s">
        <v>58</v>
      </c>
      <c r="B101" s="19" t="s">
        <v>160</v>
      </c>
      <c r="C101" s="20"/>
      <c r="D101" s="20"/>
      <c r="E101" s="20"/>
      <c r="F101" s="20"/>
      <c r="G101" s="2"/>
      <c r="H101" s="20"/>
      <c r="I101" s="20"/>
      <c r="J101" s="20"/>
      <c r="K101" s="20"/>
      <c r="L101" s="20"/>
      <c r="M101" s="20"/>
      <c r="N101" s="2"/>
      <c r="O101" s="20"/>
      <c r="P101" s="20"/>
      <c r="Q101" s="20"/>
      <c r="R101" s="20"/>
      <c r="S101" s="20"/>
      <c r="T101" s="20"/>
      <c r="U101" s="2"/>
      <c r="V101" s="20"/>
      <c r="W101" s="2"/>
      <c r="X101" s="20"/>
      <c r="Y101" s="20"/>
      <c r="Z101" s="20"/>
      <c r="AA101" s="20"/>
      <c r="AB101" s="2"/>
      <c r="AC101" s="20"/>
      <c r="AD101" s="2"/>
      <c r="AE101" s="20"/>
      <c r="AF101" s="20"/>
      <c r="AG101" s="20"/>
      <c r="AH101" s="21">
        <f t="shared" si="7"/>
        <v>0</v>
      </c>
      <c r="AI101" s="49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23" t="str">
        <f t="shared" si="8"/>
        <v>小妹</v>
      </c>
      <c r="AK101" s="25"/>
    </row>
    <row r="102" spans="1:37" ht="18" customHeight="1">
      <c r="A102" s="18" t="s">
        <v>58</v>
      </c>
      <c r="B102" s="19" t="s">
        <v>101</v>
      </c>
      <c r="C102" s="20"/>
      <c r="D102" s="20"/>
      <c r="E102" s="20"/>
      <c r="F102" s="20"/>
      <c r="G102" s="2"/>
      <c r="H102" s="20"/>
      <c r="I102" s="20"/>
      <c r="J102" s="20"/>
      <c r="K102" s="20"/>
      <c r="L102" s="20"/>
      <c r="M102" s="20"/>
      <c r="N102" s="2"/>
      <c r="O102" s="20"/>
      <c r="P102" s="20"/>
      <c r="Q102" s="20"/>
      <c r="R102" s="20"/>
      <c r="S102" s="20"/>
      <c r="T102" s="20"/>
      <c r="U102" s="2"/>
      <c r="V102" s="20"/>
      <c r="W102" s="2"/>
      <c r="X102" s="20"/>
      <c r="Y102" s="20"/>
      <c r="Z102" s="20"/>
      <c r="AA102" s="20"/>
      <c r="AB102" s="2"/>
      <c r="AC102" s="20"/>
      <c r="AD102" s="2"/>
      <c r="AE102" s="20"/>
      <c r="AF102" s="20"/>
      <c r="AG102" s="20"/>
      <c r="AH102" s="21">
        <f t="shared" si="7"/>
        <v>0</v>
      </c>
      <c r="AI102" s="49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23" t="str">
        <f t="shared" si="8"/>
        <v>文媛</v>
      </c>
      <c r="AK102" s="25"/>
    </row>
    <row r="103" spans="1:37" ht="18" customHeight="1">
      <c r="A103" s="18" t="s">
        <v>58</v>
      </c>
      <c r="B103" s="19" t="s">
        <v>161</v>
      </c>
      <c r="C103" s="20"/>
      <c r="D103" s="20"/>
      <c r="E103" s="20"/>
      <c r="F103" s="20"/>
      <c r="G103" s="2"/>
      <c r="H103" s="20"/>
      <c r="I103" s="20"/>
      <c r="J103" s="20"/>
      <c r="K103" s="20"/>
      <c r="L103" s="20"/>
      <c r="M103" s="20"/>
      <c r="N103" s="2"/>
      <c r="O103" s="20"/>
      <c r="P103" s="20"/>
      <c r="Q103" s="20"/>
      <c r="R103" s="20"/>
      <c r="S103" s="20"/>
      <c r="T103" s="20"/>
      <c r="U103" s="2"/>
      <c r="V103" s="20"/>
      <c r="W103" s="2"/>
      <c r="X103" s="20"/>
      <c r="Y103" s="20"/>
      <c r="Z103" s="20"/>
      <c r="AA103" s="20"/>
      <c r="AB103" s="2"/>
      <c r="AC103" s="20"/>
      <c r="AD103" s="2"/>
      <c r="AE103" s="20"/>
      <c r="AF103" s="20"/>
      <c r="AG103" s="20"/>
      <c r="AH103" s="21">
        <f t="shared" si="7"/>
        <v>0</v>
      </c>
      <c r="AI103" s="49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23" t="str">
        <f t="shared" si="8"/>
        <v>佩鈺</v>
      </c>
      <c r="AK103" s="25"/>
    </row>
    <row r="104" spans="1:37" ht="18" customHeight="1">
      <c r="A104" s="18" t="s">
        <v>58</v>
      </c>
      <c r="B104" s="19" t="s">
        <v>162</v>
      </c>
      <c r="C104" s="20"/>
      <c r="D104" s="20"/>
      <c r="E104" s="20"/>
      <c r="F104" s="20"/>
      <c r="G104" s="2"/>
      <c r="H104" s="20"/>
      <c r="I104" s="20"/>
      <c r="J104" s="20"/>
      <c r="K104" s="20"/>
      <c r="L104" s="20"/>
      <c r="M104" s="20"/>
      <c r="N104" s="2"/>
      <c r="O104" s="20"/>
      <c r="P104" s="20"/>
      <c r="Q104" s="20"/>
      <c r="R104" s="20"/>
      <c r="S104" s="20"/>
      <c r="T104" s="20"/>
      <c r="U104" s="2"/>
      <c r="V104" s="20"/>
      <c r="W104" s="2"/>
      <c r="X104" s="20"/>
      <c r="Y104" s="20"/>
      <c r="Z104" s="20"/>
      <c r="AA104" s="20"/>
      <c r="AB104" s="2"/>
      <c r="AC104" s="20"/>
      <c r="AD104" s="2"/>
      <c r="AE104" s="20"/>
      <c r="AF104" s="20"/>
      <c r="AG104" s="20"/>
      <c r="AH104" s="21">
        <f t="shared" si="7"/>
        <v>0</v>
      </c>
      <c r="AI104" s="49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23" t="str">
        <f t="shared" si="8"/>
        <v>阿布</v>
      </c>
      <c r="AK104" s="25"/>
    </row>
    <row r="105" spans="1:37" ht="18" customHeight="1">
      <c r="A105" s="18" t="s">
        <v>58</v>
      </c>
      <c r="B105" s="19" t="s">
        <v>100</v>
      </c>
      <c r="C105" s="45"/>
      <c r="D105" s="45"/>
      <c r="E105" s="45"/>
      <c r="F105" s="45"/>
      <c r="G105" s="46"/>
      <c r="H105" s="45">
        <v>1</v>
      </c>
      <c r="I105" s="45"/>
      <c r="J105" s="45"/>
      <c r="K105" s="45">
        <v>1</v>
      </c>
      <c r="L105" s="45"/>
      <c r="M105" s="45"/>
      <c r="N105" s="46"/>
      <c r="O105" s="45">
        <v>1</v>
      </c>
      <c r="P105" s="45"/>
      <c r="Q105" s="45"/>
      <c r="R105" s="45"/>
      <c r="S105" s="45"/>
      <c r="T105" s="45"/>
      <c r="U105" s="46"/>
      <c r="V105" s="45">
        <v>1</v>
      </c>
      <c r="W105" s="46"/>
      <c r="X105" s="45"/>
      <c r="Y105" s="45"/>
      <c r="Z105" s="45"/>
      <c r="AA105" s="45"/>
      <c r="AB105" s="46"/>
      <c r="AC105" s="45">
        <v>1</v>
      </c>
      <c r="AD105" s="46"/>
      <c r="AE105" s="45">
        <v>1</v>
      </c>
      <c r="AF105" s="45"/>
      <c r="AG105" s="45"/>
      <c r="AH105" s="21">
        <f t="shared" si="7"/>
        <v>6</v>
      </c>
      <c r="AI105" s="49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23" t="str">
        <f t="shared" si="8"/>
        <v>餅餅</v>
      </c>
      <c r="AK105" s="25"/>
    </row>
    <row r="106" spans="1:37" ht="18" customHeight="1">
      <c r="A106" s="18" t="s">
        <v>58</v>
      </c>
      <c r="B106" s="19" t="s">
        <v>163</v>
      </c>
      <c r="C106" s="45"/>
      <c r="D106" s="45"/>
      <c r="E106" s="45"/>
      <c r="F106" s="45"/>
      <c r="G106" s="46"/>
      <c r="H106" s="45">
        <v>1</v>
      </c>
      <c r="I106" s="45"/>
      <c r="J106" s="45"/>
      <c r="K106" s="45">
        <v>1</v>
      </c>
      <c r="L106" s="45"/>
      <c r="M106" s="45"/>
      <c r="N106" s="46"/>
      <c r="O106" s="45">
        <v>1</v>
      </c>
      <c r="P106" s="45"/>
      <c r="Q106" s="45"/>
      <c r="R106" s="45"/>
      <c r="S106" s="45"/>
      <c r="T106" s="45"/>
      <c r="U106" s="46"/>
      <c r="V106" s="45">
        <v>1</v>
      </c>
      <c r="W106" s="46"/>
      <c r="X106" s="45"/>
      <c r="Y106" s="45"/>
      <c r="Z106" s="45"/>
      <c r="AA106" s="45">
        <v>1</v>
      </c>
      <c r="AB106" s="46"/>
      <c r="AC106" s="45">
        <v>1</v>
      </c>
      <c r="AD106" s="46"/>
      <c r="AE106" s="45">
        <v>1</v>
      </c>
      <c r="AF106" s="45"/>
      <c r="AG106" s="45"/>
      <c r="AH106" s="21">
        <f t="shared" si="7"/>
        <v>7</v>
      </c>
      <c r="AI106" s="49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23" t="str">
        <f t="shared" si="8"/>
        <v>小個</v>
      </c>
      <c r="AK106" s="25"/>
    </row>
    <row r="107" spans="1:37" ht="18" customHeight="1">
      <c r="A107" s="26" t="s">
        <v>58</v>
      </c>
      <c r="B107" s="27" t="s">
        <v>104</v>
      </c>
      <c r="C107" s="28">
        <v>1</v>
      </c>
      <c r="D107" s="28">
        <v>1</v>
      </c>
      <c r="E107" s="28"/>
      <c r="F107" s="28"/>
      <c r="G107" s="2"/>
      <c r="H107" s="28">
        <v>1</v>
      </c>
      <c r="I107" s="28"/>
      <c r="J107" s="28">
        <v>1</v>
      </c>
      <c r="K107" s="28">
        <v>1</v>
      </c>
      <c r="L107" s="28"/>
      <c r="M107" s="28">
        <v>1</v>
      </c>
      <c r="N107" s="2"/>
      <c r="O107" s="28">
        <v>1</v>
      </c>
      <c r="P107" s="28"/>
      <c r="Q107" s="28"/>
      <c r="R107" s="28">
        <v>1</v>
      </c>
      <c r="S107" s="28"/>
      <c r="T107" s="28"/>
      <c r="U107" s="2"/>
      <c r="V107" s="28"/>
      <c r="W107" s="2"/>
      <c r="X107" s="28"/>
      <c r="Y107" s="28"/>
      <c r="Z107" s="28"/>
      <c r="AA107" s="28"/>
      <c r="AB107" s="2"/>
      <c r="AC107" s="28">
        <v>1</v>
      </c>
      <c r="AD107" s="2"/>
      <c r="AE107" s="28">
        <v>1</v>
      </c>
      <c r="AF107" s="28"/>
      <c r="AG107" s="28"/>
      <c r="AH107" s="29">
        <f t="shared" si="7"/>
        <v>10</v>
      </c>
      <c r="AI107" s="50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31" t="str">
        <f t="shared" si="8"/>
        <v>卡丘</v>
      </c>
      <c r="AK107" s="32"/>
    </row>
    <row r="108" spans="1:37" ht="18" customHeight="1">
      <c r="A108" s="26" t="s">
        <v>58</v>
      </c>
      <c r="B108" s="27" t="s">
        <v>124</v>
      </c>
      <c r="C108" s="28"/>
      <c r="D108" s="28">
        <v>1</v>
      </c>
      <c r="E108" s="28"/>
      <c r="F108" s="28"/>
      <c r="G108" s="2"/>
      <c r="H108" s="28">
        <v>1</v>
      </c>
      <c r="I108" s="28"/>
      <c r="J108" s="28">
        <v>1</v>
      </c>
      <c r="K108" s="28">
        <v>1</v>
      </c>
      <c r="L108" s="28"/>
      <c r="M108" s="28"/>
      <c r="N108" s="2"/>
      <c r="O108" s="28">
        <v>1</v>
      </c>
      <c r="P108" s="28"/>
      <c r="Q108" s="28"/>
      <c r="R108" s="28">
        <v>1</v>
      </c>
      <c r="S108" s="28"/>
      <c r="T108" s="28"/>
      <c r="U108" s="2"/>
      <c r="V108" s="28"/>
      <c r="W108" s="2"/>
      <c r="X108" s="28"/>
      <c r="Y108" s="28"/>
      <c r="Z108" s="28"/>
      <c r="AA108" s="28"/>
      <c r="AB108" s="2"/>
      <c r="AC108" s="28">
        <v>1</v>
      </c>
      <c r="AD108" s="2"/>
      <c r="AE108" s="28">
        <v>1</v>
      </c>
      <c r="AF108" s="28"/>
      <c r="AG108" s="28"/>
      <c r="AH108" s="29">
        <f t="shared" si="7"/>
        <v>8</v>
      </c>
      <c r="AI108" s="50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31" t="str">
        <f t="shared" si="8"/>
        <v>玉蕙</v>
      </c>
      <c r="AK108" s="32"/>
    </row>
    <row r="109" spans="1:37" ht="18" customHeight="1">
      <c r="A109" s="26" t="s">
        <v>58</v>
      </c>
      <c r="B109" s="27" t="s">
        <v>125</v>
      </c>
      <c r="C109" s="28"/>
      <c r="D109" s="28">
        <v>1</v>
      </c>
      <c r="E109" s="28"/>
      <c r="F109" s="28"/>
      <c r="G109" s="2"/>
      <c r="H109" s="28">
        <v>1</v>
      </c>
      <c r="I109" s="28"/>
      <c r="J109" s="28">
        <v>1</v>
      </c>
      <c r="K109" s="28">
        <v>1</v>
      </c>
      <c r="L109" s="28"/>
      <c r="M109" s="28"/>
      <c r="N109" s="2"/>
      <c r="O109" s="28">
        <v>1</v>
      </c>
      <c r="P109" s="28"/>
      <c r="Q109" s="28"/>
      <c r="R109" s="28">
        <v>1</v>
      </c>
      <c r="S109" s="28"/>
      <c r="T109" s="28"/>
      <c r="U109" s="2"/>
      <c r="V109" s="28"/>
      <c r="W109" s="2"/>
      <c r="X109" s="28"/>
      <c r="Y109" s="28"/>
      <c r="Z109" s="28"/>
      <c r="AA109" s="28"/>
      <c r="AB109" s="2"/>
      <c r="AC109" s="28"/>
      <c r="AD109" s="2"/>
      <c r="AE109" s="28"/>
      <c r="AF109" s="28"/>
      <c r="AG109" s="28"/>
      <c r="AH109" s="29">
        <f t="shared" si="7"/>
        <v>6</v>
      </c>
      <c r="AI109" s="50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31" t="str">
        <f t="shared" si="8"/>
        <v>沛緁</v>
      </c>
      <c r="AK109" s="32"/>
    </row>
    <row r="110" spans="1:37" ht="18" customHeight="1">
      <c r="A110" s="26" t="s">
        <v>58</v>
      </c>
      <c r="B110" s="27" t="s">
        <v>126</v>
      </c>
      <c r="C110" s="28">
        <v>1</v>
      </c>
      <c r="D110" s="28">
        <v>1</v>
      </c>
      <c r="E110" s="28"/>
      <c r="F110" s="28"/>
      <c r="G110" s="2"/>
      <c r="H110" s="28">
        <v>1</v>
      </c>
      <c r="I110" s="28"/>
      <c r="J110" s="28">
        <v>1</v>
      </c>
      <c r="K110" s="28">
        <v>1</v>
      </c>
      <c r="L110" s="28"/>
      <c r="M110" s="28"/>
      <c r="N110" s="2"/>
      <c r="O110" s="28">
        <v>1</v>
      </c>
      <c r="P110" s="28"/>
      <c r="Q110" s="28"/>
      <c r="R110" s="28">
        <v>1</v>
      </c>
      <c r="S110" s="28"/>
      <c r="T110" s="28"/>
      <c r="U110" s="2"/>
      <c r="V110" s="28"/>
      <c r="W110" s="2"/>
      <c r="X110" s="28"/>
      <c r="Y110" s="28"/>
      <c r="Z110" s="28"/>
      <c r="AA110" s="28"/>
      <c r="AB110" s="2"/>
      <c r="AC110" s="28"/>
      <c r="AD110" s="2"/>
      <c r="AE110" s="28"/>
      <c r="AF110" s="28"/>
      <c r="AG110" s="28"/>
      <c r="AH110" s="29">
        <f t="shared" si="7"/>
        <v>7</v>
      </c>
      <c r="AI110" s="50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31" t="str">
        <f t="shared" si="8"/>
        <v>妹妹</v>
      </c>
      <c r="AK110" s="32"/>
    </row>
    <row r="111" spans="1:37" ht="18" customHeight="1">
      <c r="A111" s="26" t="s">
        <v>58</v>
      </c>
      <c r="B111" s="27" t="s">
        <v>127</v>
      </c>
      <c r="C111" s="28">
        <v>1</v>
      </c>
      <c r="D111" s="28">
        <v>1</v>
      </c>
      <c r="E111" s="28"/>
      <c r="F111" s="28"/>
      <c r="G111" s="2"/>
      <c r="H111" s="28">
        <v>1</v>
      </c>
      <c r="I111" s="28">
        <v>1</v>
      </c>
      <c r="J111" s="28"/>
      <c r="K111" s="28">
        <v>1</v>
      </c>
      <c r="L111" s="28"/>
      <c r="M111" s="28">
        <v>1</v>
      </c>
      <c r="N111" s="2"/>
      <c r="O111" s="28">
        <v>1</v>
      </c>
      <c r="P111" s="28">
        <v>1</v>
      </c>
      <c r="Q111" s="28"/>
      <c r="R111" s="28">
        <v>1</v>
      </c>
      <c r="S111" s="28"/>
      <c r="T111" s="28"/>
      <c r="U111" s="2"/>
      <c r="V111" s="28">
        <v>1</v>
      </c>
      <c r="W111" s="2"/>
      <c r="X111" s="28"/>
      <c r="Y111" s="28"/>
      <c r="Z111" s="28"/>
      <c r="AA111" s="28"/>
      <c r="AB111" s="2"/>
      <c r="AC111" s="28">
        <v>1</v>
      </c>
      <c r="AD111" s="2"/>
      <c r="AE111" s="28">
        <v>1</v>
      </c>
      <c r="AF111" s="28"/>
      <c r="AG111" s="28"/>
      <c r="AH111" s="29">
        <f t="shared" si="7"/>
        <v>12</v>
      </c>
      <c r="AI111" s="50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31" t="str">
        <f t="shared" si="8"/>
        <v>小雞</v>
      </c>
      <c r="AK111" s="32"/>
    </row>
    <row r="112" spans="1:37" ht="18" customHeight="1">
      <c r="A112" s="26" t="s">
        <v>58</v>
      </c>
      <c r="B112" s="27" t="s">
        <v>128</v>
      </c>
      <c r="C112" s="28"/>
      <c r="D112" s="28">
        <v>1</v>
      </c>
      <c r="E112" s="28"/>
      <c r="F112" s="28"/>
      <c r="G112" s="2"/>
      <c r="H112" s="28"/>
      <c r="I112" s="28"/>
      <c r="J112" s="28"/>
      <c r="K112" s="28"/>
      <c r="L112" s="28"/>
      <c r="M112" s="28"/>
      <c r="N112" s="2"/>
      <c r="O112" s="28"/>
      <c r="P112" s="28"/>
      <c r="Q112" s="28"/>
      <c r="R112" s="28"/>
      <c r="S112" s="28"/>
      <c r="T112" s="28"/>
      <c r="U112" s="2"/>
      <c r="V112" s="28"/>
      <c r="W112" s="2"/>
      <c r="X112" s="28"/>
      <c r="Y112" s="28"/>
      <c r="Z112" s="28"/>
      <c r="AA112" s="28"/>
      <c r="AB112" s="2"/>
      <c r="AC112" s="28"/>
      <c r="AD112" s="2"/>
      <c r="AE112" s="28"/>
      <c r="AF112" s="28"/>
      <c r="AG112" s="28"/>
      <c r="AH112" s="29">
        <f t="shared" si="7"/>
        <v>1</v>
      </c>
      <c r="AI112" s="50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31" t="str">
        <f t="shared" si="8"/>
        <v>雨昕</v>
      </c>
      <c r="AK112" s="32"/>
    </row>
    <row r="113" spans="1:37" ht="18" customHeight="1">
      <c r="A113" s="26" t="s">
        <v>58</v>
      </c>
      <c r="B113" s="27" t="s">
        <v>129</v>
      </c>
      <c r="C113" s="28">
        <v>1</v>
      </c>
      <c r="D113" s="28">
        <v>1</v>
      </c>
      <c r="E113" s="28"/>
      <c r="F113" s="28"/>
      <c r="G113" s="2"/>
      <c r="H113" s="28">
        <v>1</v>
      </c>
      <c r="I113" s="28"/>
      <c r="J113" s="28">
        <v>1</v>
      </c>
      <c r="K113" s="28">
        <v>1</v>
      </c>
      <c r="L113" s="28"/>
      <c r="M113" s="28"/>
      <c r="N113" s="2"/>
      <c r="O113" s="28">
        <v>1</v>
      </c>
      <c r="P113" s="28"/>
      <c r="Q113" s="28"/>
      <c r="R113" s="28">
        <v>1</v>
      </c>
      <c r="S113" s="28"/>
      <c r="T113" s="28"/>
      <c r="U113" s="2"/>
      <c r="V113" s="28"/>
      <c r="W113" s="2"/>
      <c r="X113" s="28"/>
      <c r="Y113" s="28"/>
      <c r="Z113" s="28"/>
      <c r="AA113" s="28"/>
      <c r="AB113" s="2"/>
      <c r="AC113" s="28"/>
      <c r="AD113" s="2"/>
      <c r="AE113" s="28"/>
      <c r="AF113" s="28"/>
      <c r="AG113" s="28"/>
      <c r="AH113" s="29">
        <f t="shared" si="7"/>
        <v>7</v>
      </c>
      <c r="AI113" s="50" t="e">
        <f ca="1">IF(A113="O", (VALUE(_xludf.IFS(AH113=0,"0",AH113=1,"150",AH113=2,"300",AH113=3,"450",AH113=4,"600",AH113=5,"750",AH113&gt;=6,"800"))),(VALUE(_xludf.IFS(AH113=0,"0",AH113=1,"150",AH113=2,"300",AH113=3,"450",AH113=4,"600",AH113=5,"750",AH113=6,"900",AH113&gt;=7,"1,000"))))</f>
        <v>#NAME?</v>
      </c>
      <c r="AJ113" s="31" t="str">
        <f t="shared" si="8"/>
        <v>矮矮</v>
      </c>
      <c r="AK113" s="32"/>
    </row>
    <row r="114" spans="1:37" ht="18" customHeight="1">
      <c r="A114" s="26" t="s">
        <v>58</v>
      </c>
      <c r="B114" s="27" t="s">
        <v>130</v>
      </c>
      <c r="C114" s="28"/>
      <c r="D114" s="28"/>
      <c r="E114" s="28"/>
      <c r="F114" s="28"/>
      <c r="G114" s="2"/>
      <c r="H114" s="28"/>
      <c r="I114" s="28"/>
      <c r="J114" s="28"/>
      <c r="K114" s="28"/>
      <c r="L114" s="28"/>
      <c r="M114" s="28"/>
      <c r="N114" s="2"/>
      <c r="O114" s="28"/>
      <c r="P114" s="28"/>
      <c r="Q114" s="28"/>
      <c r="R114" s="28">
        <v>1</v>
      </c>
      <c r="S114" s="28"/>
      <c r="T114" s="28"/>
      <c r="U114" s="2"/>
      <c r="V114" s="28"/>
      <c r="W114" s="2"/>
      <c r="X114" s="28"/>
      <c r="Y114" s="28"/>
      <c r="Z114" s="28"/>
      <c r="AA114" s="28"/>
      <c r="AB114" s="2"/>
      <c r="AC114" s="28"/>
      <c r="AD114" s="2"/>
      <c r="AE114" s="28"/>
      <c r="AF114" s="28"/>
      <c r="AG114" s="28"/>
      <c r="AH114" s="29">
        <f t="shared" si="7"/>
        <v>1</v>
      </c>
      <c r="AI114" s="50" t="e">
        <f ca="1">IF(A114="O", (VALUE(_xludf.IFS(AH114=0,"0",AH114=1,"150",AH114=2,"300",AH114=3,"450",AH114=4,"600",AH114=5,"750",AH114&gt;=6,"800"))),(VALUE(_xludf.IFS(AH114=0,"0",AH114=1,"150",AH114=2,"300",AH114=3,"450",AH114=4,"600",AH114=5,"750",AH114=6,"900",AH114&gt;=7,"1,000"))))</f>
        <v>#NAME?</v>
      </c>
      <c r="AJ114" s="31" t="str">
        <f t="shared" si="8"/>
        <v>猛女</v>
      </c>
      <c r="AK114" s="32"/>
    </row>
    <row r="115" spans="1:37" ht="18" customHeight="1">
      <c r="A115" s="26" t="s">
        <v>58</v>
      </c>
      <c r="B115" s="27" t="s">
        <v>131</v>
      </c>
      <c r="C115" s="28"/>
      <c r="D115" s="28"/>
      <c r="E115" s="28"/>
      <c r="F115" s="28"/>
      <c r="G115" s="2"/>
      <c r="H115" s="28"/>
      <c r="I115" s="28"/>
      <c r="J115" s="28"/>
      <c r="K115" s="28"/>
      <c r="L115" s="28"/>
      <c r="M115" s="28"/>
      <c r="N115" s="2"/>
      <c r="O115" s="28"/>
      <c r="P115" s="28"/>
      <c r="Q115" s="28"/>
      <c r="R115" s="28"/>
      <c r="S115" s="28"/>
      <c r="T115" s="28"/>
      <c r="U115" s="2"/>
      <c r="V115" s="28"/>
      <c r="W115" s="2"/>
      <c r="X115" s="28"/>
      <c r="Y115" s="28"/>
      <c r="Z115" s="28"/>
      <c r="AA115" s="28"/>
      <c r="AB115" s="2"/>
      <c r="AC115" s="28"/>
      <c r="AD115" s="2"/>
      <c r="AE115" s="28"/>
      <c r="AF115" s="28"/>
      <c r="AG115" s="28"/>
      <c r="AH115" s="29">
        <f t="shared" si="7"/>
        <v>0</v>
      </c>
      <c r="AI115" s="50" t="e">
        <f ca="1">IF(A115="O", (VALUE(_xludf.IFS(AH115=0,"0",AH115=1,"150",AH115=2,"300",AH115=3,"450",AH115=4,"600",AH115=5,"750",AH115&gt;=6,"800"))),(VALUE(_xludf.IFS(AH115=0,"0",AH115=1,"150",AH115=2,"300",AH115=3,"450",AH115=4,"600",AH115=5,"750",AH115=6,"900",AH115&gt;=7,"1,000"))))</f>
        <v>#NAME?</v>
      </c>
      <c r="AJ115" s="31" t="str">
        <f t="shared" si="8"/>
        <v>欣容</v>
      </c>
      <c r="AK115" s="32"/>
    </row>
    <row r="116" spans="1:37" ht="18" customHeight="1">
      <c r="A116" s="26" t="s">
        <v>58</v>
      </c>
      <c r="B116" s="27" t="s">
        <v>132</v>
      </c>
      <c r="C116" s="28"/>
      <c r="D116" s="28"/>
      <c r="E116" s="28"/>
      <c r="F116" s="28"/>
      <c r="G116" s="2"/>
      <c r="H116" s="28"/>
      <c r="I116" s="28"/>
      <c r="J116" s="28"/>
      <c r="K116" s="28"/>
      <c r="L116" s="28"/>
      <c r="M116" s="28"/>
      <c r="N116" s="2"/>
      <c r="O116" s="28"/>
      <c r="P116" s="28"/>
      <c r="Q116" s="28"/>
      <c r="R116" s="28"/>
      <c r="S116" s="28"/>
      <c r="T116" s="28"/>
      <c r="U116" s="2"/>
      <c r="V116" s="28"/>
      <c r="W116" s="2"/>
      <c r="X116" s="28"/>
      <c r="Y116" s="28"/>
      <c r="Z116" s="28"/>
      <c r="AA116" s="28"/>
      <c r="AB116" s="2"/>
      <c r="AC116" s="28"/>
      <c r="AD116" s="2"/>
      <c r="AE116" s="28"/>
      <c r="AF116" s="28"/>
      <c r="AG116" s="28"/>
      <c r="AH116" s="29">
        <f t="shared" si="7"/>
        <v>0</v>
      </c>
      <c r="AI116" s="50" t="e">
        <f ca="1">IF(A116="O", (VALUE(_xludf.IFS(AH116=0,"0",AH116=1,"150",AH116=2,"300",AH116=3,"450",AH116=4,"600",AH116=5,"750",AH116&gt;=6,"800"))),(VALUE(_xludf.IFS(AH116=0,"0",AH116=1,"150",AH116=2,"300",AH116=3,"450",AH116=4,"600",AH116=5,"750",AH116=6,"900",AH116&gt;=7,"1,000"))))</f>
        <v>#NAME?</v>
      </c>
      <c r="AJ116" s="31" t="str">
        <f t="shared" si="8"/>
        <v>萁萁</v>
      </c>
      <c r="AK116" s="32"/>
    </row>
    <row r="117" spans="1:37" ht="18" customHeight="1">
      <c r="A117" s="26" t="s">
        <v>58</v>
      </c>
      <c r="B117" s="27" t="s">
        <v>133</v>
      </c>
      <c r="C117" s="28"/>
      <c r="D117" s="28"/>
      <c r="E117" s="28"/>
      <c r="F117" s="28">
        <v>1</v>
      </c>
      <c r="G117" s="2"/>
      <c r="H117" s="28"/>
      <c r="I117" s="28">
        <v>1</v>
      </c>
      <c r="J117" s="28">
        <v>1</v>
      </c>
      <c r="K117" s="28">
        <v>1</v>
      </c>
      <c r="L117" s="28"/>
      <c r="M117" s="28">
        <v>1</v>
      </c>
      <c r="N117" s="2"/>
      <c r="O117" s="28">
        <v>1</v>
      </c>
      <c r="P117" s="28"/>
      <c r="Q117" s="28"/>
      <c r="R117" s="28">
        <v>1</v>
      </c>
      <c r="S117" s="28"/>
      <c r="T117" s="28"/>
      <c r="U117" s="2"/>
      <c r="V117" s="28"/>
      <c r="W117" s="2"/>
      <c r="X117" s="28"/>
      <c r="Y117" s="28"/>
      <c r="Z117" s="28"/>
      <c r="AA117" s="28"/>
      <c r="AB117" s="2"/>
      <c r="AC117" s="28"/>
      <c r="AD117" s="2"/>
      <c r="AE117" s="28">
        <v>1</v>
      </c>
      <c r="AF117" s="28"/>
      <c r="AG117" s="28"/>
      <c r="AH117" s="29">
        <f t="shared" si="7"/>
        <v>8</v>
      </c>
      <c r="AI117" s="50" t="e">
        <f ca="1">IF(A117="O", (VALUE(_xludf.IFS(AH117=0,"0",AH117=1,"150",AH117=2,"300",AH117=3,"450",AH117=4,"600",AH117=5,"750",AH117&gt;=6,"800"))),(VALUE(_xludf.IFS(AH117=0,"0",AH117=1,"150",AH117=2,"300",AH117=3,"450",AH117=4,"600",AH117=5,"750",AH117=6,"900",AH117&gt;=7,"1,000"))))</f>
        <v>#NAME?</v>
      </c>
      <c r="AJ117" s="31" t="str">
        <f t="shared" si="8"/>
        <v>萱</v>
      </c>
      <c r="AK117" s="32"/>
    </row>
    <row r="118" spans="1:37" ht="18" customHeight="1">
      <c r="A118" s="26" t="s">
        <v>58</v>
      </c>
      <c r="B118" s="27" t="s">
        <v>134</v>
      </c>
      <c r="C118" s="28"/>
      <c r="D118" s="28"/>
      <c r="E118" s="28"/>
      <c r="F118" s="28"/>
      <c r="G118" s="2"/>
      <c r="H118" s="28"/>
      <c r="I118" s="28"/>
      <c r="J118" s="28"/>
      <c r="K118" s="28"/>
      <c r="L118" s="28"/>
      <c r="M118" s="28"/>
      <c r="N118" s="2"/>
      <c r="O118" s="28"/>
      <c r="P118" s="28"/>
      <c r="Q118" s="28"/>
      <c r="R118" s="28"/>
      <c r="S118" s="28"/>
      <c r="T118" s="28"/>
      <c r="U118" s="2"/>
      <c r="V118" s="28"/>
      <c r="W118" s="2"/>
      <c r="X118" s="28"/>
      <c r="Y118" s="28"/>
      <c r="Z118" s="28"/>
      <c r="AA118" s="28"/>
      <c r="AB118" s="2"/>
      <c r="AC118" s="28"/>
      <c r="AD118" s="2"/>
      <c r="AE118" s="28"/>
      <c r="AF118" s="28"/>
      <c r="AG118" s="28"/>
      <c r="AH118" s="29">
        <f t="shared" si="7"/>
        <v>0</v>
      </c>
      <c r="AI118" s="50" t="e">
        <f ca="1">IF(A118="O", (VALUE(_xludf.IFS(AH118=0,"0",AH118=1,"150",AH118=2,"300",AH118=3,"450",AH118=4,"600",AH118=5,"750",AH118&gt;=6,"800"))),(VALUE(_xludf.IFS(AH118=0,"0",AH118=1,"150",AH118=2,"300",AH118=3,"450",AH118=4,"600",AH118=5,"750",AH118=6,"900",AH118&gt;=7,"1,000"))))</f>
        <v>#NAME?</v>
      </c>
      <c r="AJ118" s="31" t="str">
        <f t="shared" si="8"/>
        <v>Mei</v>
      </c>
      <c r="AK118" s="32"/>
    </row>
    <row r="119" spans="1:37" ht="18" customHeight="1">
      <c r="A119" s="26" t="s">
        <v>58</v>
      </c>
      <c r="B119" s="27" t="s">
        <v>135</v>
      </c>
      <c r="C119" s="28"/>
      <c r="D119" s="28"/>
      <c r="E119" s="28"/>
      <c r="F119" s="28"/>
      <c r="G119" s="2"/>
      <c r="H119" s="28"/>
      <c r="I119" s="28"/>
      <c r="J119" s="28"/>
      <c r="K119" s="28"/>
      <c r="L119" s="28"/>
      <c r="M119" s="28"/>
      <c r="N119" s="2"/>
      <c r="O119" s="28"/>
      <c r="P119" s="28"/>
      <c r="Q119" s="28"/>
      <c r="R119" s="28"/>
      <c r="S119" s="28"/>
      <c r="T119" s="28"/>
      <c r="U119" s="2"/>
      <c r="V119" s="28"/>
      <c r="W119" s="2"/>
      <c r="X119" s="28"/>
      <c r="Y119" s="28"/>
      <c r="Z119" s="28"/>
      <c r="AA119" s="28"/>
      <c r="AB119" s="2"/>
      <c r="AC119" s="28"/>
      <c r="AD119" s="2"/>
      <c r="AE119" s="28"/>
      <c r="AF119" s="28"/>
      <c r="AG119" s="28"/>
      <c r="AH119" s="29">
        <f t="shared" si="7"/>
        <v>0</v>
      </c>
      <c r="AI119" s="50" t="e">
        <f ca="1">IF(A119="O", (VALUE(_xludf.IFS(AH119=0,"0",AH119=1,"150",AH119=2,"300",AH119=3,"450",AH119=4,"600",AH119=5,"750",AH119&gt;=6,"800"))),(VALUE(_xludf.IFS(AH119=0,"0",AH119=1,"150",AH119=2,"300",AH119=3,"450",AH119=4,"600",AH119=5,"750",AH119=6,"900",AH119&gt;=7,"1,000"))))</f>
        <v>#NAME?</v>
      </c>
      <c r="AJ119" s="31" t="str">
        <f t="shared" si="8"/>
        <v>屁屁</v>
      </c>
      <c r="AK119" s="32"/>
    </row>
    <row r="120" spans="1:37" ht="18" customHeight="1">
      <c r="A120" s="26" t="s">
        <v>58</v>
      </c>
      <c r="B120" s="27" t="s">
        <v>136</v>
      </c>
      <c r="C120" s="28"/>
      <c r="D120" s="28"/>
      <c r="E120" s="28"/>
      <c r="F120" s="28"/>
      <c r="G120" s="2"/>
      <c r="H120" s="28"/>
      <c r="I120" s="28"/>
      <c r="J120" s="28"/>
      <c r="K120" s="28"/>
      <c r="L120" s="28"/>
      <c r="M120" s="28"/>
      <c r="N120" s="2"/>
      <c r="O120" s="28"/>
      <c r="P120" s="28"/>
      <c r="Q120" s="28"/>
      <c r="R120" s="28"/>
      <c r="S120" s="28"/>
      <c r="T120" s="28"/>
      <c r="U120" s="2"/>
      <c r="V120" s="28"/>
      <c r="W120" s="2"/>
      <c r="X120" s="28"/>
      <c r="Y120" s="28"/>
      <c r="Z120" s="28"/>
      <c r="AA120" s="28"/>
      <c r="AB120" s="2"/>
      <c r="AC120" s="28"/>
      <c r="AD120" s="2"/>
      <c r="AE120" s="28"/>
      <c r="AF120" s="28"/>
      <c r="AG120" s="28"/>
      <c r="AH120" s="29">
        <f t="shared" si="7"/>
        <v>0</v>
      </c>
      <c r="AI120" s="50" t="e">
        <f ca="1">IF(A120="O", (VALUE(_xludf.IFS(AH120=0,"0",AH120=1,"150",AH120=2,"300",AH120=3,"450",AH120=4,"600",AH120=5,"750",AH120&gt;=6,"800"))),(VALUE(_xludf.IFS(AH120=0,"0",AH120=1,"150",AH120=2,"300",AH120=3,"450",AH120=4,"600",AH120=5,"750",AH120=6,"900",AH120&gt;=7,"1,000"))))</f>
        <v>#NAME?</v>
      </c>
      <c r="AJ120" s="31" t="str">
        <f t="shared" si="8"/>
        <v>泡泡</v>
      </c>
      <c r="AK120" s="32"/>
    </row>
    <row r="121" spans="1:37" ht="18" customHeight="1">
      <c r="A121" s="26" t="s">
        <v>58</v>
      </c>
      <c r="B121" s="27" t="s">
        <v>137</v>
      </c>
      <c r="C121" s="28"/>
      <c r="D121" s="28"/>
      <c r="E121" s="28"/>
      <c r="F121" s="28"/>
      <c r="G121" s="2"/>
      <c r="H121" s="28"/>
      <c r="I121" s="28"/>
      <c r="J121" s="28"/>
      <c r="K121" s="28"/>
      <c r="L121" s="28"/>
      <c r="M121" s="28"/>
      <c r="N121" s="2"/>
      <c r="O121" s="28"/>
      <c r="P121" s="28"/>
      <c r="Q121" s="28"/>
      <c r="R121" s="28"/>
      <c r="S121" s="28"/>
      <c r="T121" s="28"/>
      <c r="U121" s="2"/>
      <c r="V121" s="28"/>
      <c r="W121" s="2"/>
      <c r="X121" s="28"/>
      <c r="Y121" s="28"/>
      <c r="Z121" s="28"/>
      <c r="AA121" s="28"/>
      <c r="AB121" s="2"/>
      <c r="AC121" s="28"/>
      <c r="AD121" s="2"/>
      <c r="AE121" s="28"/>
      <c r="AF121" s="28"/>
      <c r="AG121" s="28"/>
      <c r="AH121" s="29">
        <f t="shared" si="7"/>
        <v>0</v>
      </c>
      <c r="AI121" s="50" t="e">
        <f ca="1">IF(A121="O", (VALUE(_xludf.IFS(AH121=0,"0",AH121=1,"150",AH121=2,"300",AH121=3,"450",AH121=4,"600",AH121=5,"750",AH121&gt;=6,"800"))),(VALUE(_xludf.IFS(AH121=0,"0",AH121=1,"150",AH121=2,"300",AH121=3,"450",AH121=4,"600",AH121=5,"750",AH121=6,"900",AH121&gt;=7,"1,000"))))</f>
        <v>#NAME?</v>
      </c>
      <c r="AJ121" s="31" t="str">
        <f t="shared" si="8"/>
        <v>姚</v>
      </c>
      <c r="AK121" s="32"/>
    </row>
    <row r="122" spans="1:37" ht="18" customHeight="1">
      <c r="A122" s="26" t="s">
        <v>58</v>
      </c>
      <c r="B122" s="27" t="s">
        <v>138</v>
      </c>
      <c r="C122" s="28"/>
      <c r="D122" s="28"/>
      <c r="E122" s="28"/>
      <c r="F122" s="28"/>
      <c r="G122" s="2"/>
      <c r="H122" s="28"/>
      <c r="I122" s="28"/>
      <c r="J122" s="28"/>
      <c r="K122" s="28"/>
      <c r="L122" s="28"/>
      <c r="M122" s="28"/>
      <c r="N122" s="2"/>
      <c r="O122" s="28"/>
      <c r="P122" s="28"/>
      <c r="Q122" s="28"/>
      <c r="R122" s="28"/>
      <c r="S122" s="28"/>
      <c r="T122" s="28"/>
      <c r="U122" s="2"/>
      <c r="V122" s="28"/>
      <c r="W122" s="2"/>
      <c r="X122" s="28"/>
      <c r="Y122" s="28"/>
      <c r="Z122" s="28"/>
      <c r="AA122" s="28"/>
      <c r="AB122" s="2"/>
      <c r="AC122" s="28"/>
      <c r="AD122" s="2"/>
      <c r="AE122" s="28"/>
      <c r="AF122" s="28"/>
      <c r="AG122" s="28"/>
      <c r="AH122" s="29">
        <f t="shared" si="7"/>
        <v>0</v>
      </c>
      <c r="AI122" s="50" t="e">
        <f ca="1">IF(A122="O", (VALUE(_xludf.IFS(AH122=0,"0",AH122=1,"150",AH122=2,"300",AH122=3,"450",AH122=4,"600",AH122=5,"750",AH122&gt;=6,"800"))),(VALUE(_xludf.IFS(AH122=0,"0",AH122=1,"150",AH122=2,"300",AH122=3,"450",AH122=4,"600",AH122=5,"750",AH122=6,"900",AH122&gt;=7,"1,000"))))</f>
        <v>#NAME?</v>
      </c>
      <c r="AJ122" s="31" t="str">
        <f t="shared" si="8"/>
        <v>奜茜</v>
      </c>
      <c r="AK122" s="32"/>
    </row>
    <row r="123" spans="1:37" ht="18" customHeight="1">
      <c r="A123" s="26" t="s">
        <v>58</v>
      </c>
      <c r="B123" s="27" t="s">
        <v>121</v>
      </c>
      <c r="C123" s="28">
        <v>1</v>
      </c>
      <c r="D123" s="28">
        <v>1</v>
      </c>
      <c r="E123" s="28"/>
      <c r="F123" s="28">
        <v>1</v>
      </c>
      <c r="G123" s="2"/>
      <c r="H123" s="28">
        <v>1</v>
      </c>
      <c r="I123" s="28"/>
      <c r="J123" s="28">
        <v>1</v>
      </c>
      <c r="K123" s="28">
        <v>1</v>
      </c>
      <c r="L123" s="28"/>
      <c r="M123" s="28">
        <v>1</v>
      </c>
      <c r="N123" s="2"/>
      <c r="O123" s="28">
        <v>1</v>
      </c>
      <c r="P123" s="28"/>
      <c r="Q123" s="28"/>
      <c r="R123" s="28">
        <v>1</v>
      </c>
      <c r="S123" s="28"/>
      <c r="T123" s="28"/>
      <c r="U123" s="2"/>
      <c r="V123" s="28"/>
      <c r="W123" s="2"/>
      <c r="X123" s="28"/>
      <c r="Y123" s="28"/>
      <c r="Z123" s="28"/>
      <c r="AA123" s="28">
        <v>1</v>
      </c>
      <c r="AB123" s="2"/>
      <c r="AC123" s="28"/>
      <c r="AD123" s="2"/>
      <c r="AE123" s="28">
        <v>1</v>
      </c>
      <c r="AF123" s="28"/>
      <c r="AG123" s="28"/>
      <c r="AH123" s="29">
        <f t="shared" si="7"/>
        <v>11</v>
      </c>
      <c r="AI123" s="50" t="e">
        <f ca="1">IF(A123="O", (VALUE(_xludf.IFS(AH123=0,"0",AH123=1,"150",AH123=2,"300",AH123=3,"450",AH123=4,"600",AH123=5,"750",AH123&gt;=6,"800"))),(VALUE(_xludf.IFS(AH123=0,"0",AH123=1,"150",AH123=2,"300",AH123=3,"450",AH123=4,"600",AH123=5,"750",AH123=6,"900",AH123&gt;=7,"1,000"))))</f>
        <v>#NAME?</v>
      </c>
      <c r="AJ123" s="31" t="str">
        <f t="shared" si="8"/>
        <v>冰沙</v>
      </c>
      <c r="AK123" s="32"/>
    </row>
    <row r="124" spans="1:37" ht="18" customHeight="1">
      <c r="A124" s="26" t="s">
        <v>58</v>
      </c>
      <c r="B124" s="27" t="s">
        <v>139</v>
      </c>
      <c r="C124" s="28">
        <v>1</v>
      </c>
      <c r="D124" s="28">
        <v>1</v>
      </c>
      <c r="E124" s="28"/>
      <c r="F124" s="28"/>
      <c r="G124" s="2"/>
      <c r="H124" s="28">
        <v>1</v>
      </c>
      <c r="I124" s="28"/>
      <c r="J124" s="28"/>
      <c r="K124" s="28">
        <v>1</v>
      </c>
      <c r="L124" s="28"/>
      <c r="M124" s="28">
        <v>1</v>
      </c>
      <c r="N124" s="2"/>
      <c r="O124" s="28">
        <v>1</v>
      </c>
      <c r="P124" s="28"/>
      <c r="Q124" s="28"/>
      <c r="R124" s="28">
        <v>1</v>
      </c>
      <c r="S124" s="28"/>
      <c r="T124" s="28"/>
      <c r="U124" s="2"/>
      <c r="V124" s="28"/>
      <c r="W124" s="2"/>
      <c r="X124" s="28"/>
      <c r="Y124" s="28"/>
      <c r="Z124" s="28"/>
      <c r="AA124" s="28"/>
      <c r="AB124" s="2"/>
      <c r="AC124" s="28"/>
      <c r="AD124" s="2"/>
      <c r="AE124" s="28"/>
      <c r="AF124" s="28"/>
      <c r="AG124" s="28"/>
      <c r="AH124" s="29">
        <f t="shared" si="7"/>
        <v>7</v>
      </c>
      <c r="AI124" s="50" t="e">
        <f ca="1">IF(A124="O", (VALUE(_xludf.IFS(AH124=0,"0",AH124=1,"150",AH124=2,"300",AH124=3,"450",AH124=4,"600",AH124=5,"750",AH124&gt;=6,"800"))),(VALUE(_xludf.IFS(AH124=0,"0",AH124=1,"150",AH124=2,"300",AH124=3,"450",AH124=4,"600",AH124=5,"750",AH124=6,"900",AH124&gt;=7,"1,000"))))</f>
        <v>#NAME?</v>
      </c>
      <c r="AJ124" s="31" t="str">
        <f t="shared" si="8"/>
        <v>Tina</v>
      </c>
      <c r="AK124" s="32"/>
    </row>
    <row r="125" spans="1:37" ht="18" customHeight="1">
      <c r="A125" s="26" t="s">
        <v>58</v>
      </c>
      <c r="B125" s="27" t="s">
        <v>113</v>
      </c>
      <c r="C125" s="28"/>
      <c r="D125" s="28">
        <v>1</v>
      </c>
      <c r="E125" s="28"/>
      <c r="F125" s="28"/>
      <c r="G125" s="2"/>
      <c r="H125" s="28">
        <v>1</v>
      </c>
      <c r="I125" s="28"/>
      <c r="J125" s="28">
        <v>1</v>
      </c>
      <c r="K125" s="28">
        <v>1</v>
      </c>
      <c r="L125" s="28"/>
      <c r="M125" s="28"/>
      <c r="N125" s="2"/>
      <c r="O125" s="28">
        <v>1</v>
      </c>
      <c r="P125" s="28"/>
      <c r="Q125" s="28"/>
      <c r="R125" s="28">
        <v>1</v>
      </c>
      <c r="S125" s="28"/>
      <c r="T125" s="28"/>
      <c r="U125" s="2"/>
      <c r="V125" s="28"/>
      <c r="W125" s="2"/>
      <c r="X125" s="28"/>
      <c r="Y125" s="28"/>
      <c r="Z125" s="28"/>
      <c r="AA125" s="28"/>
      <c r="AB125" s="2"/>
      <c r="AC125" s="28"/>
      <c r="AD125" s="2"/>
      <c r="AE125" s="28"/>
      <c r="AF125" s="28"/>
      <c r="AG125" s="28"/>
      <c r="AH125" s="29">
        <f t="shared" si="7"/>
        <v>6</v>
      </c>
      <c r="AI125" s="50" t="e">
        <f ca="1">IF(A125="O", (VALUE(_xludf.IFS(AH125=0,"0",AH125=1,"150",AH125=2,"300",AH125=3,"450",AH125=4,"600",AH125=5,"750",AH125&gt;=6,"800"))),(VALUE(_xludf.IFS(AH125=0,"0",AH125=1,"150",AH125=2,"300",AH125=3,"450",AH125=4,"600",AH125=5,"750",AH125=6,"900",AH125&gt;=7,"1,000"))))</f>
        <v>#NAME?</v>
      </c>
      <c r="AJ125" s="31" t="str">
        <f t="shared" si="8"/>
        <v>容容</v>
      </c>
      <c r="AK125" s="32"/>
    </row>
    <row r="126" spans="1:37" ht="18" customHeight="1">
      <c r="A126" s="26" t="s">
        <v>58</v>
      </c>
      <c r="B126" s="27" t="s">
        <v>117</v>
      </c>
      <c r="C126" s="28">
        <v>1</v>
      </c>
      <c r="D126" s="28">
        <v>1</v>
      </c>
      <c r="E126" s="28"/>
      <c r="F126" s="28"/>
      <c r="G126" s="2"/>
      <c r="H126" s="28">
        <v>1</v>
      </c>
      <c r="I126" s="28"/>
      <c r="J126" s="28"/>
      <c r="K126" s="28">
        <v>1</v>
      </c>
      <c r="L126" s="28"/>
      <c r="M126" s="28"/>
      <c r="N126" s="2"/>
      <c r="O126" s="28">
        <v>1</v>
      </c>
      <c r="P126" s="28"/>
      <c r="Q126" s="28"/>
      <c r="R126" s="28">
        <v>1</v>
      </c>
      <c r="S126" s="28"/>
      <c r="T126" s="28"/>
      <c r="U126" s="2"/>
      <c r="V126" s="28"/>
      <c r="W126" s="2"/>
      <c r="X126" s="28"/>
      <c r="Y126" s="28"/>
      <c r="Z126" s="28"/>
      <c r="AA126" s="28"/>
      <c r="AB126" s="2"/>
      <c r="AC126" s="28"/>
      <c r="AD126" s="2"/>
      <c r="AE126" s="28"/>
      <c r="AF126" s="28"/>
      <c r="AG126" s="28"/>
      <c r="AH126" s="29">
        <f t="shared" si="7"/>
        <v>6</v>
      </c>
      <c r="AI126" s="50" t="e">
        <f ca="1">IF(A126="O", (VALUE(_xludf.IFS(AH126=0,"0",AH126=1,"150",AH126=2,"300",AH126=3,"450",AH126=4,"600",AH126=5,"750",AH126&gt;=6,"800"))),(VALUE(_xludf.IFS(AH126=0,"0",AH126=1,"150",AH126=2,"300",AH126=3,"450",AH126=4,"600",AH126=5,"750",AH126=6,"900",AH126&gt;=7,"1,000"))))</f>
        <v>#NAME?</v>
      </c>
      <c r="AJ126" s="31" t="str">
        <f t="shared" si="8"/>
        <v>依凡</v>
      </c>
      <c r="AK126" s="32"/>
    </row>
    <row r="127" spans="1:37" ht="18" customHeight="1">
      <c r="A127" s="26" t="s">
        <v>58</v>
      </c>
      <c r="B127" s="27" t="s">
        <v>122</v>
      </c>
      <c r="C127" s="28">
        <v>1</v>
      </c>
      <c r="D127" s="28">
        <v>1</v>
      </c>
      <c r="E127" s="28"/>
      <c r="F127" s="28">
        <v>1</v>
      </c>
      <c r="G127" s="2"/>
      <c r="H127" s="28">
        <v>1</v>
      </c>
      <c r="I127" s="28">
        <v>1</v>
      </c>
      <c r="J127" s="28">
        <v>1</v>
      </c>
      <c r="K127" s="28">
        <v>1</v>
      </c>
      <c r="L127" s="28"/>
      <c r="M127" s="28">
        <v>1</v>
      </c>
      <c r="N127" s="2"/>
      <c r="O127" s="28">
        <v>1</v>
      </c>
      <c r="P127" s="28">
        <v>1</v>
      </c>
      <c r="Q127" s="28"/>
      <c r="R127" s="28">
        <v>1</v>
      </c>
      <c r="S127" s="28"/>
      <c r="T127" s="28"/>
      <c r="U127" s="2"/>
      <c r="V127" s="28"/>
      <c r="W127" s="2"/>
      <c r="X127" s="28"/>
      <c r="Y127" s="28"/>
      <c r="Z127" s="28"/>
      <c r="AA127" s="28"/>
      <c r="AB127" s="2"/>
      <c r="AC127" s="28"/>
      <c r="AD127" s="2"/>
      <c r="AE127" s="28">
        <v>1</v>
      </c>
      <c r="AF127" s="28"/>
      <c r="AG127" s="28"/>
      <c r="AH127" s="29">
        <f t="shared" si="7"/>
        <v>12</v>
      </c>
      <c r="AI127" s="50" t="e">
        <f ca="1">IF(A127="O", (VALUE(_xludf.IFS(AH127=0,"0",AH127=1,"150",AH127=2,"300",AH127=3,"450",AH127=4,"600",AH127=5,"750",AH127&gt;=6,"800"))),(VALUE(_xludf.IFS(AH127=0,"0",AH127=1,"150",AH127=2,"300",AH127=3,"450",AH127=4,"600",AH127=5,"750",AH127=6,"900",AH127&gt;=7,"1,000"))))</f>
        <v>#NAME?</v>
      </c>
      <c r="AJ127" s="31" t="str">
        <f t="shared" si="8"/>
        <v>幸恩</v>
      </c>
      <c r="AK127" s="32"/>
    </row>
    <row r="128" spans="1:37" ht="18" customHeight="1">
      <c r="A128" s="26" t="s">
        <v>58</v>
      </c>
      <c r="B128" s="27" t="s">
        <v>140</v>
      </c>
      <c r="C128" s="28">
        <v>1</v>
      </c>
      <c r="D128" s="28">
        <v>1</v>
      </c>
      <c r="E128" s="28"/>
      <c r="F128" s="28"/>
      <c r="G128" s="2"/>
      <c r="H128" s="28">
        <v>1</v>
      </c>
      <c r="I128" s="28"/>
      <c r="J128" s="28"/>
      <c r="K128" s="28">
        <v>1</v>
      </c>
      <c r="L128" s="28"/>
      <c r="M128" s="28"/>
      <c r="N128" s="2"/>
      <c r="O128" s="28">
        <v>1</v>
      </c>
      <c r="P128" s="28"/>
      <c r="Q128" s="28"/>
      <c r="R128" s="28">
        <v>1</v>
      </c>
      <c r="S128" s="28"/>
      <c r="T128" s="28"/>
      <c r="U128" s="2"/>
      <c r="V128" s="28"/>
      <c r="W128" s="2"/>
      <c r="X128" s="28"/>
      <c r="Y128" s="28"/>
      <c r="Z128" s="28"/>
      <c r="AA128" s="28"/>
      <c r="AB128" s="2"/>
      <c r="AC128" s="28"/>
      <c r="AD128" s="2"/>
      <c r="AE128" s="28"/>
      <c r="AF128" s="28"/>
      <c r="AG128" s="28"/>
      <c r="AH128" s="29">
        <f t="shared" si="7"/>
        <v>6</v>
      </c>
      <c r="AI128" s="50" t="e">
        <f ca="1">IF(A128="O", (VALUE(_xludf.IFS(AH128=0,"0",AH128=1,"150",AH128=2,"300",AH128=3,"450",AH128=4,"600",AH128=5,"750",AH128&gt;=6,"800"))),(VALUE(_xludf.IFS(AH128=0,"0",AH128=1,"150",AH128=2,"300",AH128=3,"450",AH128=4,"600",AH128=5,"750",AH128=6,"900",AH128&gt;=7,"1,000"))))</f>
        <v>#NAME?</v>
      </c>
      <c r="AJ128" s="31" t="str">
        <f t="shared" si="8"/>
        <v>芷琦</v>
      </c>
      <c r="AK128" s="32"/>
    </row>
    <row r="129" spans="1:37" ht="18" customHeight="1">
      <c r="A129" s="26" t="s">
        <v>58</v>
      </c>
      <c r="B129" s="27" t="s">
        <v>106</v>
      </c>
      <c r="C129" s="28">
        <v>1</v>
      </c>
      <c r="D129" s="28">
        <v>1</v>
      </c>
      <c r="E129" s="28"/>
      <c r="F129" s="28"/>
      <c r="G129" s="2"/>
      <c r="H129" s="28">
        <v>1</v>
      </c>
      <c r="I129" s="28"/>
      <c r="J129" s="28">
        <v>1</v>
      </c>
      <c r="K129" s="28">
        <v>1</v>
      </c>
      <c r="L129" s="28"/>
      <c r="M129" s="28"/>
      <c r="N129" s="2"/>
      <c r="O129" s="28">
        <v>1</v>
      </c>
      <c r="P129" s="28"/>
      <c r="Q129" s="28"/>
      <c r="R129" s="28">
        <v>1</v>
      </c>
      <c r="S129" s="28"/>
      <c r="T129" s="28"/>
      <c r="U129" s="2"/>
      <c r="V129" s="28"/>
      <c r="W129" s="2"/>
      <c r="X129" s="28"/>
      <c r="Y129" s="28"/>
      <c r="Z129" s="28"/>
      <c r="AA129" s="28"/>
      <c r="AB129" s="2"/>
      <c r="AC129" s="28"/>
      <c r="AD129" s="2"/>
      <c r="AE129" s="28"/>
      <c r="AF129" s="28"/>
      <c r="AG129" s="28"/>
      <c r="AH129" s="29">
        <f t="shared" si="7"/>
        <v>7</v>
      </c>
      <c r="AI129" s="50" t="e">
        <f ca="1">IF(A129="O", (VALUE(_xludf.IFS(AH129=0,"0",AH129=1,"150",AH129=2,"300",AH129=3,"450",AH129=4,"600",AH129=5,"750",AH129&gt;=6,"800"))),(VALUE(_xludf.IFS(AH129=0,"0",AH129=1,"150",AH129=2,"300",AH129=3,"450",AH129=4,"600",AH129=5,"750",AH129=6,"900",AH129&gt;=7,"1,000"))))</f>
        <v>#NAME?</v>
      </c>
      <c r="AJ129" s="31" t="str">
        <f t="shared" si="8"/>
        <v>Nina</v>
      </c>
      <c r="AK129" s="32"/>
    </row>
    <row r="130" spans="1:37" ht="18" customHeight="1">
      <c r="A130" s="26" t="s">
        <v>58</v>
      </c>
      <c r="B130" s="57" t="s">
        <v>205</v>
      </c>
      <c r="C130" s="28">
        <v>1</v>
      </c>
      <c r="D130" s="28">
        <v>1</v>
      </c>
      <c r="E130" s="28"/>
      <c r="F130" s="28">
        <v>1</v>
      </c>
      <c r="G130" s="2"/>
      <c r="H130" s="28">
        <v>1</v>
      </c>
      <c r="I130" s="28"/>
      <c r="J130" s="28">
        <v>1</v>
      </c>
      <c r="K130" s="28">
        <v>1</v>
      </c>
      <c r="L130" s="28"/>
      <c r="M130" s="28">
        <v>1</v>
      </c>
      <c r="N130" s="2"/>
      <c r="O130" s="28">
        <v>1</v>
      </c>
      <c r="P130" s="28">
        <v>1</v>
      </c>
      <c r="Q130" s="28"/>
      <c r="R130" s="28">
        <v>1</v>
      </c>
      <c r="S130" s="28"/>
      <c r="T130" s="28"/>
      <c r="U130" s="2"/>
      <c r="V130" s="28"/>
      <c r="W130" s="2"/>
      <c r="X130" s="28"/>
      <c r="Y130" s="28"/>
      <c r="Z130" s="28"/>
      <c r="AA130" s="28"/>
      <c r="AB130" s="2"/>
      <c r="AC130" s="28"/>
      <c r="AD130" s="2"/>
      <c r="AE130" s="28"/>
      <c r="AF130" s="28"/>
      <c r="AG130" s="28"/>
      <c r="AH130" s="29">
        <f t="shared" si="7"/>
        <v>10</v>
      </c>
      <c r="AI130" s="50" t="e">
        <f ca="1">IF(A130="O", (VALUE(_xludf.IFS(AH130=0,"0",AH130=1,"150",AH130=2,"300",AH130=3,"450",AH130=4,"600",AH130=5,"750",AH130&gt;=6,"800"))),(VALUE(_xludf.IFS(AH130=0,"0",AH130=1,"150",AH130=2,"300",AH130=3,"450",AH130=4,"600",AH130=5,"750",AH130=6,"900",AH130&gt;=7,"1,000"))))</f>
        <v>#NAME?</v>
      </c>
      <c r="AJ130" s="31" t="str">
        <f t="shared" si="8"/>
        <v>琬琬</v>
      </c>
      <c r="AK130" s="32"/>
    </row>
    <row r="131" spans="1:37" ht="18" customHeight="1">
      <c r="A131" s="35" t="s">
        <v>58</v>
      </c>
      <c r="B131" s="36" t="s">
        <v>41</v>
      </c>
      <c r="C131" s="37"/>
      <c r="D131" s="37"/>
      <c r="E131" s="37"/>
      <c r="F131" s="37"/>
      <c r="G131" s="2"/>
      <c r="H131" s="37"/>
      <c r="I131" s="37"/>
      <c r="J131" s="37"/>
      <c r="K131" s="37"/>
      <c r="L131" s="37"/>
      <c r="M131" s="37"/>
      <c r="N131" s="2"/>
      <c r="O131" s="37"/>
      <c r="P131" s="37"/>
      <c r="Q131" s="37"/>
      <c r="R131" s="37"/>
      <c r="S131" s="37"/>
      <c r="T131" s="37"/>
      <c r="U131" s="2"/>
      <c r="V131" s="37"/>
      <c r="W131" s="2"/>
      <c r="X131" s="37"/>
      <c r="Y131" s="37"/>
      <c r="Z131" s="37"/>
      <c r="AA131" s="37"/>
      <c r="AB131" s="2"/>
      <c r="AC131" s="37"/>
      <c r="AD131" s="2"/>
      <c r="AE131" s="37"/>
      <c r="AF131" s="37"/>
      <c r="AG131" s="37"/>
      <c r="AH131" s="38">
        <f t="shared" si="7"/>
        <v>0</v>
      </c>
      <c r="AI131" s="39" t="e">
        <f ca="1">IF(A131="O", (VALUE(_xludf.IFS(AH131=0,"0",AH131=1,"150",AH131=2,"300",AH131=3,"450",AH131=4,"600",AH131=5,"750",AH131&gt;=6,"800"))),(VALUE(_xludf.IFS(AH131=0,"0",AH131=1,"150",AH131=2,"300",AH131=3,"450",AH131=4,"600",AH131=5,"750",AH131=6,"900",AH131&gt;=7,"1,000"))))</f>
        <v>#NAME?</v>
      </c>
      <c r="AJ131" s="40" t="str">
        <f t="shared" si="8"/>
        <v>軟軟</v>
      </c>
      <c r="AK131" s="41"/>
    </row>
    <row r="132" spans="1:37" ht="18" customHeight="1">
      <c r="A132" s="35" t="s">
        <v>58</v>
      </c>
      <c r="B132" s="60" t="s">
        <v>38</v>
      </c>
      <c r="C132" s="58"/>
      <c r="D132" s="58"/>
      <c r="E132" s="58"/>
      <c r="F132" s="58"/>
      <c r="G132" s="46"/>
      <c r="H132" s="58"/>
      <c r="I132" s="58"/>
      <c r="J132" s="58"/>
      <c r="K132" s="58">
        <v>1</v>
      </c>
      <c r="L132" s="58"/>
      <c r="M132" s="58"/>
      <c r="N132" s="46"/>
      <c r="O132" s="58"/>
      <c r="P132" s="58"/>
      <c r="Q132" s="58"/>
      <c r="R132" s="58">
        <v>1</v>
      </c>
      <c r="S132" s="58"/>
      <c r="T132" s="58"/>
      <c r="U132" s="46"/>
      <c r="V132" s="58">
        <v>1</v>
      </c>
      <c r="W132" s="46"/>
      <c r="X132" s="58"/>
      <c r="Y132" s="58"/>
      <c r="Z132" s="58"/>
      <c r="AA132" s="58"/>
      <c r="AB132" s="46"/>
      <c r="AC132" s="58">
        <v>1</v>
      </c>
      <c r="AD132" s="46"/>
      <c r="AE132" s="58">
        <v>1</v>
      </c>
      <c r="AF132" s="58"/>
      <c r="AG132" s="58"/>
      <c r="AH132" s="38">
        <f t="shared" ref="AH132:AH163" si="9">COUNTA(C132:AG132)</f>
        <v>5</v>
      </c>
      <c r="AI132" s="59">
        <v>1000</v>
      </c>
      <c r="AJ132" s="40" t="str">
        <f t="shared" si="8"/>
        <v>阿龍</v>
      </c>
      <c r="AK132" s="41"/>
    </row>
    <row r="133" spans="1:37" ht="18" customHeight="1">
      <c r="A133" s="35" t="s">
        <v>58</v>
      </c>
      <c r="B133" s="60" t="s">
        <v>42</v>
      </c>
      <c r="C133" s="58"/>
      <c r="D133" s="58"/>
      <c r="E133" s="58"/>
      <c r="F133" s="58"/>
      <c r="G133" s="46"/>
      <c r="H133" s="58"/>
      <c r="I133" s="58"/>
      <c r="J133" s="58"/>
      <c r="K133" s="58"/>
      <c r="L133" s="58"/>
      <c r="M133" s="58"/>
      <c r="N133" s="46"/>
      <c r="O133" s="58">
        <v>1</v>
      </c>
      <c r="P133" s="58"/>
      <c r="Q133" s="58"/>
      <c r="R133" s="58"/>
      <c r="S133" s="58"/>
      <c r="T133" s="58"/>
      <c r="U133" s="46"/>
      <c r="V133" s="58"/>
      <c r="W133" s="46"/>
      <c r="X133" s="58"/>
      <c r="Y133" s="58"/>
      <c r="Z133" s="58"/>
      <c r="AA133" s="58"/>
      <c r="AB133" s="46"/>
      <c r="AC133" s="58">
        <v>1</v>
      </c>
      <c r="AD133" s="46"/>
      <c r="AE133" s="58"/>
      <c r="AF133" s="58"/>
      <c r="AG133" s="58"/>
      <c r="AH133" s="38">
        <f t="shared" si="9"/>
        <v>2</v>
      </c>
      <c r="AI133" s="59">
        <v>1000</v>
      </c>
      <c r="AJ133" s="40" t="str">
        <f t="shared" si="8"/>
        <v>屎蛋</v>
      </c>
      <c r="AK133" s="41"/>
    </row>
    <row r="134" spans="1:37" ht="18" customHeight="1">
      <c r="A134" s="35" t="s">
        <v>58</v>
      </c>
      <c r="B134" s="60" t="s">
        <v>87</v>
      </c>
      <c r="C134" s="58"/>
      <c r="D134" s="58"/>
      <c r="E134" s="58"/>
      <c r="F134" s="58">
        <v>1</v>
      </c>
      <c r="G134" s="46"/>
      <c r="H134" s="58">
        <v>1</v>
      </c>
      <c r="I134" s="58">
        <v>1</v>
      </c>
      <c r="J134" s="58"/>
      <c r="K134" s="58">
        <v>1</v>
      </c>
      <c r="L134" s="58"/>
      <c r="M134" s="58">
        <v>1</v>
      </c>
      <c r="N134" s="46"/>
      <c r="O134" s="58">
        <v>1</v>
      </c>
      <c r="P134" s="58"/>
      <c r="Q134" s="58"/>
      <c r="R134" s="58">
        <v>1</v>
      </c>
      <c r="S134" s="58"/>
      <c r="T134" s="58"/>
      <c r="U134" s="46"/>
      <c r="V134" s="58">
        <v>1</v>
      </c>
      <c r="W134" s="46"/>
      <c r="X134" s="58"/>
      <c r="Y134" s="58"/>
      <c r="Z134" s="58"/>
      <c r="AA134" s="58">
        <v>1</v>
      </c>
      <c r="AB134" s="46"/>
      <c r="AC134" s="58">
        <v>1</v>
      </c>
      <c r="AD134" s="46"/>
      <c r="AE134" s="58">
        <v>1</v>
      </c>
      <c r="AF134" s="58">
        <v>1</v>
      </c>
      <c r="AG134" s="58"/>
      <c r="AH134" s="38">
        <f t="shared" si="9"/>
        <v>12</v>
      </c>
      <c r="AI134" s="59">
        <v>1000</v>
      </c>
      <c r="AJ134" s="40" t="str">
        <f t="shared" si="8"/>
        <v>Mango</v>
      </c>
      <c r="AK134" s="41"/>
    </row>
  </sheetData>
  <mergeCells count="5">
    <mergeCell ref="AI1:AI3"/>
    <mergeCell ref="AJ1:AJ3"/>
    <mergeCell ref="AH1:AH3"/>
    <mergeCell ref="A1:B1"/>
    <mergeCell ref="AK1:AK2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A9999"/>
    <outlinePr summaryBelow="0" summaryRight="0"/>
  </sheetPr>
  <dimension ref="A1:AK13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3" width="4.81640625" customWidth="1"/>
    <col min="34" max="34" width="4.453125" customWidth="1"/>
    <col min="35" max="35" width="6" customWidth="1"/>
    <col min="36" max="36" width="6.1796875" customWidth="1"/>
    <col min="37" max="37" width="13.26953125" customWidth="1"/>
  </cols>
  <sheetData>
    <row r="1" spans="1:37" ht="18" customHeight="1">
      <c r="A1" s="287" t="s">
        <v>0</v>
      </c>
      <c r="B1" s="280"/>
      <c r="C1" s="51" t="s">
        <v>182</v>
      </c>
      <c r="D1" s="52"/>
      <c r="E1" s="51" t="s">
        <v>183</v>
      </c>
      <c r="F1" s="52"/>
      <c r="G1" s="51" t="s">
        <v>184</v>
      </c>
      <c r="H1" s="51" t="s">
        <v>185</v>
      </c>
      <c r="I1" s="51" t="s">
        <v>183</v>
      </c>
      <c r="J1" s="51" t="s">
        <v>182</v>
      </c>
      <c r="K1" s="52"/>
      <c r="L1" s="51" t="s">
        <v>183</v>
      </c>
      <c r="M1" s="52"/>
      <c r="N1" s="51" t="s">
        <v>184</v>
      </c>
      <c r="O1" s="51" t="s">
        <v>210</v>
      </c>
      <c r="P1" s="51" t="s">
        <v>186</v>
      </c>
      <c r="Q1" s="51" t="s">
        <v>182</v>
      </c>
      <c r="R1" s="52"/>
      <c r="S1" s="51" t="s">
        <v>211</v>
      </c>
      <c r="T1" s="52"/>
      <c r="U1" s="51" t="s">
        <v>184</v>
      </c>
      <c r="V1" s="51" t="s">
        <v>207</v>
      </c>
      <c r="W1" s="51" t="s">
        <v>211</v>
      </c>
      <c r="X1" s="51" t="s">
        <v>182</v>
      </c>
      <c r="Y1" s="52"/>
      <c r="Z1" s="51" t="s">
        <v>211</v>
      </c>
      <c r="AA1" s="52"/>
      <c r="AB1" s="51" t="s">
        <v>212</v>
      </c>
      <c r="AC1" s="51" t="s">
        <v>207</v>
      </c>
      <c r="AD1" s="51" t="s">
        <v>186</v>
      </c>
      <c r="AE1" s="51" t="s">
        <v>182</v>
      </c>
      <c r="AF1" s="52"/>
      <c r="AG1" s="51" t="s">
        <v>183</v>
      </c>
      <c r="AH1" s="286" t="s">
        <v>6</v>
      </c>
      <c r="AI1" s="284" t="s">
        <v>7</v>
      </c>
      <c r="AJ1" s="285" t="s">
        <v>172</v>
      </c>
      <c r="AK1" s="288" t="s">
        <v>1</v>
      </c>
    </row>
    <row r="2" spans="1:37" ht="18" customHeight="1">
      <c r="A2" s="53" t="s">
        <v>2</v>
      </c>
      <c r="B2" s="54" t="s">
        <v>3</v>
      </c>
      <c r="C2" s="55">
        <v>45292</v>
      </c>
      <c r="D2" s="56">
        <v>45293</v>
      </c>
      <c r="E2" s="55">
        <v>45294</v>
      </c>
      <c r="F2" s="56">
        <v>45295</v>
      </c>
      <c r="G2" s="55">
        <v>45296</v>
      </c>
      <c r="H2" s="55">
        <v>45297</v>
      </c>
      <c r="I2" s="55">
        <v>45298</v>
      </c>
      <c r="J2" s="55">
        <v>45299</v>
      </c>
      <c r="K2" s="56">
        <v>45300</v>
      </c>
      <c r="L2" s="55">
        <v>45301</v>
      </c>
      <c r="M2" s="56">
        <v>45302</v>
      </c>
      <c r="N2" s="55">
        <v>45303</v>
      </c>
      <c r="O2" s="55">
        <v>45304</v>
      </c>
      <c r="P2" s="55">
        <v>45305</v>
      </c>
      <c r="Q2" s="55">
        <v>45306</v>
      </c>
      <c r="R2" s="56">
        <v>45307</v>
      </c>
      <c r="S2" s="55">
        <v>45308</v>
      </c>
      <c r="T2" s="56">
        <v>45309</v>
      </c>
      <c r="U2" s="55">
        <v>45310</v>
      </c>
      <c r="V2" s="55">
        <v>45311</v>
      </c>
      <c r="W2" s="55">
        <v>45312</v>
      </c>
      <c r="X2" s="55">
        <v>45313</v>
      </c>
      <c r="Y2" s="56">
        <v>45314</v>
      </c>
      <c r="Z2" s="55">
        <v>45315</v>
      </c>
      <c r="AA2" s="56">
        <v>45316</v>
      </c>
      <c r="AB2" s="55">
        <v>45317</v>
      </c>
      <c r="AC2" s="55">
        <v>45318</v>
      </c>
      <c r="AD2" s="55">
        <v>45319</v>
      </c>
      <c r="AE2" s="55">
        <v>45320</v>
      </c>
      <c r="AF2" s="56">
        <v>45321</v>
      </c>
      <c r="AG2" s="55">
        <v>45322</v>
      </c>
      <c r="AH2" s="282"/>
      <c r="AI2" s="277"/>
      <c r="AJ2" s="272"/>
      <c r="AK2" s="275"/>
    </row>
    <row r="3" spans="1:37" ht="18" customHeight="1">
      <c r="A3" s="53" t="s">
        <v>4</v>
      </c>
      <c r="B3" s="54" t="s">
        <v>5</v>
      </c>
      <c r="C3" s="51">
        <f t="shared" ref="C3:AG3" si="0">WEEKDAY(C2-1)</f>
        <v>1</v>
      </c>
      <c r="D3" s="52">
        <f t="shared" si="0"/>
        <v>2</v>
      </c>
      <c r="E3" s="51">
        <f t="shared" si="0"/>
        <v>3</v>
      </c>
      <c r="F3" s="52">
        <f t="shared" si="0"/>
        <v>4</v>
      </c>
      <c r="G3" s="51">
        <f t="shared" si="0"/>
        <v>5</v>
      </c>
      <c r="H3" s="51">
        <f t="shared" si="0"/>
        <v>6</v>
      </c>
      <c r="I3" s="51">
        <f t="shared" si="0"/>
        <v>7</v>
      </c>
      <c r="J3" s="51">
        <f t="shared" si="0"/>
        <v>1</v>
      </c>
      <c r="K3" s="52">
        <f t="shared" si="0"/>
        <v>2</v>
      </c>
      <c r="L3" s="51">
        <f t="shared" si="0"/>
        <v>3</v>
      </c>
      <c r="M3" s="52">
        <f t="shared" si="0"/>
        <v>4</v>
      </c>
      <c r="N3" s="51">
        <f t="shared" si="0"/>
        <v>5</v>
      </c>
      <c r="O3" s="51">
        <f t="shared" si="0"/>
        <v>6</v>
      </c>
      <c r="P3" s="51">
        <f t="shared" si="0"/>
        <v>7</v>
      </c>
      <c r="Q3" s="51">
        <f t="shared" si="0"/>
        <v>1</v>
      </c>
      <c r="R3" s="52">
        <f t="shared" si="0"/>
        <v>2</v>
      </c>
      <c r="S3" s="51">
        <f t="shared" si="0"/>
        <v>3</v>
      </c>
      <c r="T3" s="52">
        <f t="shared" si="0"/>
        <v>4</v>
      </c>
      <c r="U3" s="51">
        <f t="shared" si="0"/>
        <v>5</v>
      </c>
      <c r="V3" s="51">
        <f t="shared" si="0"/>
        <v>6</v>
      </c>
      <c r="W3" s="51">
        <f t="shared" si="0"/>
        <v>7</v>
      </c>
      <c r="X3" s="51">
        <f t="shared" si="0"/>
        <v>1</v>
      </c>
      <c r="Y3" s="52">
        <f t="shared" si="0"/>
        <v>2</v>
      </c>
      <c r="Z3" s="51">
        <f t="shared" si="0"/>
        <v>3</v>
      </c>
      <c r="AA3" s="52">
        <f t="shared" si="0"/>
        <v>4</v>
      </c>
      <c r="AB3" s="51">
        <f t="shared" si="0"/>
        <v>5</v>
      </c>
      <c r="AC3" s="51">
        <f t="shared" si="0"/>
        <v>6</v>
      </c>
      <c r="AD3" s="51">
        <f t="shared" si="0"/>
        <v>7</v>
      </c>
      <c r="AE3" s="51">
        <f t="shared" si="0"/>
        <v>1</v>
      </c>
      <c r="AF3" s="52">
        <f t="shared" si="0"/>
        <v>2</v>
      </c>
      <c r="AG3" s="51">
        <f t="shared" si="0"/>
        <v>3</v>
      </c>
      <c r="AH3" s="283"/>
      <c r="AI3" s="278"/>
      <c r="AJ3" s="273"/>
      <c r="AK3" s="62" t="e">
        <f ca="1">SUM(AI4:AI135)</f>
        <v>#NAME?</v>
      </c>
    </row>
    <row r="4" spans="1:37" ht="18" customHeight="1">
      <c r="A4" s="63" t="s">
        <v>174</v>
      </c>
      <c r="B4" s="64" t="s">
        <v>10</v>
      </c>
      <c r="C4" s="65"/>
      <c r="D4" s="52"/>
      <c r="E4" s="65"/>
      <c r="F4" s="52"/>
      <c r="G4" s="65"/>
      <c r="H4" s="65"/>
      <c r="I4" s="65"/>
      <c r="J4" s="65">
        <v>1</v>
      </c>
      <c r="K4" s="52"/>
      <c r="L4" s="65"/>
      <c r="M4" s="52"/>
      <c r="N4" s="65">
        <v>1</v>
      </c>
      <c r="O4" s="65"/>
      <c r="P4" s="65"/>
      <c r="Q4" s="65">
        <v>1</v>
      </c>
      <c r="R4" s="52"/>
      <c r="S4" s="65"/>
      <c r="T4" s="52"/>
      <c r="U4" s="65"/>
      <c r="V4" s="65"/>
      <c r="W4" s="65"/>
      <c r="X4" s="65">
        <v>1</v>
      </c>
      <c r="Y4" s="52"/>
      <c r="Z4" s="65"/>
      <c r="AA4" s="52"/>
      <c r="AB4" s="65"/>
      <c r="AC4" s="65"/>
      <c r="AD4" s="65">
        <v>1</v>
      </c>
      <c r="AE4" s="65"/>
      <c r="AF4" s="52"/>
      <c r="AG4" s="65"/>
      <c r="AH4" s="66">
        <f t="shared" ref="AH4:AH35" si="1">COUNTA(C4:AG4)</f>
        <v>5</v>
      </c>
      <c r="AI4" s="68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69" t="str">
        <f t="shared" ref="AJ4:AJ35" si="2">B4</f>
        <v>阿發</v>
      </c>
      <c r="AK4" s="70"/>
    </row>
    <row r="5" spans="1:37" ht="18" customHeight="1">
      <c r="A5" s="63" t="s">
        <v>174</v>
      </c>
      <c r="B5" s="64" t="s">
        <v>13</v>
      </c>
      <c r="C5" s="65">
        <v>1</v>
      </c>
      <c r="D5" s="52"/>
      <c r="E5" s="65">
        <v>1</v>
      </c>
      <c r="F5" s="52"/>
      <c r="G5" s="65"/>
      <c r="H5" s="65"/>
      <c r="I5" s="65"/>
      <c r="J5" s="65">
        <v>1</v>
      </c>
      <c r="K5" s="52"/>
      <c r="L5" s="65">
        <v>1</v>
      </c>
      <c r="M5" s="52"/>
      <c r="N5" s="65"/>
      <c r="O5" s="65"/>
      <c r="P5" s="65"/>
      <c r="Q5" s="65">
        <v>1</v>
      </c>
      <c r="R5" s="52"/>
      <c r="S5" s="65"/>
      <c r="T5" s="52"/>
      <c r="U5" s="65">
        <v>1</v>
      </c>
      <c r="V5" s="65">
        <v>1</v>
      </c>
      <c r="W5" s="65"/>
      <c r="X5" s="65"/>
      <c r="Y5" s="52"/>
      <c r="Z5" s="65"/>
      <c r="AA5" s="52"/>
      <c r="AB5" s="65"/>
      <c r="AC5" s="65"/>
      <c r="AD5" s="65"/>
      <c r="AE5" s="65">
        <v>1</v>
      </c>
      <c r="AF5" s="52"/>
      <c r="AG5" s="65">
        <v>1</v>
      </c>
      <c r="AH5" s="66">
        <f t="shared" si="1"/>
        <v>9</v>
      </c>
      <c r="AI5" s="68" t="e">
        <f ca="1">IF(A5="O", (VALUE(_xludf.IFS(AH5=0,"0",AH5=1,"150",AH5=2,"300",AH5=3,"450",AH5=4,"600",AH5=5,"750",AH5&gt;=6,"800"))),(VALUE(_xludf.IFS(AH5=0,"0",AH5=1,"150",AH5=2,"300",AH5=3,"450",AH5=4,"600",AH5=5,"750",AH5=6,"900",AH5&gt;=7,"1,000"))))</f>
        <v>#NAME?</v>
      </c>
      <c r="AJ5" s="69" t="str">
        <f t="shared" si="2"/>
        <v>李洋</v>
      </c>
      <c r="AK5" s="70"/>
    </row>
    <row r="6" spans="1:37" ht="18" customHeight="1">
      <c r="A6" s="63" t="s">
        <v>174</v>
      </c>
      <c r="B6" s="64" t="s">
        <v>11</v>
      </c>
      <c r="C6" s="65">
        <v>1</v>
      </c>
      <c r="D6" s="52"/>
      <c r="E6" s="65">
        <v>1</v>
      </c>
      <c r="F6" s="52"/>
      <c r="G6" s="65">
        <v>1</v>
      </c>
      <c r="H6" s="65">
        <v>1</v>
      </c>
      <c r="I6" s="65"/>
      <c r="J6" s="65"/>
      <c r="K6" s="52"/>
      <c r="L6" s="65">
        <v>1</v>
      </c>
      <c r="M6" s="52"/>
      <c r="N6" s="65">
        <v>1</v>
      </c>
      <c r="O6" s="65"/>
      <c r="P6" s="65"/>
      <c r="Q6" s="65">
        <v>1</v>
      </c>
      <c r="R6" s="52"/>
      <c r="S6" s="65"/>
      <c r="T6" s="52"/>
      <c r="U6" s="65">
        <v>1</v>
      </c>
      <c r="V6" s="65"/>
      <c r="W6" s="65"/>
      <c r="X6" s="65">
        <v>1</v>
      </c>
      <c r="Y6" s="52"/>
      <c r="Z6" s="65"/>
      <c r="AA6" s="52"/>
      <c r="AB6" s="65"/>
      <c r="AC6" s="65">
        <v>1</v>
      </c>
      <c r="AD6" s="65"/>
      <c r="AE6" s="65">
        <v>1</v>
      </c>
      <c r="AF6" s="52"/>
      <c r="AG6" s="65">
        <v>1</v>
      </c>
      <c r="AH6" s="66">
        <f t="shared" si="1"/>
        <v>12</v>
      </c>
      <c r="AI6" s="68" t="e">
        <f ca="1">IF(A6="O", (VALUE(_xludf.IFS(AH6=0,"0",AH6=1,"150",AH6=2,"300",AH6=3,"450",AH6=4,"600",AH6=5,"750",AH6&gt;=6,"800"))),(VALUE(_xludf.IFS(AH6=0,"0",AH6=1,"150",AH6=2,"300",AH6=3,"450",AH6=4,"600",AH6=5,"750",AH6=6,"900",AH6&gt;=7,"1,000"))))</f>
        <v>#NAME?</v>
      </c>
      <c r="AJ6" s="69" t="str">
        <f t="shared" si="2"/>
        <v>捷升</v>
      </c>
      <c r="AK6" s="70"/>
    </row>
    <row r="7" spans="1:37" ht="18" customHeight="1">
      <c r="A7" s="63" t="s">
        <v>174</v>
      </c>
      <c r="B7" s="64" t="s">
        <v>19</v>
      </c>
      <c r="C7" s="65">
        <v>1</v>
      </c>
      <c r="D7" s="52"/>
      <c r="E7" s="65">
        <v>1</v>
      </c>
      <c r="F7" s="52"/>
      <c r="G7" s="65">
        <v>1</v>
      </c>
      <c r="H7" s="65">
        <v>1</v>
      </c>
      <c r="I7" s="65"/>
      <c r="J7" s="65">
        <v>1</v>
      </c>
      <c r="K7" s="52"/>
      <c r="L7" s="65">
        <v>1</v>
      </c>
      <c r="M7" s="52"/>
      <c r="N7" s="65"/>
      <c r="O7" s="65"/>
      <c r="P7" s="65">
        <v>1</v>
      </c>
      <c r="Q7" s="65">
        <v>1</v>
      </c>
      <c r="R7" s="52"/>
      <c r="S7" s="65"/>
      <c r="T7" s="52"/>
      <c r="U7" s="65">
        <v>1</v>
      </c>
      <c r="V7" s="65"/>
      <c r="W7" s="65"/>
      <c r="X7" s="65">
        <v>1</v>
      </c>
      <c r="Y7" s="52"/>
      <c r="Z7" s="65"/>
      <c r="AA7" s="52"/>
      <c r="AB7" s="65"/>
      <c r="AC7" s="65"/>
      <c r="AD7" s="65"/>
      <c r="AE7" s="65">
        <v>1</v>
      </c>
      <c r="AF7" s="52"/>
      <c r="AG7" s="65">
        <v>1</v>
      </c>
      <c r="AH7" s="66">
        <f t="shared" si="1"/>
        <v>12</v>
      </c>
      <c r="AI7" s="68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69" t="str">
        <f t="shared" si="2"/>
        <v>青蛙</v>
      </c>
      <c r="AK7" s="70"/>
    </row>
    <row r="8" spans="1:37" ht="18" customHeight="1">
      <c r="A8" s="63" t="s">
        <v>174</v>
      </c>
      <c r="B8" s="64" t="s">
        <v>14</v>
      </c>
      <c r="C8" s="65">
        <v>1</v>
      </c>
      <c r="D8" s="52"/>
      <c r="E8" s="65">
        <v>1</v>
      </c>
      <c r="F8" s="52"/>
      <c r="G8" s="65"/>
      <c r="H8" s="65">
        <v>1</v>
      </c>
      <c r="I8" s="65"/>
      <c r="J8" s="65">
        <v>1</v>
      </c>
      <c r="K8" s="52"/>
      <c r="L8" s="65">
        <v>1</v>
      </c>
      <c r="M8" s="52"/>
      <c r="N8" s="65">
        <v>1</v>
      </c>
      <c r="O8" s="65"/>
      <c r="P8" s="65">
        <v>1</v>
      </c>
      <c r="Q8" s="65">
        <v>1</v>
      </c>
      <c r="R8" s="52"/>
      <c r="S8" s="65"/>
      <c r="T8" s="52"/>
      <c r="U8" s="65">
        <v>1</v>
      </c>
      <c r="V8" s="65">
        <v>1</v>
      </c>
      <c r="W8" s="65"/>
      <c r="X8" s="65">
        <v>1</v>
      </c>
      <c r="Y8" s="52"/>
      <c r="Z8" s="65"/>
      <c r="AA8" s="52"/>
      <c r="AB8" s="65"/>
      <c r="AC8" s="65"/>
      <c r="AD8" s="65">
        <v>1</v>
      </c>
      <c r="AE8" s="65">
        <v>1</v>
      </c>
      <c r="AF8" s="52"/>
      <c r="AG8" s="65">
        <v>1</v>
      </c>
      <c r="AH8" s="66">
        <f t="shared" si="1"/>
        <v>14</v>
      </c>
      <c r="AI8" s="68" t="e">
        <f ca="1">IF(A8="O", (VALUE(_xludf.IFS(AH8=0,"0",AH8=1,"150",AH8=2,"300",AH8=3,"450",AH8=4,"600",AH8=5,"750",AH8&gt;=6,"800"))),(VALUE(_xludf.IFS(AH8=0,"0",AH8=1,"150",AH8=2,"300",AH8=3,"450",AH8=4,"600",AH8=5,"750",AH8=6,"900",AH8&gt;=7,"1,000"))))</f>
        <v>#NAME?</v>
      </c>
      <c r="AJ8" s="69" t="str">
        <f t="shared" si="2"/>
        <v>曉明</v>
      </c>
      <c r="AK8" s="70"/>
    </row>
    <row r="9" spans="1:37" ht="18" customHeight="1">
      <c r="A9" s="63" t="s">
        <v>174</v>
      </c>
      <c r="B9" s="64" t="s">
        <v>18</v>
      </c>
      <c r="C9" s="65">
        <v>1</v>
      </c>
      <c r="D9" s="52"/>
      <c r="E9" s="65">
        <v>1</v>
      </c>
      <c r="F9" s="52"/>
      <c r="G9" s="65"/>
      <c r="H9" s="65"/>
      <c r="I9" s="65"/>
      <c r="J9" s="65">
        <v>1</v>
      </c>
      <c r="K9" s="52"/>
      <c r="L9" s="65"/>
      <c r="M9" s="52"/>
      <c r="N9" s="65"/>
      <c r="O9" s="65"/>
      <c r="P9" s="65"/>
      <c r="Q9" s="65">
        <v>1</v>
      </c>
      <c r="R9" s="52"/>
      <c r="S9" s="65"/>
      <c r="T9" s="52"/>
      <c r="U9" s="65">
        <v>1</v>
      </c>
      <c r="V9" s="65">
        <v>1</v>
      </c>
      <c r="W9" s="65"/>
      <c r="X9" s="65"/>
      <c r="Y9" s="52"/>
      <c r="Z9" s="65"/>
      <c r="AA9" s="52"/>
      <c r="AB9" s="65"/>
      <c r="AC9" s="65">
        <v>1</v>
      </c>
      <c r="AD9" s="65"/>
      <c r="AE9" s="65"/>
      <c r="AF9" s="52"/>
      <c r="AG9" s="65">
        <v>1</v>
      </c>
      <c r="AH9" s="66">
        <f t="shared" si="1"/>
        <v>8</v>
      </c>
      <c r="AI9" s="68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69" t="str">
        <f t="shared" si="2"/>
        <v>皓元</v>
      </c>
      <c r="AK9" s="70"/>
    </row>
    <row r="10" spans="1:37" ht="18" customHeight="1">
      <c r="A10" s="63" t="s">
        <v>174</v>
      </c>
      <c r="B10" s="64" t="s">
        <v>21</v>
      </c>
      <c r="C10" s="65"/>
      <c r="D10" s="52"/>
      <c r="E10" s="65"/>
      <c r="F10" s="52"/>
      <c r="G10" s="65"/>
      <c r="H10" s="65"/>
      <c r="I10" s="65"/>
      <c r="J10" s="65"/>
      <c r="K10" s="52"/>
      <c r="L10" s="65"/>
      <c r="M10" s="52"/>
      <c r="N10" s="65"/>
      <c r="O10" s="65"/>
      <c r="P10" s="65"/>
      <c r="Q10" s="65"/>
      <c r="R10" s="52"/>
      <c r="S10" s="65"/>
      <c r="T10" s="52"/>
      <c r="U10" s="65"/>
      <c r="V10" s="65"/>
      <c r="W10" s="65"/>
      <c r="X10" s="65"/>
      <c r="Y10" s="52"/>
      <c r="Z10" s="65"/>
      <c r="AA10" s="52"/>
      <c r="AB10" s="65"/>
      <c r="AC10" s="65"/>
      <c r="AD10" s="65"/>
      <c r="AE10" s="65"/>
      <c r="AF10" s="52"/>
      <c r="AG10" s="65"/>
      <c r="AH10" s="66">
        <f t="shared" si="1"/>
        <v>0</v>
      </c>
      <c r="AI10" s="68" t="e">
        <f ca="1">IF(A10="O", (VALUE(_xludf.IFS(AH10=0,"0",AH10=1,"150",AH10=2,"300",AH10=3,"450",AH10=4,"600",AH10=5,"750",AH10&gt;=6,"800"))),(VALUE(_xludf.IFS(AH10=0,"0",AH10=1,"150",AH10=2,"300",AH10=3,"450",AH10=4,"600",AH10=5,"750",AH10=6,"900",AH10&gt;=7,"1,000"))))</f>
        <v>#NAME?</v>
      </c>
      <c r="AJ10" s="69" t="str">
        <f t="shared" si="2"/>
        <v>晧全</v>
      </c>
      <c r="AK10" s="70"/>
    </row>
    <row r="11" spans="1:37" ht="18" customHeight="1">
      <c r="A11" s="63" t="s">
        <v>174</v>
      </c>
      <c r="B11" s="64" t="s">
        <v>72</v>
      </c>
      <c r="C11" s="65"/>
      <c r="D11" s="52"/>
      <c r="E11" s="65"/>
      <c r="F11" s="52"/>
      <c r="G11" s="65"/>
      <c r="H11" s="65"/>
      <c r="I11" s="65"/>
      <c r="J11" s="65"/>
      <c r="K11" s="52"/>
      <c r="L11" s="65"/>
      <c r="M11" s="52"/>
      <c r="N11" s="65"/>
      <c r="O11" s="65"/>
      <c r="P11" s="65"/>
      <c r="Q11" s="65"/>
      <c r="R11" s="52"/>
      <c r="S11" s="65"/>
      <c r="T11" s="52"/>
      <c r="U11" s="65"/>
      <c r="V11" s="65"/>
      <c r="W11" s="65"/>
      <c r="X11" s="65"/>
      <c r="Y11" s="52"/>
      <c r="Z11" s="65"/>
      <c r="AA11" s="52"/>
      <c r="AB11" s="65"/>
      <c r="AC11" s="65"/>
      <c r="AD11" s="65"/>
      <c r="AE11" s="65"/>
      <c r="AF11" s="52"/>
      <c r="AG11" s="65"/>
      <c r="AH11" s="66">
        <f t="shared" si="1"/>
        <v>0</v>
      </c>
      <c r="AI11" s="68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69" t="str">
        <f t="shared" si="2"/>
        <v>八卦</v>
      </c>
      <c r="AK11" s="70"/>
    </row>
    <row r="12" spans="1:37" ht="18" customHeight="1">
      <c r="A12" s="63" t="s">
        <v>174</v>
      </c>
      <c r="B12" s="64" t="s">
        <v>175</v>
      </c>
      <c r="C12" s="65"/>
      <c r="D12" s="52"/>
      <c r="E12" s="65"/>
      <c r="F12" s="52"/>
      <c r="G12" s="65"/>
      <c r="H12" s="65"/>
      <c r="I12" s="65"/>
      <c r="J12" s="65"/>
      <c r="K12" s="52"/>
      <c r="L12" s="65">
        <v>1</v>
      </c>
      <c r="M12" s="52"/>
      <c r="N12" s="65"/>
      <c r="O12" s="65"/>
      <c r="P12" s="65"/>
      <c r="Q12" s="65">
        <v>1</v>
      </c>
      <c r="R12" s="52"/>
      <c r="S12" s="65"/>
      <c r="T12" s="52"/>
      <c r="U12" s="65"/>
      <c r="V12" s="65"/>
      <c r="W12" s="65"/>
      <c r="X12" s="65">
        <v>1</v>
      </c>
      <c r="Y12" s="52"/>
      <c r="Z12" s="65"/>
      <c r="AA12" s="52"/>
      <c r="AB12" s="65"/>
      <c r="AC12" s="65"/>
      <c r="AD12" s="65"/>
      <c r="AE12" s="65"/>
      <c r="AF12" s="52"/>
      <c r="AG12" s="65"/>
      <c r="AH12" s="66">
        <f t="shared" si="1"/>
        <v>3</v>
      </c>
      <c r="AI12" s="68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69" t="str">
        <f t="shared" si="2"/>
        <v>咪咪</v>
      </c>
      <c r="AK12" s="70"/>
    </row>
    <row r="13" spans="1:37" ht="18" customHeight="1">
      <c r="A13" s="63" t="s">
        <v>174</v>
      </c>
      <c r="B13" s="64" t="s">
        <v>17</v>
      </c>
      <c r="C13" s="65"/>
      <c r="D13" s="52"/>
      <c r="E13" s="65"/>
      <c r="F13" s="52"/>
      <c r="G13" s="65"/>
      <c r="H13" s="65"/>
      <c r="I13" s="65"/>
      <c r="J13" s="65">
        <v>1</v>
      </c>
      <c r="K13" s="52"/>
      <c r="L13" s="65"/>
      <c r="M13" s="52"/>
      <c r="N13" s="65"/>
      <c r="O13" s="65"/>
      <c r="P13" s="65"/>
      <c r="Q13" s="65">
        <v>1</v>
      </c>
      <c r="R13" s="52"/>
      <c r="S13" s="65"/>
      <c r="T13" s="52"/>
      <c r="U13" s="65"/>
      <c r="V13" s="65"/>
      <c r="W13" s="65"/>
      <c r="X13" s="65">
        <v>1</v>
      </c>
      <c r="Y13" s="52"/>
      <c r="Z13" s="65"/>
      <c r="AA13" s="52"/>
      <c r="AB13" s="65"/>
      <c r="AC13" s="65"/>
      <c r="AD13" s="65"/>
      <c r="AE13" s="65">
        <v>1</v>
      </c>
      <c r="AF13" s="52"/>
      <c r="AG13" s="65"/>
      <c r="AH13" s="66">
        <f t="shared" si="1"/>
        <v>4</v>
      </c>
      <c r="AI13" s="68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69" t="str">
        <f t="shared" si="2"/>
        <v>光曜</v>
      </c>
      <c r="AK13" s="72"/>
    </row>
    <row r="14" spans="1:37" ht="18" customHeight="1">
      <c r="A14" s="63" t="s">
        <v>174</v>
      </c>
      <c r="B14" s="64" t="s">
        <v>15</v>
      </c>
      <c r="C14" s="65"/>
      <c r="D14" s="52"/>
      <c r="E14" s="65"/>
      <c r="F14" s="52"/>
      <c r="G14" s="65"/>
      <c r="H14" s="65">
        <v>1</v>
      </c>
      <c r="I14" s="65"/>
      <c r="J14" s="65"/>
      <c r="K14" s="52"/>
      <c r="L14" s="65">
        <v>1</v>
      </c>
      <c r="M14" s="52"/>
      <c r="N14" s="65"/>
      <c r="O14" s="65"/>
      <c r="P14" s="65"/>
      <c r="Q14" s="65">
        <v>1</v>
      </c>
      <c r="R14" s="52"/>
      <c r="S14" s="65"/>
      <c r="T14" s="52"/>
      <c r="U14" s="65"/>
      <c r="V14" s="65"/>
      <c r="W14" s="65"/>
      <c r="X14" s="65">
        <v>1</v>
      </c>
      <c r="Y14" s="52"/>
      <c r="Z14" s="65"/>
      <c r="AA14" s="52"/>
      <c r="AB14" s="65"/>
      <c r="AC14" s="65"/>
      <c r="AD14" s="65"/>
      <c r="AE14" s="65"/>
      <c r="AF14" s="52"/>
      <c r="AG14" s="65"/>
      <c r="AH14" s="66">
        <f t="shared" si="1"/>
        <v>4</v>
      </c>
      <c r="AI14" s="68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69" t="str">
        <f t="shared" si="2"/>
        <v>大支</v>
      </c>
      <c r="AK14" s="70"/>
    </row>
    <row r="15" spans="1:37" ht="18" customHeight="1">
      <c r="A15" s="63" t="s">
        <v>174</v>
      </c>
      <c r="B15" s="64" t="s">
        <v>61</v>
      </c>
      <c r="C15" s="65"/>
      <c r="D15" s="52"/>
      <c r="E15" s="65">
        <v>1</v>
      </c>
      <c r="F15" s="52"/>
      <c r="G15" s="65"/>
      <c r="H15" s="65"/>
      <c r="I15" s="65"/>
      <c r="J15" s="65">
        <v>1</v>
      </c>
      <c r="K15" s="52"/>
      <c r="L15" s="65">
        <v>1</v>
      </c>
      <c r="M15" s="52"/>
      <c r="N15" s="65"/>
      <c r="O15" s="65"/>
      <c r="P15" s="65"/>
      <c r="Q15" s="65">
        <v>1</v>
      </c>
      <c r="R15" s="52"/>
      <c r="S15" s="65"/>
      <c r="T15" s="52"/>
      <c r="U15" s="65"/>
      <c r="V15" s="65"/>
      <c r="W15" s="65"/>
      <c r="X15" s="65">
        <v>1</v>
      </c>
      <c r="Y15" s="52"/>
      <c r="Z15" s="65"/>
      <c r="AA15" s="52"/>
      <c r="AB15" s="65"/>
      <c r="AC15" s="65"/>
      <c r="AD15" s="65"/>
      <c r="AE15" s="65">
        <v>1</v>
      </c>
      <c r="AF15" s="52"/>
      <c r="AG15" s="65">
        <v>1</v>
      </c>
      <c r="AH15" s="66">
        <f t="shared" si="1"/>
        <v>7</v>
      </c>
      <c r="AI15" s="68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69" t="str">
        <f t="shared" si="2"/>
        <v>韋融</v>
      </c>
      <c r="AK15" s="72"/>
    </row>
    <row r="16" spans="1:37" ht="18" customHeight="1">
      <c r="A16" s="63" t="s">
        <v>174</v>
      </c>
      <c r="B16" s="64" t="s">
        <v>20</v>
      </c>
      <c r="C16" s="65">
        <v>1</v>
      </c>
      <c r="D16" s="52"/>
      <c r="E16" s="65"/>
      <c r="F16" s="52"/>
      <c r="G16" s="65"/>
      <c r="H16" s="65">
        <v>1</v>
      </c>
      <c r="I16" s="65"/>
      <c r="J16" s="65">
        <v>1</v>
      </c>
      <c r="K16" s="52"/>
      <c r="L16" s="65">
        <v>1</v>
      </c>
      <c r="M16" s="52"/>
      <c r="N16" s="65"/>
      <c r="O16" s="65"/>
      <c r="P16" s="65"/>
      <c r="Q16" s="65">
        <v>1</v>
      </c>
      <c r="R16" s="52"/>
      <c r="S16" s="65"/>
      <c r="T16" s="52"/>
      <c r="U16" s="65"/>
      <c r="V16" s="65">
        <v>1</v>
      </c>
      <c r="W16" s="65"/>
      <c r="X16" s="65">
        <v>1</v>
      </c>
      <c r="Y16" s="52"/>
      <c r="Z16" s="65"/>
      <c r="AA16" s="52"/>
      <c r="AB16" s="65"/>
      <c r="AC16" s="65">
        <v>1</v>
      </c>
      <c r="AD16" s="65"/>
      <c r="AE16" s="65">
        <v>1</v>
      </c>
      <c r="AF16" s="52"/>
      <c r="AG16" s="65">
        <v>1</v>
      </c>
      <c r="AH16" s="66">
        <f t="shared" si="1"/>
        <v>10</v>
      </c>
      <c r="AI16" s="68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69" t="str">
        <f t="shared" si="2"/>
        <v>港弟</v>
      </c>
      <c r="AK16" s="70"/>
    </row>
    <row r="17" spans="1:37" ht="18" customHeight="1">
      <c r="A17" s="63" t="s">
        <v>174</v>
      </c>
      <c r="B17" s="64" t="s">
        <v>16</v>
      </c>
      <c r="C17" s="65">
        <v>1</v>
      </c>
      <c r="D17" s="52"/>
      <c r="E17" s="65">
        <v>1</v>
      </c>
      <c r="F17" s="52"/>
      <c r="G17" s="65"/>
      <c r="H17" s="65">
        <v>1</v>
      </c>
      <c r="I17" s="65"/>
      <c r="J17" s="65">
        <v>1</v>
      </c>
      <c r="K17" s="52"/>
      <c r="L17" s="65">
        <v>1</v>
      </c>
      <c r="M17" s="52"/>
      <c r="N17" s="65"/>
      <c r="O17" s="65"/>
      <c r="P17" s="65"/>
      <c r="Q17" s="65">
        <v>1</v>
      </c>
      <c r="R17" s="52"/>
      <c r="S17" s="65"/>
      <c r="T17" s="52"/>
      <c r="U17" s="65">
        <v>1</v>
      </c>
      <c r="V17" s="65"/>
      <c r="W17" s="65"/>
      <c r="X17" s="65">
        <v>1</v>
      </c>
      <c r="Y17" s="52"/>
      <c r="Z17" s="65"/>
      <c r="AA17" s="52"/>
      <c r="AB17" s="65"/>
      <c r="AC17" s="65"/>
      <c r="AD17" s="65"/>
      <c r="AE17" s="65"/>
      <c r="AF17" s="52"/>
      <c r="AG17" s="65"/>
      <c r="AH17" s="66">
        <f t="shared" si="1"/>
        <v>8</v>
      </c>
      <c r="AI17" s="68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69" t="str">
        <f t="shared" si="2"/>
        <v>弼善</v>
      </c>
      <c r="AK17" s="70"/>
    </row>
    <row r="18" spans="1:37" ht="18" customHeight="1">
      <c r="A18" s="63" t="s">
        <v>174</v>
      </c>
      <c r="B18" s="64" t="s">
        <v>62</v>
      </c>
      <c r="C18" s="65"/>
      <c r="D18" s="52"/>
      <c r="E18" s="65"/>
      <c r="F18" s="52"/>
      <c r="G18" s="65">
        <v>1</v>
      </c>
      <c r="H18" s="65"/>
      <c r="I18" s="65"/>
      <c r="J18" s="65"/>
      <c r="K18" s="52"/>
      <c r="L18" s="65"/>
      <c r="M18" s="52"/>
      <c r="N18" s="65"/>
      <c r="O18" s="65"/>
      <c r="P18" s="65"/>
      <c r="Q18" s="65">
        <v>1</v>
      </c>
      <c r="R18" s="52"/>
      <c r="S18" s="65"/>
      <c r="T18" s="52"/>
      <c r="U18" s="65"/>
      <c r="V18" s="65"/>
      <c r="W18" s="65"/>
      <c r="X18" s="65"/>
      <c r="Y18" s="52"/>
      <c r="Z18" s="65"/>
      <c r="AA18" s="52"/>
      <c r="AB18" s="65"/>
      <c r="AC18" s="65"/>
      <c r="AD18" s="65">
        <v>1</v>
      </c>
      <c r="AE18" s="65"/>
      <c r="AF18" s="52"/>
      <c r="AG18" s="65"/>
      <c r="AH18" s="66">
        <f t="shared" si="1"/>
        <v>3</v>
      </c>
      <c r="AI18" s="68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69" t="str">
        <f t="shared" si="2"/>
        <v>國源</v>
      </c>
      <c r="AK18" s="73"/>
    </row>
    <row r="19" spans="1:37" ht="18" customHeight="1">
      <c r="A19" s="74" t="s">
        <v>174</v>
      </c>
      <c r="B19" s="75" t="s">
        <v>89</v>
      </c>
      <c r="C19" s="76">
        <v>1</v>
      </c>
      <c r="D19" s="52"/>
      <c r="E19" s="76">
        <v>1</v>
      </c>
      <c r="F19" s="52"/>
      <c r="G19" s="76"/>
      <c r="H19" s="76"/>
      <c r="I19" s="76"/>
      <c r="J19" s="76"/>
      <c r="K19" s="52"/>
      <c r="L19" s="76"/>
      <c r="M19" s="52"/>
      <c r="N19" s="76"/>
      <c r="O19" s="76"/>
      <c r="P19" s="76"/>
      <c r="Q19" s="76">
        <v>1</v>
      </c>
      <c r="R19" s="52"/>
      <c r="S19" s="76"/>
      <c r="T19" s="52"/>
      <c r="U19" s="76"/>
      <c r="V19" s="76"/>
      <c r="W19" s="76"/>
      <c r="X19" s="76"/>
      <c r="Y19" s="52"/>
      <c r="Z19" s="76"/>
      <c r="AA19" s="52"/>
      <c r="AB19" s="76"/>
      <c r="AC19" s="76"/>
      <c r="AD19" s="76"/>
      <c r="AE19" s="76"/>
      <c r="AF19" s="52"/>
      <c r="AG19" s="76">
        <v>1</v>
      </c>
      <c r="AH19" s="77">
        <f t="shared" si="1"/>
        <v>4</v>
      </c>
      <c r="AI19" s="78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79" t="str">
        <f t="shared" si="2"/>
        <v>泡芙</v>
      </c>
      <c r="AK19" s="80"/>
    </row>
    <row r="20" spans="1:37" ht="18" customHeight="1">
      <c r="A20" s="74" t="s">
        <v>174</v>
      </c>
      <c r="B20" s="75" t="s">
        <v>90</v>
      </c>
      <c r="C20" s="76">
        <v>1</v>
      </c>
      <c r="D20" s="52"/>
      <c r="E20" s="76">
        <v>1</v>
      </c>
      <c r="F20" s="52"/>
      <c r="G20" s="76"/>
      <c r="H20" s="76">
        <v>1</v>
      </c>
      <c r="I20" s="76"/>
      <c r="J20" s="76"/>
      <c r="K20" s="52"/>
      <c r="L20" s="76">
        <v>1</v>
      </c>
      <c r="M20" s="52"/>
      <c r="N20" s="76"/>
      <c r="O20" s="76"/>
      <c r="P20" s="76"/>
      <c r="Q20" s="76">
        <v>1</v>
      </c>
      <c r="R20" s="52"/>
      <c r="S20" s="76"/>
      <c r="T20" s="52"/>
      <c r="U20" s="76"/>
      <c r="V20" s="76"/>
      <c r="W20" s="76"/>
      <c r="X20" s="76"/>
      <c r="Y20" s="52"/>
      <c r="Z20" s="76"/>
      <c r="AA20" s="52"/>
      <c r="AB20" s="76"/>
      <c r="AC20" s="76"/>
      <c r="AD20" s="76"/>
      <c r="AE20" s="76"/>
      <c r="AF20" s="52"/>
      <c r="AG20" s="76"/>
      <c r="AH20" s="77">
        <f t="shared" si="1"/>
        <v>5</v>
      </c>
      <c r="AI20" s="78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79" t="str">
        <f t="shared" si="2"/>
        <v>蓓蓓</v>
      </c>
      <c r="AK20" s="80"/>
    </row>
    <row r="21" spans="1:37" ht="18" customHeight="1">
      <c r="A21" s="74" t="s">
        <v>174</v>
      </c>
      <c r="B21" s="75" t="s">
        <v>150</v>
      </c>
      <c r="C21" s="76">
        <v>1</v>
      </c>
      <c r="D21" s="52"/>
      <c r="E21" s="76">
        <v>1</v>
      </c>
      <c r="F21" s="52"/>
      <c r="G21" s="76"/>
      <c r="H21" s="76"/>
      <c r="I21" s="76"/>
      <c r="J21" s="76">
        <v>1</v>
      </c>
      <c r="K21" s="52"/>
      <c r="L21" s="76">
        <v>1</v>
      </c>
      <c r="M21" s="52"/>
      <c r="N21" s="76"/>
      <c r="O21" s="76"/>
      <c r="P21" s="76"/>
      <c r="Q21" s="76">
        <v>1</v>
      </c>
      <c r="R21" s="52"/>
      <c r="S21" s="76"/>
      <c r="T21" s="52"/>
      <c r="U21" s="76"/>
      <c r="V21" s="76"/>
      <c r="W21" s="76"/>
      <c r="X21" s="76">
        <v>1</v>
      </c>
      <c r="Y21" s="52"/>
      <c r="Z21" s="76"/>
      <c r="AA21" s="52"/>
      <c r="AB21" s="76"/>
      <c r="AC21" s="76"/>
      <c r="AD21" s="76"/>
      <c r="AE21" s="76"/>
      <c r="AF21" s="52"/>
      <c r="AG21" s="76"/>
      <c r="AH21" s="77">
        <f t="shared" si="1"/>
        <v>6</v>
      </c>
      <c r="AI21" s="78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79" t="str">
        <f t="shared" si="2"/>
        <v>高麗菜</v>
      </c>
      <c r="AK21" s="80"/>
    </row>
    <row r="22" spans="1:37" ht="18" customHeight="1">
      <c r="A22" s="74" t="s">
        <v>174</v>
      </c>
      <c r="B22" s="75" t="s">
        <v>164</v>
      </c>
      <c r="C22" s="76"/>
      <c r="D22" s="52"/>
      <c r="E22" s="76"/>
      <c r="F22" s="52"/>
      <c r="G22" s="76"/>
      <c r="H22" s="76"/>
      <c r="I22" s="76"/>
      <c r="J22" s="76"/>
      <c r="K22" s="52"/>
      <c r="L22" s="76"/>
      <c r="M22" s="52"/>
      <c r="N22" s="76"/>
      <c r="O22" s="76"/>
      <c r="P22" s="76"/>
      <c r="Q22" s="76"/>
      <c r="R22" s="52"/>
      <c r="S22" s="76"/>
      <c r="T22" s="52"/>
      <c r="U22" s="76"/>
      <c r="V22" s="76"/>
      <c r="W22" s="76"/>
      <c r="X22" s="76"/>
      <c r="Y22" s="52"/>
      <c r="Z22" s="76"/>
      <c r="AA22" s="52"/>
      <c r="AB22" s="76"/>
      <c r="AC22" s="76"/>
      <c r="AD22" s="76"/>
      <c r="AE22" s="76"/>
      <c r="AF22" s="52"/>
      <c r="AG22" s="76"/>
      <c r="AH22" s="77">
        <f t="shared" si="1"/>
        <v>0</v>
      </c>
      <c r="AI22" s="78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79" t="str">
        <f t="shared" si="2"/>
        <v>小菜</v>
      </c>
      <c r="AK22" s="81"/>
    </row>
    <row r="23" spans="1:37" ht="18" customHeight="1">
      <c r="A23" s="74" t="s">
        <v>174</v>
      </c>
      <c r="B23" s="75" t="s">
        <v>94</v>
      </c>
      <c r="C23" s="76"/>
      <c r="D23" s="52"/>
      <c r="E23" s="76"/>
      <c r="F23" s="52"/>
      <c r="G23" s="76"/>
      <c r="H23" s="76"/>
      <c r="I23" s="76"/>
      <c r="J23" s="76"/>
      <c r="K23" s="52"/>
      <c r="L23" s="76"/>
      <c r="M23" s="52"/>
      <c r="N23" s="76"/>
      <c r="O23" s="76"/>
      <c r="P23" s="76"/>
      <c r="Q23" s="76">
        <v>1</v>
      </c>
      <c r="R23" s="52"/>
      <c r="S23" s="76"/>
      <c r="T23" s="52"/>
      <c r="U23" s="76"/>
      <c r="V23" s="76"/>
      <c r="W23" s="76"/>
      <c r="X23" s="76">
        <v>1</v>
      </c>
      <c r="Y23" s="52"/>
      <c r="Z23" s="76"/>
      <c r="AA23" s="52"/>
      <c r="AB23" s="76"/>
      <c r="AC23" s="76"/>
      <c r="AD23" s="76"/>
      <c r="AE23" s="76">
        <v>1</v>
      </c>
      <c r="AF23" s="52"/>
      <c r="AG23" s="76">
        <v>1</v>
      </c>
      <c r="AH23" s="77">
        <f t="shared" si="1"/>
        <v>4</v>
      </c>
      <c r="AI23" s="78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79" t="str">
        <f t="shared" si="2"/>
        <v>小花</v>
      </c>
      <c r="AK23" s="82"/>
    </row>
    <row r="24" spans="1:37" ht="18" customHeight="1">
      <c r="A24" s="74" t="s">
        <v>174</v>
      </c>
      <c r="B24" s="75" t="s">
        <v>102</v>
      </c>
      <c r="C24" s="76"/>
      <c r="D24" s="52"/>
      <c r="E24" s="76"/>
      <c r="F24" s="52"/>
      <c r="G24" s="76"/>
      <c r="H24" s="76"/>
      <c r="I24" s="76"/>
      <c r="J24" s="76"/>
      <c r="K24" s="52"/>
      <c r="L24" s="76"/>
      <c r="M24" s="52"/>
      <c r="N24" s="76"/>
      <c r="O24" s="76"/>
      <c r="P24" s="76"/>
      <c r="Q24" s="76"/>
      <c r="R24" s="52"/>
      <c r="S24" s="76"/>
      <c r="T24" s="52"/>
      <c r="U24" s="76"/>
      <c r="V24" s="76"/>
      <c r="W24" s="76"/>
      <c r="X24" s="76"/>
      <c r="Y24" s="52"/>
      <c r="Z24" s="76"/>
      <c r="AA24" s="52"/>
      <c r="AB24" s="76"/>
      <c r="AC24" s="76"/>
      <c r="AD24" s="76"/>
      <c r="AE24" s="76"/>
      <c r="AF24" s="52"/>
      <c r="AG24" s="76"/>
      <c r="AH24" s="77">
        <f t="shared" si="1"/>
        <v>0</v>
      </c>
      <c r="AI24" s="78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79" t="str">
        <f t="shared" si="2"/>
        <v>妮妮</v>
      </c>
      <c r="AK24" s="80"/>
    </row>
    <row r="25" spans="1:37" ht="18" customHeight="1">
      <c r="A25" s="74" t="s">
        <v>174</v>
      </c>
      <c r="B25" s="75" t="s">
        <v>165</v>
      </c>
      <c r="C25" s="76"/>
      <c r="D25" s="52"/>
      <c r="E25" s="76"/>
      <c r="F25" s="52"/>
      <c r="G25" s="76"/>
      <c r="H25" s="76"/>
      <c r="I25" s="76"/>
      <c r="J25" s="76"/>
      <c r="K25" s="52"/>
      <c r="L25" s="76"/>
      <c r="M25" s="52"/>
      <c r="N25" s="76"/>
      <c r="O25" s="76"/>
      <c r="P25" s="76"/>
      <c r="Q25" s="76"/>
      <c r="R25" s="52"/>
      <c r="S25" s="76"/>
      <c r="T25" s="52"/>
      <c r="U25" s="76"/>
      <c r="V25" s="76"/>
      <c r="W25" s="76"/>
      <c r="X25" s="76"/>
      <c r="Y25" s="52"/>
      <c r="Z25" s="76"/>
      <c r="AA25" s="52"/>
      <c r="AB25" s="76"/>
      <c r="AC25" s="76"/>
      <c r="AD25" s="76"/>
      <c r="AE25" s="76"/>
      <c r="AF25" s="52"/>
      <c r="AG25" s="76"/>
      <c r="AH25" s="77">
        <f t="shared" si="1"/>
        <v>0</v>
      </c>
      <c r="AI25" s="78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79" t="str">
        <f t="shared" si="2"/>
        <v>小貓</v>
      </c>
      <c r="AK25" s="82"/>
    </row>
    <row r="26" spans="1:37" ht="18" customHeight="1">
      <c r="A26" s="74" t="s">
        <v>174</v>
      </c>
      <c r="B26" s="75" t="s">
        <v>166</v>
      </c>
      <c r="C26" s="76"/>
      <c r="D26" s="52"/>
      <c r="E26" s="76"/>
      <c r="F26" s="52"/>
      <c r="G26" s="76"/>
      <c r="H26" s="76"/>
      <c r="I26" s="76"/>
      <c r="J26" s="76"/>
      <c r="K26" s="52"/>
      <c r="L26" s="76"/>
      <c r="M26" s="52"/>
      <c r="N26" s="76"/>
      <c r="O26" s="76"/>
      <c r="P26" s="76"/>
      <c r="Q26" s="76"/>
      <c r="R26" s="52"/>
      <c r="S26" s="76"/>
      <c r="T26" s="52"/>
      <c r="U26" s="76"/>
      <c r="V26" s="76"/>
      <c r="W26" s="76"/>
      <c r="X26" s="76"/>
      <c r="Y26" s="52"/>
      <c r="Z26" s="76"/>
      <c r="AA26" s="52"/>
      <c r="AB26" s="76"/>
      <c r="AC26" s="76"/>
      <c r="AD26" s="76"/>
      <c r="AE26" s="76"/>
      <c r="AF26" s="52"/>
      <c r="AG26" s="76"/>
      <c r="AH26" s="77">
        <f t="shared" si="1"/>
        <v>0</v>
      </c>
      <c r="AI26" s="78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79" t="str">
        <f t="shared" si="2"/>
        <v>哈比</v>
      </c>
      <c r="AK26" s="80"/>
    </row>
    <row r="27" spans="1:37" ht="18" customHeight="1">
      <c r="A27" s="74" t="s">
        <v>174</v>
      </c>
      <c r="B27" s="75" t="s">
        <v>91</v>
      </c>
      <c r="C27" s="76"/>
      <c r="D27" s="52"/>
      <c r="E27" s="76"/>
      <c r="F27" s="52"/>
      <c r="G27" s="76"/>
      <c r="H27" s="76"/>
      <c r="I27" s="76"/>
      <c r="J27" s="76"/>
      <c r="K27" s="52"/>
      <c r="L27" s="76"/>
      <c r="M27" s="52"/>
      <c r="N27" s="76"/>
      <c r="O27" s="76"/>
      <c r="P27" s="76"/>
      <c r="Q27" s="76"/>
      <c r="R27" s="52"/>
      <c r="S27" s="76"/>
      <c r="T27" s="52"/>
      <c r="U27" s="76"/>
      <c r="V27" s="76"/>
      <c r="W27" s="76"/>
      <c r="X27" s="76"/>
      <c r="Y27" s="52"/>
      <c r="Z27" s="76"/>
      <c r="AA27" s="52"/>
      <c r="AB27" s="76"/>
      <c r="AC27" s="76"/>
      <c r="AD27" s="76">
        <v>1</v>
      </c>
      <c r="AE27" s="76"/>
      <c r="AF27" s="52"/>
      <c r="AG27" s="76"/>
      <c r="AH27" s="77">
        <f t="shared" si="1"/>
        <v>1</v>
      </c>
      <c r="AI27" s="78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79" t="str">
        <f t="shared" si="2"/>
        <v>柔柔</v>
      </c>
      <c r="AK27" s="80"/>
    </row>
    <row r="28" spans="1:37" ht="18" customHeight="1">
      <c r="A28" s="74" t="s">
        <v>174</v>
      </c>
      <c r="B28" s="75" t="s">
        <v>176</v>
      </c>
      <c r="C28" s="76"/>
      <c r="D28" s="52"/>
      <c r="E28" s="76"/>
      <c r="F28" s="52"/>
      <c r="G28" s="76"/>
      <c r="H28" s="76">
        <v>1</v>
      </c>
      <c r="I28" s="76"/>
      <c r="J28" s="76"/>
      <c r="K28" s="52"/>
      <c r="L28" s="76">
        <v>1</v>
      </c>
      <c r="M28" s="52"/>
      <c r="N28" s="76">
        <v>1</v>
      </c>
      <c r="O28" s="76"/>
      <c r="P28" s="76"/>
      <c r="Q28" s="76">
        <v>1</v>
      </c>
      <c r="R28" s="52"/>
      <c r="S28" s="76"/>
      <c r="T28" s="52"/>
      <c r="U28" s="76"/>
      <c r="V28" s="76"/>
      <c r="W28" s="76"/>
      <c r="X28" s="76"/>
      <c r="Y28" s="52"/>
      <c r="Z28" s="76"/>
      <c r="AA28" s="52"/>
      <c r="AB28" s="76"/>
      <c r="AC28" s="76"/>
      <c r="AD28" s="76"/>
      <c r="AE28" s="76"/>
      <c r="AF28" s="52"/>
      <c r="AG28" s="76"/>
      <c r="AH28" s="77">
        <f t="shared" si="1"/>
        <v>4</v>
      </c>
      <c r="AI28" s="78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79" t="str">
        <f t="shared" si="2"/>
        <v>芮芮</v>
      </c>
      <c r="AK28" s="81"/>
    </row>
    <row r="29" spans="1:37" ht="18" customHeight="1">
      <c r="A29" s="74" t="s">
        <v>174</v>
      </c>
      <c r="B29" s="75" t="s">
        <v>123</v>
      </c>
      <c r="C29" s="76"/>
      <c r="D29" s="52"/>
      <c r="E29" s="76"/>
      <c r="F29" s="52"/>
      <c r="G29" s="76"/>
      <c r="H29" s="76"/>
      <c r="I29" s="76"/>
      <c r="J29" s="76"/>
      <c r="K29" s="52"/>
      <c r="L29" s="76"/>
      <c r="M29" s="52"/>
      <c r="N29" s="76"/>
      <c r="O29" s="76"/>
      <c r="P29" s="76"/>
      <c r="Q29" s="76"/>
      <c r="R29" s="52"/>
      <c r="S29" s="76"/>
      <c r="T29" s="52"/>
      <c r="U29" s="76"/>
      <c r="V29" s="76"/>
      <c r="W29" s="76"/>
      <c r="X29" s="76"/>
      <c r="Y29" s="52"/>
      <c r="Z29" s="76"/>
      <c r="AA29" s="52"/>
      <c r="AB29" s="76"/>
      <c r="AC29" s="76"/>
      <c r="AD29" s="76"/>
      <c r="AE29" s="76"/>
      <c r="AF29" s="52"/>
      <c r="AG29" s="76"/>
      <c r="AH29" s="77">
        <f t="shared" si="1"/>
        <v>0</v>
      </c>
      <c r="AI29" s="78" t="e">
        <f ca="1">IF(A29="O", (VALUE(_xludf.IFS(AH29=0,"0",AH29=1,"150",AH29=2,"300",AH29=3,"450",AH29=4,"600",AH29=5,"750",AH29&gt;=6,"800"))),(VALUE(_xludf.IFS(AH29=0,"0",AH29=1,"150",AH29=2,"300",AH29=3,"450",AH29=4,"600",AH29=5,"750",AH29=6,"900",AH29&gt;=7,"1,000"))))</f>
        <v>#NAME?</v>
      </c>
      <c r="AJ29" s="79" t="str">
        <f t="shared" si="2"/>
        <v>瑤瑤</v>
      </c>
      <c r="AK29" s="80"/>
    </row>
    <row r="30" spans="1:37" ht="18" customHeight="1">
      <c r="A30" s="74" t="s">
        <v>174</v>
      </c>
      <c r="B30" s="75" t="s">
        <v>147</v>
      </c>
      <c r="C30" s="76">
        <v>1</v>
      </c>
      <c r="D30" s="52"/>
      <c r="E30" s="76">
        <v>1</v>
      </c>
      <c r="F30" s="52"/>
      <c r="G30" s="76"/>
      <c r="H30" s="76"/>
      <c r="I30" s="76"/>
      <c r="J30" s="76">
        <v>1</v>
      </c>
      <c r="K30" s="52"/>
      <c r="L30" s="76">
        <v>1</v>
      </c>
      <c r="M30" s="52"/>
      <c r="N30" s="76"/>
      <c r="O30" s="76"/>
      <c r="P30" s="76">
        <v>1</v>
      </c>
      <c r="Q30" s="76">
        <v>1</v>
      </c>
      <c r="R30" s="52"/>
      <c r="S30" s="76"/>
      <c r="T30" s="52"/>
      <c r="U30" s="76">
        <v>1</v>
      </c>
      <c r="V30" s="76">
        <v>1</v>
      </c>
      <c r="W30" s="76"/>
      <c r="X30" s="76">
        <v>1</v>
      </c>
      <c r="Y30" s="52"/>
      <c r="Z30" s="76"/>
      <c r="AA30" s="52"/>
      <c r="AB30" s="76"/>
      <c r="AC30" s="76"/>
      <c r="AD30" s="76"/>
      <c r="AE30" s="76"/>
      <c r="AF30" s="52"/>
      <c r="AG30" s="76">
        <v>1</v>
      </c>
      <c r="AH30" s="77">
        <f t="shared" si="1"/>
        <v>10</v>
      </c>
      <c r="AI30" s="78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79" t="str">
        <f t="shared" si="2"/>
        <v>湘苡</v>
      </c>
      <c r="AK30" s="82"/>
    </row>
    <row r="31" spans="1:37" ht="18" customHeight="1">
      <c r="A31" s="74" t="s">
        <v>174</v>
      </c>
      <c r="B31" s="75" t="s">
        <v>93</v>
      </c>
      <c r="C31" s="76"/>
      <c r="D31" s="52"/>
      <c r="E31" s="76"/>
      <c r="F31" s="52"/>
      <c r="G31" s="76"/>
      <c r="H31" s="76"/>
      <c r="I31" s="76"/>
      <c r="J31" s="76">
        <v>1</v>
      </c>
      <c r="K31" s="52"/>
      <c r="L31" s="76">
        <v>1</v>
      </c>
      <c r="M31" s="52"/>
      <c r="N31" s="76"/>
      <c r="O31" s="76"/>
      <c r="P31" s="76"/>
      <c r="Q31" s="76">
        <v>1</v>
      </c>
      <c r="R31" s="52"/>
      <c r="S31" s="76"/>
      <c r="T31" s="52"/>
      <c r="U31" s="76"/>
      <c r="V31" s="76">
        <v>1</v>
      </c>
      <c r="W31" s="76"/>
      <c r="X31" s="76"/>
      <c r="Y31" s="52"/>
      <c r="Z31" s="76"/>
      <c r="AA31" s="52"/>
      <c r="AB31" s="76"/>
      <c r="AC31" s="76"/>
      <c r="AD31" s="76"/>
      <c r="AE31" s="76">
        <v>1</v>
      </c>
      <c r="AF31" s="52"/>
      <c r="AG31" s="76">
        <v>1</v>
      </c>
      <c r="AH31" s="77">
        <f t="shared" si="1"/>
        <v>6</v>
      </c>
      <c r="AI31" s="78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79" t="str">
        <f t="shared" si="2"/>
        <v>冠婷</v>
      </c>
      <c r="AK31" s="80"/>
    </row>
    <row r="32" spans="1:37" ht="18" customHeight="1">
      <c r="A32" s="74" t="s">
        <v>174</v>
      </c>
      <c r="B32" s="75" t="s">
        <v>149</v>
      </c>
      <c r="C32" s="76"/>
      <c r="D32" s="52"/>
      <c r="E32" s="76"/>
      <c r="F32" s="52"/>
      <c r="G32" s="76"/>
      <c r="H32" s="76"/>
      <c r="I32" s="76"/>
      <c r="J32" s="76">
        <v>1</v>
      </c>
      <c r="K32" s="52"/>
      <c r="L32" s="76"/>
      <c r="M32" s="52"/>
      <c r="N32" s="76"/>
      <c r="O32" s="76"/>
      <c r="P32" s="76"/>
      <c r="Q32" s="76">
        <v>1</v>
      </c>
      <c r="R32" s="52"/>
      <c r="S32" s="76"/>
      <c r="T32" s="52"/>
      <c r="U32" s="76"/>
      <c r="V32" s="76"/>
      <c r="W32" s="76"/>
      <c r="X32" s="76"/>
      <c r="Y32" s="52"/>
      <c r="Z32" s="76"/>
      <c r="AA32" s="52"/>
      <c r="AB32" s="76"/>
      <c r="AC32" s="76"/>
      <c r="AD32" s="76"/>
      <c r="AE32" s="76"/>
      <c r="AF32" s="52"/>
      <c r="AG32" s="76"/>
      <c r="AH32" s="77">
        <f t="shared" si="1"/>
        <v>2</v>
      </c>
      <c r="AI32" s="78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79" t="str">
        <f t="shared" si="2"/>
        <v>晏寧</v>
      </c>
      <c r="AK32" s="80"/>
    </row>
    <row r="33" spans="1:37" ht="18" customHeight="1">
      <c r="A33" s="74" t="s">
        <v>174</v>
      </c>
      <c r="B33" s="75" t="s">
        <v>146</v>
      </c>
      <c r="C33" s="76"/>
      <c r="D33" s="52"/>
      <c r="E33" s="76"/>
      <c r="F33" s="52"/>
      <c r="G33" s="76"/>
      <c r="H33" s="76"/>
      <c r="I33" s="76"/>
      <c r="J33" s="76"/>
      <c r="K33" s="52"/>
      <c r="L33" s="76"/>
      <c r="M33" s="52"/>
      <c r="N33" s="76"/>
      <c r="O33" s="76"/>
      <c r="P33" s="76"/>
      <c r="Q33" s="76">
        <v>1</v>
      </c>
      <c r="R33" s="52"/>
      <c r="S33" s="76"/>
      <c r="T33" s="52"/>
      <c r="U33" s="76"/>
      <c r="V33" s="76"/>
      <c r="W33" s="76"/>
      <c r="X33" s="76"/>
      <c r="Y33" s="52"/>
      <c r="Z33" s="76"/>
      <c r="AA33" s="52"/>
      <c r="AB33" s="76"/>
      <c r="AC33" s="76"/>
      <c r="AD33" s="76"/>
      <c r="AE33" s="76"/>
      <c r="AF33" s="52"/>
      <c r="AG33" s="76"/>
      <c r="AH33" s="77">
        <f t="shared" si="1"/>
        <v>1</v>
      </c>
      <c r="AI33" s="78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79" t="str">
        <f t="shared" si="2"/>
        <v>飛飛</v>
      </c>
      <c r="AK33" s="80"/>
    </row>
    <row r="34" spans="1:37" ht="18" customHeight="1">
      <c r="A34" s="83" t="s">
        <v>174</v>
      </c>
      <c r="B34" s="84" t="s">
        <v>116</v>
      </c>
      <c r="C34" s="85">
        <v>1</v>
      </c>
      <c r="D34" s="52"/>
      <c r="E34" s="85"/>
      <c r="F34" s="52"/>
      <c r="G34" s="85">
        <v>1</v>
      </c>
      <c r="H34" s="85">
        <v>1</v>
      </c>
      <c r="I34" s="85">
        <v>1</v>
      </c>
      <c r="J34" s="85">
        <v>1</v>
      </c>
      <c r="K34" s="52"/>
      <c r="L34" s="85">
        <v>1</v>
      </c>
      <c r="M34" s="52"/>
      <c r="N34" s="85"/>
      <c r="O34" s="85"/>
      <c r="P34" s="85"/>
      <c r="Q34" s="85"/>
      <c r="R34" s="52"/>
      <c r="S34" s="85"/>
      <c r="T34" s="52"/>
      <c r="U34" s="85">
        <v>1</v>
      </c>
      <c r="V34" s="85">
        <v>1</v>
      </c>
      <c r="W34" s="85"/>
      <c r="X34" s="85"/>
      <c r="Y34" s="52"/>
      <c r="Z34" s="85"/>
      <c r="AA34" s="52"/>
      <c r="AB34" s="85"/>
      <c r="AC34" s="85">
        <v>1</v>
      </c>
      <c r="AD34" s="85"/>
      <c r="AE34" s="85"/>
      <c r="AF34" s="52"/>
      <c r="AG34" s="85">
        <v>1</v>
      </c>
      <c r="AH34" s="86">
        <f t="shared" si="1"/>
        <v>10</v>
      </c>
      <c r="AI34" s="87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88" t="str">
        <f t="shared" si="2"/>
        <v>大汪</v>
      </c>
      <c r="AK34" s="89"/>
    </row>
    <row r="35" spans="1:37" ht="18" customHeight="1">
      <c r="A35" s="83" t="s">
        <v>174</v>
      </c>
      <c r="B35" s="84" t="s">
        <v>118</v>
      </c>
      <c r="C35" s="85"/>
      <c r="D35" s="52"/>
      <c r="E35" s="85"/>
      <c r="F35" s="52"/>
      <c r="G35" s="85">
        <v>1</v>
      </c>
      <c r="H35" s="85"/>
      <c r="I35" s="85">
        <v>1</v>
      </c>
      <c r="J35" s="85"/>
      <c r="K35" s="52"/>
      <c r="L35" s="85"/>
      <c r="M35" s="52"/>
      <c r="N35" s="85"/>
      <c r="O35" s="85"/>
      <c r="P35" s="85"/>
      <c r="Q35" s="85">
        <v>1</v>
      </c>
      <c r="R35" s="52"/>
      <c r="S35" s="85"/>
      <c r="T35" s="52"/>
      <c r="U35" s="85"/>
      <c r="V35" s="85"/>
      <c r="W35" s="85"/>
      <c r="X35" s="85"/>
      <c r="Y35" s="52"/>
      <c r="Z35" s="85"/>
      <c r="AA35" s="52"/>
      <c r="AB35" s="85"/>
      <c r="AC35" s="85">
        <v>1</v>
      </c>
      <c r="AD35" s="85"/>
      <c r="AE35" s="85"/>
      <c r="AF35" s="52"/>
      <c r="AG35" s="85"/>
      <c r="AH35" s="86">
        <f t="shared" si="1"/>
        <v>4</v>
      </c>
      <c r="AI35" s="87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88" t="str">
        <f t="shared" si="2"/>
        <v>雅筑</v>
      </c>
      <c r="AK35" s="89"/>
    </row>
    <row r="36" spans="1:37" ht="18" customHeight="1">
      <c r="A36" s="83" t="s">
        <v>174</v>
      </c>
      <c r="B36" s="84" t="s">
        <v>141</v>
      </c>
      <c r="C36" s="85"/>
      <c r="D36" s="52"/>
      <c r="E36" s="85"/>
      <c r="F36" s="52"/>
      <c r="G36" s="85"/>
      <c r="H36" s="85"/>
      <c r="I36" s="85"/>
      <c r="J36" s="85"/>
      <c r="K36" s="52"/>
      <c r="L36" s="85"/>
      <c r="M36" s="52"/>
      <c r="N36" s="85"/>
      <c r="O36" s="85"/>
      <c r="P36" s="85"/>
      <c r="Q36" s="85"/>
      <c r="R36" s="52"/>
      <c r="S36" s="85"/>
      <c r="T36" s="52"/>
      <c r="U36" s="85"/>
      <c r="V36" s="85"/>
      <c r="W36" s="85"/>
      <c r="X36" s="85"/>
      <c r="Y36" s="52"/>
      <c r="Z36" s="85"/>
      <c r="AA36" s="52"/>
      <c r="AB36" s="85"/>
      <c r="AC36" s="85"/>
      <c r="AD36" s="85"/>
      <c r="AE36" s="85"/>
      <c r="AF36" s="52"/>
      <c r="AG36" s="85"/>
      <c r="AH36" s="86">
        <f t="shared" ref="AH36:AH67" si="3">COUNTA(C36:AG36)</f>
        <v>0</v>
      </c>
      <c r="AI36" s="87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88" t="str">
        <f t="shared" ref="AJ36:AJ67" si="4">B36</f>
        <v>Cindy</v>
      </c>
      <c r="AK36" s="89"/>
    </row>
    <row r="37" spans="1:37" ht="18" customHeight="1">
      <c r="A37" s="83" t="s">
        <v>174</v>
      </c>
      <c r="B37" s="84" t="s">
        <v>103</v>
      </c>
      <c r="C37" s="85"/>
      <c r="D37" s="52"/>
      <c r="E37" s="85"/>
      <c r="F37" s="52"/>
      <c r="G37" s="85"/>
      <c r="H37" s="85"/>
      <c r="I37" s="85"/>
      <c r="J37" s="85"/>
      <c r="K37" s="52"/>
      <c r="L37" s="85"/>
      <c r="M37" s="52"/>
      <c r="N37" s="85"/>
      <c r="O37" s="85"/>
      <c r="P37" s="85"/>
      <c r="Q37" s="85"/>
      <c r="R37" s="52"/>
      <c r="S37" s="85"/>
      <c r="T37" s="52"/>
      <c r="U37" s="85"/>
      <c r="V37" s="85"/>
      <c r="W37" s="85"/>
      <c r="X37" s="85"/>
      <c r="Y37" s="52"/>
      <c r="Z37" s="85"/>
      <c r="AA37" s="52"/>
      <c r="AB37" s="85"/>
      <c r="AC37" s="85"/>
      <c r="AD37" s="85"/>
      <c r="AE37" s="85">
        <v>1</v>
      </c>
      <c r="AF37" s="52"/>
      <c r="AG37" s="85">
        <v>1</v>
      </c>
      <c r="AH37" s="86">
        <f t="shared" si="3"/>
        <v>2</v>
      </c>
      <c r="AI37" s="87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88" t="str">
        <f t="shared" si="4"/>
        <v>圈圈</v>
      </c>
      <c r="AK37" s="90"/>
    </row>
    <row r="38" spans="1:37" ht="18" customHeight="1">
      <c r="A38" s="83" t="s">
        <v>174</v>
      </c>
      <c r="B38" s="84" t="s">
        <v>120</v>
      </c>
      <c r="C38" s="85"/>
      <c r="D38" s="52"/>
      <c r="E38" s="85"/>
      <c r="F38" s="52"/>
      <c r="G38" s="85">
        <v>1</v>
      </c>
      <c r="H38" s="85"/>
      <c r="I38" s="85">
        <v>1</v>
      </c>
      <c r="J38" s="85"/>
      <c r="K38" s="52"/>
      <c r="L38" s="85"/>
      <c r="M38" s="52"/>
      <c r="N38" s="85">
        <v>1</v>
      </c>
      <c r="O38" s="85"/>
      <c r="P38" s="85"/>
      <c r="Q38" s="85">
        <v>1</v>
      </c>
      <c r="R38" s="52"/>
      <c r="S38" s="85"/>
      <c r="T38" s="52"/>
      <c r="U38" s="85"/>
      <c r="V38" s="85"/>
      <c r="W38" s="85"/>
      <c r="X38" s="85"/>
      <c r="Y38" s="52"/>
      <c r="Z38" s="85"/>
      <c r="AA38" s="52"/>
      <c r="AB38" s="85"/>
      <c r="AC38" s="85">
        <v>1</v>
      </c>
      <c r="AD38" s="85"/>
      <c r="AE38" s="85"/>
      <c r="AF38" s="52"/>
      <c r="AG38" s="85"/>
      <c r="AH38" s="86">
        <f t="shared" si="3"/>
        <v>5</v>
      </c>
      <c r="AI38" s="87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88" t="str">
        <f t="shared" si="4"/>
        <v>品君</v>
      </c>
      <c r="AK38" s="90"/>
    </row>
    <row r="39" spans="1:37" ht="18" customHeight="1">
      <c r="A39" s="83" t="s">
        <v>174</v>
      </c>
      <c r="B39" s="84" t="s">
        <v>142</v>
      </c>
      <c r="C39" s="85"/>
      <c r="D39" s="52"/>
      <c r="E39" s="85"/>
      <c r="F39" s="52"/>
      <c r="G39" s="85"/>
      <c r="H39" s="85"/>
      <c r="I39" s="85"/>
      <c r="J39" s="85"/>
      <c r="K39" s="52"/>
      <c r="L39" s="85"/>
      <c r="M39" s="52"/>
      <c r="N39" s="85"/>
      <c r="O39" s="85"/>
      <c r="P39" s="85"/>
      <c r="Q39" s="85"/>
      <c r="R39" s="52"/>
      <c r="S39" s="85"/>
      <c r="T39" s="52"/>
      <c r="U39" s="85"/>
      <c r="V39" s="85"/>
      <c r="W39" s="85"/>
      <c r="X39" s="85"/>
      <c r="Y39" s="52"/>
      <c r="Z39" s="85"/>
      <c r="AA39" s="52"/>
      <c r="AB39" s="85"/>
      <c r="AC39" s="85"/>
      <c r="AD39" s="85"/>
      <c r="AE39" s="85"/>
      <c r="AF39" s="52"/>
      <c r="AG39" s="85"/>
      <c r="AH39" s="86">
        <f t="shared" si="3"/>
        <v>0</v>
      </c>
      <c r="AI39" s="87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88" t="str">
        <f t="shared" si="4"/>
        <v>如靜</v>
      </c>
      <c r="AK39" s="90"/>
    </row>
    <row r="40" spans="1:37" ht="18" customHeight="1">
      <c r="A40" s="83" t="s">
        <v>174</v>
      </c>
      <c r="B40" s="84" t="s">
        <v>143</v>
      </c>
      <c r="C40" s="85"/>
      <c r="D40" s="52"/>
      <c r="E40" s="85"/>
      <c r="F40" s="52"/>
      <c r="G40" s="85"/>
      <c r="H40" s="85"/>
      <c r="I40" s="85"/>
      <c r="J40" s="85"/>
      <c r="K40" s="52"/>
      <c r="L40" s="85"/>
      <c r="M40" s="52"/>
      <c r="N40" s="85"/>
      <c r="O40" s="85"/>
      <c r="P40" s="85"/>
      <c r="Q40" s="85"/>
      <c r="R40" s="52"/>
      <c r="S40" s="85"/>
      <c r="T40" s="52"/>
      <c r="U40" s="85"/>
      <c r="V40" s="85"/>
      <c r="W40" s="85"/>
      <c r="X40" s="85"/>
      <c r="Y40" s="52"/>
      <c r="Z40" s="85"/>
      <c r="AA40" s="52"/>
      <c r="AB40" s="85"/>
      <c r="AC40" s="85"/>
      <c r="AD40" s="85"/>
      <c r="AE40" s="85"/>
      <c r="AF40" s="52"/>
      <c r="AG40" s="85"/>
      <c r="AH40" s="86">
        <f t="shared" si="3"/>
        <v>0</v>
      </c>
      <c r="AI40" s="87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88" t="str">
        <f t="shared" si="4"/>
        <v>毓玫</v>
      </c>
      <c r="AK40" s="90"/>
    </row>
    <row r="41" spans="1:37" ht="18" customHeight="1">
      <c r="A41" s="83" t="s">
        <v>174</v>
      </c>
      <c r="B41" s="84" t="s">
        <v>144</v>
      </c>
      <c r="C41" s="85"/>
      <c r="D41" s="52"/>
      <c r="E41" s="85"/>
      <c r="F41" s="52"/>
      <c r="G41" s="85"/>
      <c r="H41" s="85"/>
      <c r="I41" s="85"/>
      <c r="J41" s="85"/>
      <c r="K41" s="52"/>
      <c r="L41" s="85"/>
      <c r="M41" s="52"/>
      <c r="N41" s="85"/>
      <c r="O41" s="85"/>
      <c r="P41" s="85"/>
      <c r="Q41" s="85"/>
      <c r="R41" s="52"/>
      <c r="S41" s="85"/>
      <c r="T41" s="52"/>
      <c r="U41" s="85"/>
      <c r="V41" s="85"/>
      <c r="W41" s="85"/>
      <c r="X41" s="85"/>
      <c r="Y41" s="52"/>
      <c r="Z41" s="85"/>
      <c r="AA41" s="52"/>
      <c r="AB41" s="85"/>
      <c r="AC41" s="85"/>
      <c r="AD41" s="85"/>
      <c r="AE41" s="85"/>
      <c r="AF41" s="52"/>
      <c r="AG41" s="85"/>
      <c r="AH41" s="86">
        <f t="shared" si="3"/>
        <v>0</v>
      </c>
      <c r="AI41" s="87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88" t="str">
        <f t="shared" si="4"/>
        <v>美枝</v>
      </c>
      <c r="AK41" s="89"/>
    </row>
    <row r="42" spans="1:37" ht="18" customHeight="1">
      <c r="A42" s="83" t="s">
        <v>174</v>
      </c>
      <c r="B42" s="84" t="s">
        <v>145</v>
      </c>
      <c r="C42" s="85"/>
      <c r="D42" s="52"/>
      <c r="E42" s="85"/>
      <c r="F42" s="52"/>
      <c r="G42" s="85"/>
      <c r="H42" s="85"/>
      <c r="I42" s="85"/>
      <c r="J42" s="85"/>
      <c r="K42" s="52"/>
      <c r="L42" s="85"/>
      <c r="M42" s="52"/>
      <c r="N42" s="85"/>
      <c r="O42" s="85"/>
      <c r="P42" s="85"/>
      <c r="Q42" s="85"/>
      <c r="R42" s="52"/>
      <c r="S42" s="85"/>
      <c r="T42" s="52"/>
      <c r="U42" s="85"/>
      <c r="V42" s="85"/>
      <c r="W42" s="85"/>
      <c r="X42" s="85"/>
      <c r="Y42" s="52"/>
      <c r="Z42" s="85"/>
      <c r="AA42" s="52"/>
      <c r="AB42" s="85"/>
      <c r="AC42" s="85"/>
      <c r="AD42" s="85"/>
      <c r="AE42" s="85"/>
      <c r="AF42" s="52"/>
      <c r="AG42" s="85"/>
      <c r="AH42" s="86">
        <f t="shared" si="3"/>
        <v>0</v>
      </c>
      <c r="AI42" s="87" t="e">
        <f ca="1">IF(A42="O", (VALUE(_xludf.IFS(AH42=0,"0",AH42=1,"150",AH42=2,"300",AH42=3,"450",AH42=4,"600",AH42=5,"750",AH42&gt;=6,"800"))),(VALUE(_xludf.IFS(AH42=0,"0",AH42=1,"150",AH42=2,"300",AH42=3,"450",AH42=4,"600",AH42=5,"750",AH42=6,"900",AH42&gt;=7,"1,000"))))</f>
        <v>#NAME?</v>
      </c>
      <c r="AJ42" s="88" t="str">
        <f t="shared" si="4"/>
        <v>魯魯咪</v>
      </c>
      <c r="AK42" s="91"/>
    </row>
    <row r="43" spans="1:37" ht="18" customHeight="1">
      <c r="A43" s="63" t="s">
        <v>58</v>
      </c>
      <c r="B43" s="64" t="s">
        <v>23</v>
      </c>
      <c r="C43" s="65"/>
      <c r="D43" s="52"/>
      <c r="E43" s="65"/>
      <c r="F43" s="52"/>
      <c r="G43" s="65">
        <v>1</v>
      </c>
      <c r="H43" s="65"/>
      <c r="I43" s="65"/>
      <c r="J43" s="65"/>
      <c r="K43" s="52"/>
      <c r="L43" s="65"/>
      <c r="M43" s="52"/>
      <c r="N43" s="65"/>
      <c r="O43" s="65"/>
      <c r="P43" s="65">
        <v>1</v>
      </c>
      <c r="Q43" s="65">
        <v>1</v>
      </c>
      <c r="R43" s="52"/>
      <c r="S43" s="65"/>
      <c r="T43" s="52"/>
      <c r="U43" s="65">
        <v>1</v>
      </c>
      <c r="V43" s="65"/>
      <c r="W43" s="65"/>
      <c r="X43" s="65"/>
      <c r="Y43" s="52"/>
      <c r="Z43" s="65"/>
      <c r="AA43" s="52"/>
      <c r="AB43" s="65"/>
      <c r="AC43" s="65"/>
      <c r="AD43" s="65">
        <v>1</v>
      </c>
      <c r="AE43" s="65">
        <v>1</v>
      </c>
      <c r="AF43" s="52"/>
      <c r="AG43" s="65">
        <v>1</v>
      </c>
      <c r="AH43" s="66">
        <f t="shared" si="3"/>
        <v>7</v>
      </c>
      <c r="AI43" s="68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69" t="str">
        <f t="shared" si="4"/>
        <v>ㄈㄈ</v>
      </c>
      <c r="AK43" s="73"/>
    </row>
    <row r="44" spans="1:37" ht="18" customHeight="1">
      <c r="A44" s="63" t="s">
        <v>58</v>
      </c>
      <c r="B44" s="64" t="s">
        <v>24</v>
      </c>
      <c r="C44" s="65"/>
      <c r="D44" s="52"/>
      <c r="E44" s="65"/>
      <c r="F44" s="52"/>
      <c r="G44" s="65"/>
      <c r="H44" s="65">
        <v>1</v>
      </c>
      <c r="I44" s="65"/>
      <c r="J44" s="65"/>
      <c r="K44" s="52"/>
      <c r="L44" s="65">
        <v>1</v>
      </c>
      <c r="M44" s="52"/>
      <c r="N44" s="65"/>
      <c r="O44" s="65"/>
      <c r="P44" s="65"/>
      <c r="Q44" s="65">
        <v>1</v>
      </c>
      <c r="R44" s="52"/>
      <c r="S44" s="65"/>
      <c r="T44" s="52"/>
      <c r="U44" s="65"/>
      <c r="V44" s="65">
        <v>1</v>
      </c>
      <c r="W44" s="65"/>
      <c r="X44" s="65"/>
      <c r="Y44" s="52"/>
      <c r="Z44" s="65"/>
      <c r="AA44" s="52"/>
      <c r="AB44" s="65"/>
      <c r="AC44" s="65"/>
      <c r="AD44" s="65"/>
      <c r="AE44" s="65">
        <v>1</v>
      </c>
      <c r="AF44" s="52"/>
      <c r="AG44" s="65"/>
      <c r="AH44" s="66">
        <f t="shared" si="3"/>
        <v>5</v>
      </c>
      <c r="AI44" s="68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69" t="str">
        <f t="shared" si="4"/>
        <v>大熊</v>
      </c>
      <c r="AK44" s="73"/>
    </row>
    <row r="45" spans="1:37" ht="18" customHeight="1">
      <c r="A45" s="63" t="s">
        <v>58</v>
      </c>
      <c r="B45" s="64" t="s">
        <v>64</v>
      </c>
      <c r="C45" s="65">
        <v>1</v>
      </c>
      <c r="D45" s="52"/>
      <c r="E45" s="65">
        <v>1</v>
      </c>
      <c r="F45" s="52"/>
      <c r="G45" s="65"/>
      <c r="H45" s="65">
        <v>1</v>
      </c>
      <c r="I45" s="65"/>
      <c r="J45" s="65">
        <v>1</v>
      </c>
      <c r="K45" s="52"/>
      <c r="L45" s="65">
        <v>1</v>
      </c>
      <c r="M45" s="52"/>
      <c r="N45" s="65"/>
      <c r="O45" s="65"/>
      <c r="P45" s="65"/>
      <c r="Q45" s="65">
        <v>1</v>
      </c>
      <c r="R45" s="52"/>
      <c r="S45" s="65"/>
      <c r="T45" s="52"/>
      <c r="U45" s="65">
        <v>1</v>
      </c>
      <c r="V45" s="65"/>
      <c r="W45" s="65"/>
      <c r="X45" s="65">
        <v>1</v>
      </c>
      <c r="Y45" s="52"/>
      <c r="Z45" s="65"/>
      <c r="AA45" s="52"/>
      <c r="AB45" s="65"/>
      <c r="AC45" s="65"/>
      <c r="AD45" s="65">
        <v>1</v>
      </c>
      <c r="AE45" s="65">
        <v>1</v>
      </c>
      <c r="AF45" s="52"/>
      <c r="AG45" s="65">
        <v>1</v>
      </c>
      <c r="AH45" s="66">
        <f t="shared" si="3"/>
        <v>11</v>
      </c>
      <c r="AI45" s="68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69" t="str">
        <f t="shared" si="4"/>
        <v>園棠</v>
      </c>
      <c r="AK45" s="73"/>
    </row>
    <row r="46" spans="1:37" ht="18" customHeight="1">
      <c r="A46" s="63" t="s">
        <v>58</v>
      </c>
      <c r="B46" s="64" t="s">
        <v>178</v>
      </c>
      <c r="C46" s="65"/>
      <c r="D46" s="52"/>
      <c r="E46" s="65">
        <v>1</v>
      </c>
      <c r="F46" s="52"/>
      <c r="G46" s="65">
        <v>1</v>
      </c>
      <c r="H46" s="65"/>
      <c r="I46" s="65"/>
      <c r="J46" s="65">
        <v>1</v>
      </c>
      <c r="K46" s="52"/>
      <c r="L46" s="65">
        <v>1</v>
      </c>
      <c r="M46" s="52"/>
      <c r="N46" s="65">
        <v>1</v>
      </c>
      <c r="O46" s="65"/>
      <c r="P46" s="65"/>
      <c r="Q46" s="65">
        <v>1</v>
      </c>
      <c r="R46" s="52"/>
      <c r="S46" s="65"/>
      <c r="T46" s="52"/>
      <c r="U46" s="65"/>
      <c r="V46" s="65"/>
      <c r="W46" s="65"/>
      <c r="X46" s="65"/>
      <c r="Y46" s="52"/>
      <c r="Z46" s="65"/>
      <c r="AA46" s="52"/>
      <c r="AB46" s="65"/>
      <c r="AC46" s="65"/>
      <c r="AD46" s="65"/>
      <c r="AE46" s="65">
        <v>1</v>
      </c>
      <c r="AF46" s="52"/>
      <c r="AG46" s="65">
        <v>1</v>
      </c>
      <c r="AH46" s="66">
        <f t="shared" si="3"/>
        <v>8</v>
      </c>
      <c r="AI46" s="68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69" t="str">
        <f t="shared" si="4"/>
        <v>Fish</v>
      </c>
      <c r="AK46" s="73"/>
    </row>
    <row r="47" spans="1:37" ht="18" customHeight="1">
      <c r="A47" s="63" t="s">
        <v>58</v>
      </c>
      <c r="B47" s="64" t="s">
        <v>25</v>
      </c>
      <c r="C47" s="65"/>
      <c r="D47" s="52"/>
      <c r="E47" s="65"/>
      <c r="F47" s="52"/>
      <c r="G47" s="65"/>
      <c r="H47" s="65"/>
      <c r="I47" s="65"/>
      <c r="J47" s="65">
        <v>1</v>
      </c>
      <c r="K47" s="52"/>
      <c r="L47" s="65"/>
      <c r="M47" s="52"/>
      <c r="N47" s="65"/>
      <c r="O47" s="65"/>
      <c r="P47" s="65"/>
      <c r="Q47" s="65"/>
      <c r="R47" s="52"/>
      <c r="S47" s="65"/>
      <c r="T47" s="52"/>
      <c r="U47" s="65"/>
      <c r="V47" s="65"/>
      <c r="W47" s="65"/>
      <c r="X47" s="65"/>
      <c r="Y47" s="52"/>
      <c r="Z47" s="65"/>
      <c r="AA47" s="52"/>
      <c r="AB47" s="65"/>
      <c r="AC47" s="65"/>
      <c r="AD47" s="65">
        <v>1</v>
      </c>
      <c r="AE47" s="65"/>
      <c r="AF47" s="52"/>
      <c r="AG47" s="65"/>
      <c r="AH47" s="66">
        <f t="shared" si="3"/>
        <v>2</v>
      </c>
      <c r="AI47" s="68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69" t="str">
        <f t="shared" si="4"/>
        <v>潘潘</v>
      </c>
      <c r="AK47" s="73"/>
    </row>
    <row r="48" spans="1:37" ht="18" customHeight="1">
      <c r="A48" s="63" t="s">
        <v>58</v>
      </c>
      <c r="B48" s="64" t="s">
        <v>63</v>
      </c>
      <c r="C48" s="65"/>
      <c r="D48" s="52"/>
      <c r="E48" s="65"/>
      <c r="F48" s="52"/>
      <c r="G48" s="65">
        <v>1</v>
      </c>
      <c r="H48" s="65"/>
      <c r="I48" s="65"/>
      <c r="J48" s="65">
        <v>1</v>
      </c>
      <c r="K48" s="52"/>
      <c r="L48" s="65"/>
      <c r="M48" s="52"/>
      <c r="N48" s="65"/>
      <c r="O48" s="65"/>
      <c r="P48" s="65"/>
      <c r="Q48" s="65">
        <v>1</v>
      </c>
      <c r="R48" s="52"/>
      <c r="S48" s="65"/>
      <c r="T48" s="52"/>
      <c r="U48" s="65"/>
      <c r="V48" s="65"/>
      <c r="W48" s="65"/>
      <c r="X48" s="65"/>
      <c r="Y48" s="52"/>
      <c r="Z48" s="65"/>
      <c r="AA48" s="52"/>
      <c r="AB48" s="65"/>
      <c r="AC48" s="65"/>
      <c r="AD48" s="65"/>
      <c r="AE48" s="65"/>
      <c r="AF48" s="52"/>
      <c r="AG48" s="65"/>
      <c r="AH48" s="66">
        <f t="shared" si="3"/>
        <v>3</v>
      </c>
      <c r="AI48" s="68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69" t="str">
        <f t="shared" si="4"/>
        <v>芒果</v>
      </c>
      <c r="AK48" s="73"/>
    </row>
    <row r="49" spans="1:37" ht="18" customHeight="1">
      <c r="A49" s="63" t="s">
        <v>58</v>
      </c>
      <c r="B49" s="64" t="s">
        <v>22</v>
      </c>
      <c r="C49" s="65"/>
      <c r="D49" s="52"/>
      <c r="E49" s="65"/>
      <c r="F49" s="52"/>
      <c r="G49" s="65"/>
      <c r="H49" s="65">
        <v>1</v>
      </c>
      <c r="I49" s="65"/>
      <c r="J49" s="65"/>
      <c r="K49" s="52"/>
      <c r="L49" s="65"/>
      <c r="M49" s="52"/>
      <c r="N49" s="65">
        <v>1</v>
      </c>
      <c r="O49" s="65"/>
      <c r="P49" s="65"/>
      <c r="Q49" s="65"/>
      <c r="R49" s="52"/>
      <c r="S49" s="65"/>
      <c r="T49" s="52"/>
      <c r="U49" s="65"/>
      <c r="V49" s="65">
        <v>1</v>
      </c>
      <c r="W49" s="65"/>
      <c r="X49" s="65"/>
      <c r="Y49" s="52"/>
      <c r="Z49" s="65"/>
      <c r="AA49" s="52"/>
      <c r="AB49" s="65"/>
      <c r="AC49" s="65">
        <v>1</v>
      </c>
      <c r="AD49" s="65"/>
      <c r="AE49" s="65">
        <v>1</v>
      </c>
      <c r="AF49" s="52"/>
      <c r="AG49" s="65"/>
      <c r="AH49" s="66">
        <f t="shared" si="3"/>
        <v>5</v>
      </c>
      <c r="AI49" s="68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69" t="str">
        <f t="shared" si="4"/>
        <v>Mars</v>
      </c>
      <c r="AK49" s="73"/>
    </row>
    <row r="50" spans="1:37" ht="18" customHeight="1">
      <c r="A50" s="63" t="s">
        <v>58</v>
      </c>
      <c r="B50" s="64" t="s">
        <v>59</v>
      </c>
      <c r="C50" s="65"/>
      <c r="D50" s="52"/>
      <c r="E50" s="65"/>
      <c r="F50" s="52"/>
      <c r="G50" s="65"/>
      <c r="H50" s="65"/>
      <c r="I50" s="65"/>
      <c r="J50" s="65"/>
      <c r="K50" s="52"/>
      <c r="L50" s="65"/>
      <c r="M50" s="52"/>
      <c r="N50" s="65"/>
      <c r="O50" s="65"/>
      <c r="P50" s="65"/>
      <c r="Q50" s="65"/>
      <c r="R50" s="52"/>
      <c r="S50" s="65"/>
      <c r="T50" s="52"/>
      <c r="U50" s="65"/>
      <c r="V50" s="65"/>
      <c r="W50" s="65"/>
      <c r="X50" s="65"/>
      <c r="Y50" s="52"/>
      <c r="Z50" s="65"/>
      <c r="AA50" s="52"/>
      <c r="AB50" s="65"/>
      <c r="AC50" s="65"/>
      <c r="AD50" s="65"/>
      <c r="AE50" s="65"/>
      <c r="AF50" s="52"/>
      <c r="AG50" s="65"/>
      <c r="AH50" s="66">
        <f t="shared" si="3"/>
        <v>0</v>
      </c>
      <c r="AI50" s="68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69" t="str">
        <f t="shared" si="4"/>
        <v>阿幹</v>
      </c>
      <c r="AK50" s="73"/>
    </row>
    <row r="51" spans="1:37" ht="18" customHeight="1">
      <c r="A51" s="63" t="s">
        <v>58</v>
      </c>
      <c r="B51" s="64" t="s">
        <v>27</v>
      </c>
      <c r="C51" s="65"/>
      <c r="D51" s="52"/>
      <c r="E51" s="65"/>
      <c r="F51" s="52"/>
      <c r="G51" s="65"/>
      <c r="H51" s="65"/>
      <c r="I51" s="65"/>
      <c r="J51" s="65"/>
      <c r="K51" s="52"/>
      <c r="L51" s="65"/>
      <c r="M51" s="52"/>
      <c r="N51" s="65"/>
      <c r="O51" s="65"/>
      <c r="P51" s="65"/>
      <c r="Q51" s="65"/>
      <c r="R51" s="52"/>
      <c r="S51" s="65"/>
      <c r="T51" s="52"/>
      <c r="U51" s="65"/>
      <c r="V51" s="65"/>
      <c r="W51" s="65"/>
      <c r="X51" s="65"/>
      <c r="Y51" s="52"/>
      <c r="Z51" s="65"/>
      <c r="AA51" s="52"/>
      <c r="AB51" s="65"/>
      <c r="AC51" s="65"/>
      <c r="AD51" s="65"/>
      <c r="AE51" s="65"/>
      <c r="AF51" s="52"/>
      <c r="AG51" s="65"/>
      <c r="AH51" s="66">
        <f t="shared" si="3"/>
        <v>0</v>
      </c>
      <c r="AI51" s="68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69" t="str">
        <f t="shared" si="4"/>
        <v>芋圓</v>
      </c>
      <c r="AK51" s="73"/>
    </row>
    <row r="52" spans="1:37" ht="18" customHeight="1">
      <c r="A52" s="63" t="s">
        <v>58</v>
      </c>
      <c r="B52" s="64" t="s">
        <v>28</v>
      </c>
      <c r="C52" s="65"/>
      <c r="D52" s="52"/>
      <c r="E52" s="65"/>
      <c r="F52" s="52"/>
      <c r="G52" s="65"/>
      <c r="H52" s="65"/>
      <c r="I52" s="65"/>
      <c r="J52" s="65"/>
      <c r="K52" s="52"/>
      <c r="L52" s="65"/>
      <c r="M52" s="52"/>
      <c r="N52" s="65"/>
      <c r="O52" s="65"/>
      <c r="P52" s="65"/>
      <c r="Q52" s="65"/>
      <c r="R52" s="52"/>
      <c r="S52" s="65"/>
      <c r="T52" s="52"/>
      <c r="U52" s="65"/>
      <c r="V52" s="65"/>
      <c r="W52" s="65"/>
      <c r="X52" s="65"/>
      <c r="Y52" s="52"/>
      <c r="Z52" s="65"/>
      <c r="AA52" s="52"/>
      <c r="AB52" s="65"/>
      <c r="AC52" s="65"/>
      <c r="AD52" s="65"/>
      <c r="AE52" s="65"/>
      <c r="AF52" s="52"/>
      <c r="AG52" s="65"/>
      <c r="AH52" s="66">
        <f t="shared" si="3"/>
        <v>0</v>
      </c>
      <c r="AI52" s="68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69" t="str">
        <f t="shared" si="4"/>
        <v>克勤</v>
      </c>
      <c r="AK52" s="73"/>
    </row>
    <row r="53" spans="1:37" ht="18" customHeight="1">
      <c r="A53" s="63" t="s">
        <v>58</v>
      </c>
      <c r="B53" s="64" t="s">
        <v>29</v>
      </c>
      <c r="C53" s="65"/>
      <c r="D53" s="52"/>
      <c r="E53" s="65"/>
      <c r="F53" s="52"/>
      <c r="G53" s="65"/>
      <c r="H53" s="65"/>
      <c r="I53" s="65"/>
      <c r="J53" s="65"/>
      <c r="K53" s="52"/>
      <c r="L53" s="65"/>
      <c r="M53" s="52"/>
      <c r="N53" s="65"/>
      <c r="O53" s="65"/>
      <c r="P53" s="65"/>
      <c r="Q53" s="65"/>
      <c r="R53" s="52"/>
      <c r="S53" s="65"/>
      <c r="T53" s="52"/>
      <c r="U53" s="65"/>
      <c r="V53" s="65"/>
      <c r="W53" s="65"/>
      <c r="X53" s="65"/>
      <c r="Y53" s="52"/>
      <c r="Z53" s="65"/>
      <c r="AA53" s="52"/>
      <c r="AB53" s="65"/>
      <c r="AC53" s="65"/>
      <c r="AD53" s="65"/>
      <c r="AE53" s="65">
        <v>1</v>
      </c>
      <c r="AF53" s="52"/>
      <c r="AG53" s="65"/>
      <c r="AH53" s="66">
        <f t="shared" si="3"/>
        <v>1</v>
      </c>
      <c r="AI53" s="68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69" t="str">
        <f t="shared" si="4"/>
        <v>大頭</v>
      </c>
      <c r="AK53" s="73"/>
    </row>
    <row r="54" spans="1:37" ht="18" customHeight="1">
      <c r="A54" s="63" t="s">
        <v>58</v>
      </c>
      <c r="B54" s="64" t="s">
        <v>66</v>
      </c>
      <c r="C54" s="65"/>
      <c r="D54" s="52"/>
      <c r="E54" s="65"/>
      <c r="F54" s="52"/>
      <c r="G54" s="65"/>
      <c r="H54" s="65"/>
      <c r="I54" s="65"/>
      <c r="J54" s="65"/>
      <c r="K54" s="52"/>
      <c r="L54" s="65"/>
      <c r="M54" s="52"/>
      <c r="N54" s="65"/>
      <c r="O54" s="65"/>
      <c r="P54" s="65"/>
      <c r="Q54" s="65"/>
      <c r="R54" s="52"/>
      <c r="S54" s="65"/>
      <c r="T54" s="52"/>
      <c r="U54" s="65"/>
      <c r="V54" s="65"/>
      <c r="W54" s="65"/>
      <c r="X54" s="65"/>
      <c r="Y54" s="52"/>
      <c r="Z54" s="65"/>
      <c r="AA54" s="52"/>
      <c r="AB54" s="65"/>
      <c r="AC54" s="65"/>
      <c r="AD54" s="65"/>
      <c r="AE54" s="65"/>
      <c r="AF54" s="52"/>
      <c r="AG54" s="65"/>
      <c r="AH54" s="66">
        <f t="shared" si="3"/>
        <v>0</v>
      </c>
      <c r="AI54" s="68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69" t="str">
        <f t="shared" si="4"/>
        <v>昆佑</v>
      </c>
      <c r="AK54" s="73"/>
    </row>
    <row r="55" spans="1:37" ht="18" customHeight="1">
      <c r="A55" s="63" t="s">
        <v>58</v>
      </c>
      <c r="B55" s="64" t="s">
        <v>68</v>
      </c>
      <c r="C55" s="65"/>
      <c r="D55" s="52"/>
      <c r="E55" s="65"/>
      <c r="F55" s="52"/>
      <c r="G55" s="65"/>
      <c r="H55" s="65"/>
      <c r="I55" s="65"/>
      <c r="J55" s="65"/>
      <c r="K55" s="52"/>
      <c r="L55" s="65"/>
      <c r="M55" s="52"/>
      <c r="N55" s="65"/>
      <c r="O55" s="65"/>
      <c r="P55" s="65"/>
      <c r="Q55" s="65"/>
      <c r="R55" s="52"/>
      <c r="S55" s="65"/>
      <c r="T55" s="52"/>
      <c r="U55" s="65"/>
      <c r="V55" s="65"/>
      <c r="W55" s="65"/>
      <c r="X55" s="65"/>
      <c r="Y55" s="52"/>
      <c r="Z55" s="65"/>
      <c r="AA55" s="52"/>
      <c r="AB55" s="65"/>
      <c r="AC55" s="65"/>
      <c r="AD55" s="65"/>
      <c r="AE55" s="65"/>
      <c r="AF55" s="52"/>
      <c r="AG55" s="65"/>
      <c r="AH55" s="66">
        <f t="shared" si="3"/>
        <v>0</v>
      </c>
      <c r="AI55" s="68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69" t="str">
        <f t="shared" si="4"/>
        <v>兔子</v>
      </c>
      <c r="AK55" s="73"/>
    </row>
    <row r="56" spans="1:37" ht="18" customHeight="1">
      <c r="A56" s="63" t="s">
        <v>58</v>
      </c>
      <c r="B56" s="64" t="s">
        <v>69</v>
      </c>
      <c r="C56" s="65"/>
      <c r="D56" s="52"/>
      <c r="E56" s="65"/>
      <c r="F56" s="52"/>
      <c r="G56" s="65"/>
      <c r="H56" s="65"/>
      <c r="I56" s="65"/>
      <c r="J56" s="65"/>
      <c r="K56" s="52"/>
      <c r="L56" s="65"/>
      <c r="M56" s="52"/>
      <c r="N56" s="65"/>
      <c r="O56" s="65"/>
      <c r="P56" s="65"/>
      <c r="Q56" s="65"/>
      <c r="R56" s="52"/>
      <c r="S56" s="65"/>
      <c r="T56" s="52"/>
      <c r="U56" s="65"/>
      <c r="V56" s="65"/>
      <c r="W56" s="65"/>
      <c r="X56" s="65"/>
      <c r="Y56" s="52"/>
      <c r="Z56" s="65"/>
      <c r="AA56" s="52"/>
      <c r="AB56" s="65"/>
      <c r="AC56" s="65"/>
      <c r="AD56" s="65"/>
      <c r="AE56" s="65"/>
      <c r="AF56" s="52"/>
      <c r="AG56" s="65"/>
      <c r="AH56" s="66">
        <f t="shared" si="3"/>
        <v>0</v>
      </c>
      <c r="AI56" s="68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69" t="str">
        <f t="shared" si="4"/>
        <v>小馬</v>
      </c>
      <c r="AK56" s="73"/>
    </row>
    <row r="57" spans="1:37" ht="18" customHeight="1">
      <c r="A57" s="63" t="s">
        <v>58</v>
      </c>
      <c r="B57" s="64" t="s">
        <v>70</v>
      </c>
      <c r="C57" s="65"/>
      <c r="D57" s="52"/>
      <c r="E57" s="65"/>
      <c r="F57" s="52"/>
      <c r="G57" s="65"/>
      <c r="H57" s="65"/>
      <c r="I57" s="65"/>
      <c r="J57" s="65"/>
      <c r="K57" s="52"/>
      <c r="L57" s="65"/>
      <c r="M57" s="52"/>
      <c r="N57" s="65"/>
      <c r="O57" s="65"/>
      <c r="P57" s="65"/>
      <c r="Q57" s="65"/>
      <c r="R57" s="52"/>
      <c r="S57" s="65"/>
      <c r="T57" s="52"/>
      <c r="U57" s="65"/>
      <c r="V57" s="65"/>
      <c r="W57" s="65"/>
      <c r="X57" s="65"/>
      <c r="Y57" s="52"/>
      <c r="Z57" s="65"/>
      <c r="AA57" s="52"/>
      <c r="AB57" s="65"/>
      <c r="AC57" s="65"/>
      <c r="AD57" s="65"/>
      <c r="AE57" s="65"/>
      <c r="AF57" s="52"/>
      <c r="AG57" s="65"/>
      <c r="AH57" s="66">
        <f t="shared" si="3"/>
        <v>0</v>
      </c>
      <c r="AI57" s="68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69" t="str">
        <f t="shared" si="4"/>
        <v>Allen</v>
      </c>
      <c r="AK57" s="73"/>
    </row>
    <row r="58" spans="1:37" ht="18" customHeight="1">
      <c r="A58" s="63" t="s">
        <v>58</v>
      </c>
      <c r="B58" s="64" t="s">
        <v>71</v>
      </c>
      <c r="C58" s="65"/>
      <c r="D58" s="52"/>
      <c r="E58" s="65"/>
      <c r="F58" s="52"/>
      <c r="G58" s="65"/>
      <c r="H58" s="65"/>
      <c r="I58" s="65"/>
      <c r="J58" s="65"/>
      <c r="K58" s="52"/>
      <c r="L58" s="65"/>
      <c r="M58" s="52"/>
      <c r="N58" s="65"/>
      <c r="O58" s="65"/>
      <c r="P58" s="65"/>
      <c r="Q58" s="65"/>
      <c r="R58" s="52"/>
      <c r="S58" s="65"/>
      <c r="T58" s="52"/>
      <c r="U58" s="65"/>
      <c r="V58" s="65"/>
      <c r="W58" s="65"/>
      <c r="X58" s="65"/>
      <c r="Y58" s="52"/>
      <c r="Z58" s="65"/>
      <c r="AA58" s="52"/>
      <c r="AB58" s="65"/>
      <c r="AC58" s="65"/>
      <c r="AD58" s="65"/>
      <c r="AE58" s="65"/>
      <c r="AF58" s="52"/>
      <c r="AG58" s="65"/>
      <c r="AH58" s="66">
        <f t="shared" si="3"/>
        <v>0</v>
      </c>
      <c r="AI58" s="68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69" t="str">
        <f t="shared" si="4"/>
        <v>嘴嘴</v>
      </c>
      <c r="AK58" s="73"/>
    </row>
    <row r="59" spans="1:37" ht="18" customHeight="1">
      <c r="A59" s="63" t="s">
        <v>58</v>
      </c>
      <c r="B59" s="64" t="s">
        <v>74</v>
      </c>
      <c r="C59" s="65"/>
      <c r="D59" s="52"/>
      <c r="E59" s="65"/>
      <c r="F59" s="52"/>
      <c r="G59" s="65"/>
      <c r="H59" s="65"/>
      <c r="I59" s="65"/>
      <c r="J59" s="65"/>
      <c r="K59" s="52"/>
      <c r="L59" s="65"/>
      <c r="M59" s="52"/>
      <c r="N59" s="65"/>
      <c r="O59" s="65"/>
      <c r="P59" s="65"/>
      <c r="Q59" s="65"/>
      <c r="R59" s="52"/>
      <c r="S59" s="65"/>
      <c r="T59" s="52"/>
      <c r="U59" s="65"/>
      <c r="V59" s="65"/>
      <c r="W59" s="65"/>
      <c r="X59" s="65"/>
      <c r="Y59" s="52"/>
      <c r="Z59" s="65"/>
      <c r="AA59" s="52"/>
      <c r="AB59" s="65"/>
      <c r="AC59" s="65"/>
      <c r="AD59" s="65"/>
      <c r="AE59" s="65"/>
      <c r="AF59" s="52"/>
      <c r="AG59" s="65"/>
      <c r="AH59" s="66">
        <f t="shared" si="3"/>
        <v>0</v>
      </c>
      <c r="AI59" s="68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69" t="str">
        <f t="shared" si="4"/>
        <v>蘆葦</v>
      </c>
      <c r="AK59" s="73"/>
    </row>
    <row r="60" spans="1:37" ht="18" customHeight="1">
      <c r="A60" s="63" t="s">
        <v>58</v>
      </c>
      <c r="B60" s="64" t="s">
        <v>30</v>
      </c>
      <c r="C60" s="65"/>
      <c r="D60" s="52"/>
      <c r="E60" s="65"/>
      <c r="F60" s="52"/>
      <c r="G60" s="65">
        <v>1</v>
      </c>
      <c r="H60" s="65"/>
      <c r="I60" s="65"/>
      <c r="J60" s="65"/>
      <c r="K60" s="52"/>
      <c r="L60" s="65">
        <v>1</v>
      </c>
      <c r="M60" s="52"/>
      <c r="N60" s="65">
        <v>1</v>
      </c>
      <c r="O60" s="65"/>
      <c r="P60" s="65"/>
      <c r="Q60" s="65">
        <v>1</v>
      </c>
      <c r="R60" s="52"/>
      <c r="S60" s="65"/>
      <c r="T60" s="52"/>
      <c r="U60" s="65">
        <v>1</v>
      </c>
      <c r="V60" s="65"/>
      <c r="W60" s="65"/>
      <c r="X60" s="65"/>
      <c r="Y60" s="52"/>
      <c r="Z60" s="65"/>
      <c r="AA60" s="52"/>
      <c r="AB60" s="65"/>
      <c r="AC60" s="65"/>
      <c r="AD60" s="65">
        <v>1</v>
      </c>
      <c r="AE60" s="65"/>
      <c r="AF60" s="52"/>
      <c r="AG60" s="65"/>
      <c r="AH60" s="66">
        <f t="shared" si="3"/>
        <v>6</v>
      </c>
      <c r="AI60" s="68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69" t="str">
        <f t="shared" si="4"/>
        <v>鯰魚</v>
      </c>
      <c r="AK60" s="73"/>
    </row>
    <row r="61" spans="1:37" ht="18" customHeight="1">
      <c r="A61" s="63" t="s">
        <v>58</v>
      </c>
      <c r="B61" s="64" t="s">
        <v>31</v>
      </c>
      <c r="C61" s="65">
        <v>1</v>
      </c>
      <c r="D61" s="52"/>
      <c r="E61" s="65"/>
      <c r="F61" s="52"/>
      <c r="G61" s="65"/>
      <c r="H61" s="65"/>
      <c r="I61" s="65"/>
      <c r="J61" s="65"/>
      <c r="K61" s="52"/>
      <c r="L61" s="65"/>
      <c r="M61" s="52"/>
      <c r="N61" s="65"/>
      <c r="O61" s="65"/>
      <c r="P61" s="65"/>
      <c r="Q61" s="65"/>
      <c r="R61" s="52"/>
      <c r="S61" s="65"/>
      <c r="T61" s="52"/>
      <c r="U61" s="65"/>
      <c r="V61" s="65"/>
      <c r="W61" s="65"/>
      <c r="X61" s="65"/>
      <c r="Y61" s="52"/>
      <c r="Z61" s="65"/>
      <c r="AA61" s="52"/>
      <c r="AB61" s="65"/>
      <c r="AC61" s="65"/>
      <c r="AD61" s="65"/>
      <c r="AE61" s="65"/>
      <c r="AF61" s="52"/>
      <c r="AG61" s="65"/>
      <c r="AH61" s="66">
        <f t="shared" si="3"/>
        <v>1</v>
      </c>
      <c r="AI61" s="68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69" t="str">
        <f t="shared" si="4"/>
        <v>阿美</v>
      </c>
      <c r="AK61" s="73"/>
    </row>
    <row r="62" spans="1:37" ht="18" customHeight="1">
      <c r="A62" s="63" t="s">
        <v>58</v>
      </c>
      <c r="B62" s="64" t="s">
        <v>73</v>
      </c>
      <c r="C62" s="65"/>
      <c r="D62" s="52"/>
      <c r="E62" s="65"/>
      <c r="F62" s="52"/>
      <c r="G62" s="65"/>
      <c r="H62" s="65"/>
      <c r="I62" s="65"/>
      <c r="J62" s="65"/>
      <c r="K62" s="52"/>
      <c r="L62" s="65"/>
      <c r="M62" s="52"/>
      <c r="N62" s="65"/>
      <c r="O62" s="65"/>
      <c r="P62" s="65"/>
      <c r="Q62" s="65"/>
      <c r="R62" s="52"/>
      <c r="S62" s="65"/>
      <c r="T62" s="52"/>
      <c r="U62" s="65"/>
      <c r="V62" s="65"/>
      <c r="W62" s="65"/>
      <c r="X62" s="65"/>
      <c r="Y62" s="52"/>
      <c r="Z62" s="65"/>
      <c r="AA62" s="52"/>
      <c r="AB62" s="65"/>
      <c r="AC62" s="65"/>
      <c r="AD62" s="65"/>
      <c r="AE62" s="65"/>
      <c r="AF62" s="52"/>
      <c r="AG62" s="65"/>
      <c r="AH62" s="66">
        <f t="shared" si="3"/>
        <v>0</v>
      </c>
      <c r="AI62" s="68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69" t="str">
        <f t="shared" si="4"/>
        <v>冠軍</v>
      </c>
      <c r="AK62" s="73"/>
    </row>
    <row r="63" spans="1:37" ht="18" customHeight="1">
      <c r="A63" s="63" t="s">
        <v>58</v>
      </c>
      <c r="B63" s="64" t="s">
        <v>26</v>
      </c>
      <c r="C63" s="65"/>
      <c r="D63" s="52"/>
      <c r="E63" s="65"/>
      <c r="F63" s="52"/>
      <c r="G63" s="65"/>
      <c r="H63" s="65"/>
      <c r="I63" s="65"/>
      <c r="J63" s="65"/>
      <c r="K63" s="52"/>
      <c r="L63" s="65"/>
      <c r="M63" s="52"/>
      <c r="N63" s="65"/>
      <c r="O63" s="65"/>
      <c r="P63" s="65"/>
      <c r="Q63" s="65"/>
      <c r="R63" s="52"/>
      <c r="S63" s="65"/>
      <c r="T63" s="52"/>
      <c r="U63" s="65"/>
      <c r="V63" s="65"/>
      <c r="W63" s="65"/>
      <c r="X63" s="65"/>
      <c r="Y63" s="52"/>
      <c r="Z63" s="65"/>
      <c r="AA63" s="52"/>
      <c r="AB63" s="65"/>
      <c r="AC63" s="65"/>
      <c r="AD63" s="65"/>
      <c r="AE63" s="65"/>
      <c r="AF63" s="52"/>
      <c r="AG63" s="65"/>
      <c r="AH63" s="66">
        <f t="shared" si="3"/>
        <v>0</v>
      </c>
      <c r="AI63" s="68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69" t="str">
        <f t="shared" si="4"/>
        <v>曉強</v>
      </c>
      <c r="AK63" s="73"/>
    </row>
    <row r="64" spans="1:37" ht="18" customHeight="1">
      <c r="A64" s="63" t="s">
        <v>58</v>
      </c>
      <c r="B64" s="64" t="s">
        <v>198</v>
      </c>
      <c r="C64" s="65"/>
      <c r="D64" s="52"/>
      <c r="E64" s="65"/>
      <c r="F64" s="52"/>
      <c r="G64" s="65"/>
      <c r="H64" s="65"/>
      <c r="I64" s="65"/>
      <c r="J64" s="65"/>
      <c r="K64" s="52"/>
      <c r="L64" s="65"/>
      <c r="M64" s="52"/>
      <c r="N64" s="65"/>
      <c r="O64" s="65"/>
      <c r="P64" s="65"/>
      <c r="Q64" s="65"/>
      <c r="R64" s="52"/>
      <c r="S64" s="65"/>
      <c r="T64" s="52"/>
      <c r="U64" s="65"/>
      <c r="V64" s="65"/>
      <c r="W64" s="65"/>
      <c r="X64" s="65"/>
      <c r="Y64" s="52"/>
      <c r="Z64" s="65"/>
      <c r="AA64" s="52"/>
      <c r="AB64" s="65"/>
      <c r="AC64" s="65"/>
      <c r="AD64" s="65"/>
      <c r="AE64" s="65"/>
      <c r="AF64" s="52"/>
      <c r="AG64" s="65"/>
      <c r="AH64" s="66">
        <f t="shared" si="3"/>
        <v>0</v>
      </c>
      <c r="AI64" s="68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69" t="str">
        <f t="shared" si="4"/>
        <v>郁翔</v>
      </c>
      <c r="AK64" s="73"/>
    </row>
    <row r="65" spans="1:37" ht="18" customHeight="1">
      <c r="A65" s="63" t="s">
        <v>58</v>
      </c>
      <c r="B65" s="64" t="s">
        <v>67</v>
      </c>
      <c r="C65" s="65"/>
      <c r="D65" s="52"/>
      <c r="E65" s="65"/>
      <c r="F65" s="52"/>
      <c r="G65" s="65"/>
      <c r="H65" s="65"/>
      <c r="I65" s="65"/>
      <c r="J65" s="65"/>
      <c r="K65" s="52"/>
      <c r="L65" s="65"/>
      <c r="M65" s="52"/>
      <c r="N65" s="65"/>
      <c r="O65" s="65"/>
      <c r="P65" s="65"/>
      <c r="Q65" s="65"/>
      <c r="R65" s="52"/>
      <c r="S65" s="65"/>
      <c r="T65" s="52"/>
      <c r="U65" s="65"/>
      <c r="V65" s="65"/>
      <c r="W65" s="65"/>
      <c r="X65" s="65"/>
      <c r="Y65" s="52"/>
      <c r="Z65" s="65"/>
      <c r="AA65" s="52"/>
      <c r="AB65" s="65"/>
      <c r="AC65" s="65"/>
      <c r="AD65" s="65"/>
      <c r="AE65" s="65"/>
      <c r="AF65" s="52"/>
      <c r="AG65" s="65"/>
      <c r="AH65" s="66">
        <f t="shared" si="3"/>
        <v>0</v>
      </c>
      <c r="AI65" s="68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69" t="str">
        <f t="shared" si="4"/>
        <v>歐吉</v>
      </c>
      <c r="AK65" s="73"/>
    </row>
    <row r="66" spans="1:37" ht="18" customHeight="1">
      <c r="A66" s="63" t="s">
        <v>58</v>
      </c>
      <c r="B66" s="64" t="s">
        <v>65</v>
      </c>
      <c r="C66" s="65">
        <v>1</v>
      </c>
      <c r="D66" s="52"/>
      <c r="E66" s="65">
        <v>1</v>
      </c>
      <c r="F66" s="52"/>
      <c r="G66" s="65"/>
      <c r="H66" s="65">
        <v>1</v>
      </c>
      <c r="I66" s="65"/>
      <c r="J66" s="65">
        <v>1</v>
      </c>
      <c r="K66" s="52"/>
      <c r="L66" s="65">
        <v>1</v>
      </c>
      <c r="M66" s="52"/>
      <c r="N66" s="65"/>
      <c r="O66" s="65"/>
      <c r="P66" s="65"/>
      <c r="Q66" s="65"/>
      <c r="R66" s="52"/>
      <c r="S66" s="65"/>
      <c r="T66" s="52"/>
      <c r="U66" s="65"/>
      <c r="V66" s="65"/>
      <c r="W66" s="65"/>
      <c r="X66" s="65"/>
      <c r="Y66" s="52"/>
      <c r="Z66" s="65"/>
      <c r="AA66" s="52"/>
      <c r="AB66" s="65"/>
      <c r="AC66" s="65"/>
      <c r="AD66" s="65"/>
      <c r="AE66" s="65"/>
      <c r="AF66" s="52"/>
      <c r="AG66" s="65"/>
      <c r="AH66" s="66">
        <f t="shared" si="3"/>
        <v>5</v>
      </c>
      <c r="AI66" s="68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69" t="str">
        <f t="shared" si="4"/>
        <v>文淵</v>
      </c>
      <c r="AK66" s="73"/>
    </row>
    <row r="67" spans="1:37" ht="18" customHeight="1">
      <c r="A67" s="63" t="s">
        <v>58</v>
      </c>
      <c r="B67" s="64" t="s">
        <v>75</v>
      </c>
      <c r="C67" s="65"/>
      <c r="D67" s="52"/>
      <c r="E67" s="65"/>
      <c r="F67" s="52"/>
      <c r="G67" s="65"/>
      <c r="H67" s="65"/>
      <c r="I67" s="65"/>
      <c r="J67" s="65"/>
      <c r="K67" s="52"/>
      <c r="L67" s="65"/>
      <c r="M67" s="52"/>
      <c r="N67" s="65"/>
      <c r="O67" s="65"/>
      <c r="P67" s="65"/>
      <c r="Q67" s="65"/>
      <c r="R67" s="52"/>
      <c r="S67" s="65"/>
      <c r="T67" s="52"/>
      <c r="U67" s="65"/>
      <c r="V67" s="65"/>
      <c r="W67" s="65"/>
      <c r="X67" s="65"/>
      <c r="Y67" s="52"/>
      <c r="Z67" s="65"/>
      <c r="AA67" s="52"/>
      <c r="AB67" s="65"/>
      <c r="AC67" s="65"/>
      <c r="AD67" s="65"/>
      <c r="AE67" s="65"/>
      <c r="AF67" s="52"/>
      <c r="AG67" s="65"/>
      <c r="AH67" s="66">
        <f t="shared" si="3"/>
        <v>0</v>
      </c>
      <c r="AI67" s="68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69" t="str">
        <f t="shared" si="4"/>
        <v>叮噹</v>
      </c>
      <c r="AK67" s="73"/>
    </row>
    <row r="68" spans="1:37" ht="18" customHeight="1">
      <c r="A68" s="63" t="s">
        <v>58</v>
      </c>
      <c r="B68" s="64" t="s">
        <v>76</v>
      </c>
      <c r="C68" s="65"/>
      <c r="D68" s="52"/>
      <c r="E68" s="65"/>
      <c r="F68" s="52"/>
      <c r="G68" s="65"/>
      <c r="H68" s="65"/>
      <c r="I68" s="65"/>
      <c r="J68" s="65"/>
      <c r="K68" s="52"/>
      <c r="L68" s="65"/>
      <c r="M68" s="52"/>
      <c r="N68" s="65"/>
      <c r="O68" s="65"/>
      <c r="P68" s="65"/>
      <c r="Q68" s="65"/>
      <c r="R68" s="52"/>
      <c r="S68" s="65"/>
      <c r="T68" s="52"/>
      <c r="U68" s="65"/>
      <c r="V68" s="65"/>
      <c r="W68" s="65"/>
      <c r="X68" s="65"/>
      <c r="Y68" s="52"/>
      <c r="Z68" s="65"/>
      <c r="AA68" s="52"/>
      <c r="AB68" s="65"/>
      <c r="AC68" s="65"/>
      <c r="AD68" s="65"/>
      <c r="AE68" s="65"/>
      <c r="AF68" s="52"/>
      <c r="AG68" s="65"/>
      <c r="AH68" s="66">
        <f t="shared" ref="AH68:AH99" si="5">COUNTA(C68:AG68)</f>
        <v>0</v>
      </c>
      <c r="AI68" s="68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69" t="str">
        <f t="shared" ref="AJ68:AJ99" si="6">B68</f>
        <v>肥肥</v>
      </c>
      <c r="AK68" s="73"/>
    </row>
    <row r="69" spans="1:37" ht="18" customHeight="1">
      <c r="A69" s="63" t="s">
        <v>58</v>
      </c>
      <c r="B69" s="64" t="s">
        <v>77</v>
      </c>
      <c r="C69" s="65"/>
      <c r="D69" s="52"/>
      <c r="E69" s="65"/>
      <c r="F69" s="52"/>
      <c r="G69" s="65"/>
      <c r="H69" s="65"/>
      <c r="I69" s="65"/>
      <c r="J69" s="65"/>
      <c r="K69" s="52"/>
      <c r="L69" s="65"/>
      <c r="M69" s="52"/>
      <c r="N69" s="65"/>
      <c r="O69" s="65"/>
      <c r="P69" s="65"/>
      <c r="Q69" s="65"/>
      <c r="R69" s="52"/>
      <c r="S69" s="65"/>
      <c r="T69" s="52"/>
      <c r="U69" s="65"/>
      <c r="V69" s="65"/>
      <c r="W69" s="65"/>
      <c r="X69" s="65"/>
      <c r="Y69" s="52"/>
      <c r="Z69" s="65"/>
      <c r="AA69" s="52"/>
      <c r="AB69" s="65"/>
      <c r="AC69" s="65"/>
      <c r="AD69" s="65"/>
      <c r="AE69" s="65"/>
      <c r="AF69" s="52"/>
      <c r="AG69" s="65"/>
      <c r="AH69" s="66">
        <f t="shared" si="5"/>
        <v>0</v>
      </c>
      <c r="AI69" s="68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69" t="str">
        <f t="shared" si="6"/>
        <v>小夫</v>
      </c>
      <c r="AK69" s="73"/>
    </row>
    <row r="70" spans="1:37" ht="18" customHeight="1">
      <c r="A70" s="63" t="s">
        <v>58</v>
      </c>
      <c r="B70" s="64" t="s">
        <v>78</v>
      </c>
      <c r="C70" s="65"/>
      <c r="D70" s="52"/>
      <c r="E70" s="65"/>
      <c r="F70" s="52"/>
      <c r="G70" s="65"/>
      <c r="H70" s="65"/>
      <c r="I70" s="65"/>
      <c r="J70" s="65"/>
      <c r="K70" s="52"/>
      <c r="L70" s="65"/>
      <c r="M70" s="52"/>
      <c r="N70" s="65"/>
      <c r="O70" s="65"/>
      <c r="P70" s="65"/>
      <c r="Q70" s="65"/>
      <c r="R70" s="52"/>
      <c r="S70" s="65"/>
      <c r="T70" s="52"/>
      <c r="U70" s="65"/>
      <c r="V70" s="65"/>
      <c r="W70" s="65"/>
      <c r="X70" s="65"/>
      <c r="Y70" s="52"/>
      <c r="Z70" s="65"/>
      <c r="AA70" s="52"/>
      <c r="AB70" s="65"/>
      <c r="AC70" s="65"/>
      <c r="AD70" s="65"/>
      <c r="AE70" s="65"/>
      <c r="AF70" s="52"/>
      <c r="AG70" s="65"/>
      <c r="AH70" s="66">
        <f t="shared" si="5"/>
        <v>0</v>
      </c>
      <c r="AI70" s="68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69" t="str">
        <f t="shared" si="6"/>
        <v>小邱</v>
      </c>
      <c r="AK70" s="73"/>
    </row>
    <row r="71" spans="1:37" ht="18" customHeight="1">
      <c r="A71" s="63" t="s">
        <v>58</v>
      </c>
      <c r="B71" s="64" t="s">
        <v>79</v>
      </c>
      <c r="C71" s="65"/>
      <c r="D71" s="52"/>
      <c r="E71" s="65"/>
      <c r="F71" s="52"/>
      <c r="G71" s="65"/>
      <c r="H71" s="65"/>
      <c r="I71" s="65"/>
      <c r="J71" s="65"/>
      <c r="K71" s="52"/>
      <c r="L71" s="65"/>
      <c r="M71" s="52"/>
      <c r="N71" s="65"/>
      <c r="O71" s="65"/>
      <c r="P71" s="65"/>
      <c r="Q71" s="65"/>
      <c r="R71" s="52"/>
      <c r="S71" s="65"/>
      <c r="T71" s="52"/>
      <c r="U71" s="65"/>
      <c r="V71" s="65"/>
      <c r="W71" s="65"/>
      <c r="X71" s="65"/>
      <c r="Y71" s="52"/>
      <c r="Z71" s="65"/>
      <c r="AA71" s="52"/>
      <c r="AB71" s="65"/>
      <c r="AC71" s="65"/>
      <c r="AD71" s="65"/>
      <c r="AE71" s="65"/>
      <c r="AF71" s="52"/>
      <c r="AG71" s="65"/>
      <c r="AH71" s="66">
        <f t="shared" si="5"/>
        <v>0</v>
      </c>
      <c r="AI71" s="68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69" t="str">
        <f t="shared" si="6"/>
        <v>淳淳</v>
      </c>
      <c r="AK71" s="73"/>
    </row>
    <row r="72" spans="1:37" ht="18" customHeight="1">
      <c r="A72" s="63" t="s">
        <v>58</v>
      </c>
      <c r="B72" s="64" t="s">
        <v>80</v>
      </c>
      <c r="C72" s="65"/>
      <c r="D72" s="52"/>
      <c r="E72" s="65"/>
      <c r="F72" s="52"/>
      <c r="G72" s="65"/>
      <c r="H72" s="65"/>
      <c r="I72" s="65"/>
      <c r="J72" s="65"/>
      <c r="K72" s="52"/>
      <c r="L72" s="65"/>
      <c r="M72" s="52"/>
      <c r="N72" s="65"/>
      <c r="O72" s="65"/>
      <c r="P72" s="65"/>
      <c r="Q72" s="65"/>
      <c r="R72" s="52"/>
      <c r="S72" s="65"/>
      <c r="T72" s="52"/>
      <c r="U72" s="65"/>
      <c r="V72" s="65"/>
      <c r="W72" s="65"/>
      <c r="X72" s="65"/>
      <c r="Y72" s="52"/>
      <c r="Z72" s="65"/>
      <c r="AA72" s="52"/>
      <c r="AB72" s="65"/>
      <c r="AC72" s="65"/>
      <c r="AD72" s="65"/>
      <c r="AE72" s="65"/>
      <c r="AF72" s="52"/>
      <c r="AG72" s="65"/>
      <c r="AH72" s="66">
        <f t="shared" si="5"/>
        <v>0</v>
      </c>
      <c r="AI72" s="68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69" t="str">
        <f t="shared" si="6"/>
        <v>禿鷹</v>
      </c>
      <c r="AK72" s="73"/>
    </row>
    <row r="73" spans="1:37" ht="18" customHeight="1">
      <c r="A73" s="63" t="s">
        <v>58</v>
      </c>
      <c r="B73" s="64" t="s">
        <v>81</v>
      </c>
      <c r="C73" s="65"/>
      <c r="D73" s="52"/>
      <c r="E73" s="65"/>
      <c r="F73" s="52"/>
      <c r="G73" s="65"/>
      <c r="H73" s="65"/>
      <c r="I73" s="65"/>
      <c r="J73" s="65"/>
      <c r="K73" s="52"/>
      <c r="L73" s="65"/>
      <c r="M73" s="52"/>
      <c r="N73" s="65"/>
      <c r="O73" s="65"/>
      <c r="P73" s="65"/>
      <c r="Q73" s="65"/>
      <c r="R73" s="52"/>
      <c r="S73" s="65"/>
      <c r="T73" s="52"/>
      <c r="U73" s="65"/>
      <c r="V73" s="65"/>
      <c r="W73" s="65"/>
      <c r="X73" s="65"/>
      <c r="Y73" s="52"/>
      <c r="Z73" s="65"/>
      <c r="AA73" s="52"/>
      <c r="AB73" s="65"/>
      <c r="AC73" s="65"/>
      <c r="AD73" s="65"/>
      <c r="AE73" s="65"/>
      <c r="AF73" s="52"/>
      <c r="AG73" s="65"/>
      <c r="AH73" s="66">
        <f t="shared" si="5"/>
        <v>0</v>
      </c>
      <c r="AI73" s="68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69" t="str">
        <f t="shared" si="6"/>
        <v>王宏</v>
      </c>
      <c r="AK73" s="73"/>
    </row>
    <row r="74" spans="1:37" ht="18" customHeight="1">
      <c r="A74" s="63" t="s">
        <v>58</v>
      </c>
      <c r="B74" s="64" t="s">
        <v>82</v>
      </c>
      <c r="C74" s="65"/>
      <c r="D74" s="52"/>
      <c r="E74" s="65"/>
      <c r="F74" s="52"/>
      <c r="G74" s="65"/>
      <c r="H74" s="65"/>
      <c r="I74" s="65"/>
      <c r="J74" s="65"/>
      <c r="K74" s="52"/>
      <c r="L74" s="65"/>
      <c r="M74" s="52"/>
      <c r="N74" s="65"/>
      <c r="O74" s="65"/>
      <c r="P74" s="65"/>
      <c r="Q74" s="65"/>
      <c r="R74" s="52"/>
      <c r="S74" s="65"/>
      <c r="T74" s="52"/>
      <c r="U74" s="65"/>
      <c r="V74" s="65"/>
      <c r="W74" s="65"/>
      <c r="X74" s="65"/>
      <c r="Y74" s="52"/>
      <c r="Z74" s="65"/>
      <c r="AA74" s="52"/>
      <c r="AB74" s="65"/>
      <c r="AC74" s="65"/>
      <c r="AD74" s="65"/>
      <c r="AE74" s="65"/>
      <c r="AF74" s="52"/>
      <c r="AG74" s="65"/>
      <c r="AH74" s="66">
        <f t="shared" si="5"/>
        <v>0</v>
      </c>
      <c r="AI74" s="68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69" t="str">
        <f t="shared" si="6"/>
        <v>犀牛</v>
      </c>
      <c r="AK74" s="73"/>
    </row>
    <row r="75" spans="1:37" ht="18" customHeight="1">
      <c r="A75" s="63" t="s">
        <v>58</v>
      </c>
      <c r="B75" s="64" t="s">
        <v>83</v>
      </c>
      <c r="C75" s="65"/>
      <c r="D75" s="52"/>
      <c r="E75" s="65"/>
      <c r="F75" s="52"/>
      <c r="G75" s="65"/>
      <c r="H75" s="65"/>
      <c r="I75" s="65"/>
      <c r="J75" s="65"/>
      <c r="K75" s="52"/>
      <c r="L75" s="65"/>
      <c r="M75" s="52"/>
      <c r="N75" s="65"/>
      <c r="O75" s="65"/>
      <c r="P75" s="65"/>
      <c r="Q75" s="65"/>
      <c r="R75" s="52"/>
      <c r="S75" s="65"/>
      <c r="T75" s="52"/>
      <c r="U75" s="65"/>
      <c r="V75" s="65"/>
      <c r="W75" s="65"/>
      <c r="X75" s="65"/>
      <c r="Y75" s="52"/>
      <c r="Z75" s="65"/>
      <c r="AA75" s="52"/>
      <c r="AB75" s="65"/>
      <c r="AC75" s="65"/>
      <c r="AD75" s="65"/>
      <c r="AE75" s="65"/>
      <c r="AF75" s="52"/>
      <c r="AG75" s="65"/>
      <c r="AH75" s="66">
        <f t="shared" si="5"/>
        <v>0</v>
      </c>
      <c r="AI75" s="68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69" t="str">
        <f t="shared" si="6"/>
        <v>來福</v>
      </c>
      <c r="AK75" s="73"/>
    </row>
    <row r="76" spans="1:37" ht="18" customHeight="1">
      <c r="A76" s="63" t="s">
        <v>58</v>
      </c>
      <c r="B76" s="64" t="s">
        <v>84</v>
      </c>
      <c r="C76" s="65"/>
      <c r="D76" s="52"/>
      <c r="E76" s="65"/>
      <c r="F76" s="52"/>
      <c r="G76" s="65"/>
      <c r="H76" s="65"/>
      <c r="I76" s="65"/>
      <c r="J76" s="65"/>
      <c r="K76" s="52"/>
      <c r="L76" s="65"/>
      <c r="M76" s="52"/>
      <c r="N76" s="65"/>
      <c r="O76" s="65"/>
      <c r="P76" s="65"/>
      <c r="Q76" s="65"/>
      <c r="R76" s="52"/>
      <c r="S76" s="65"/>
      <c r="T76" s="52"/>
      <c r="U76" s="65"/>
      <c r="V76" s="65"/>
      <c r="W76" s="65"/>
      <c r="X76" s="65"/>
      <c r="Y76" s="52"/>
      <c r="Z76" s="65"/>
      <c r="AA76" s="52"/>
      <c r="AB76" s="65"/>
      <c r="AC76" s="65"/>
      <c r="AD76" s="65"/>
      <c r="AE76" s="65"/>
      <c r="AF76" s="52"/>
      <c r="AG76" s="65"/>
      <c r="AH76" s="66">
        <f t="shared" si="5"/>
        <v>0</v>
      </c>
      <c r="AI76" s="68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69" t="str">
        <f t="shared" si="6"/>
        <v>誌誌</v>
      </c>
      <c r="AK76" s="73"/>
    </row>
    <row r="77" spans="1:37" ht="18" customHeight="1">
      <c r="A77" s="63" t="s">
        <v>58</v>
      </c>
      <c r="B77" s="64" t="s">
        <v>86</v>
      </c>
      <c r="C77" s="65"/>
      <c r="D77" s="52"/>
      <c r="E77" s="65"/>
      <c r="F77" s="52"/>
      <c r="G77" s="65"/>
      <c r="H77" s="65"/>
      <c r="I77" s="65"/>
      <c r="J77" s="65"/>
      <c r="K77" s="52"/>
      <c r="L77" s="65"/>
      <c r="M77" s="52"/>
      <c r="N77" s="65"/>
      <c r="O77" s="65"/>
      <c r="P77" s="65"/>
      <c r="Q77" s="65"/>
      <c r="R77" s="52"/>
      <c r="S77" s="65"/>
      <c r="T77" s="52"/>
      <c r="U77" s="65"/>
      <c r="V77" s="65"/>
      <c r="W77" s="65"/>
      <c r="X77" s="65"/>
      <c r="Y77" s="52"/>
      <c r="Z77" s="65"/>
      <c r="AA77" s="52"/>
      <c r="AB77" s="65"/>
      <c r="AC77" s="65"/>
      <c r="AD77" s="65"/>
      <c r="AE77" s="65"/>
      <c r="AF77" s="52"/>
      <c r="AG77" s="65"/>
      <c r="AH77" s="66">
        <f t="shared" si="5"/>
        <v>0</v>
      </c>
      <c r="AI77" s="68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69" t="str">
        <f t="shared" si="6"/>
        <v>正誼</v>
      </c>
      <c r="AK77" s="73"/>
    </row>
    <row r="78" spans="1:37" ht="18" customHeight="1">
      <c r="A78" s="63" t="s">
        <v>58</v>
      </c>
      <c r="B78" s="64" t="s">
        <v>32</v>
      </c>
      <c r="C78" s="65"/>
      <c r="D78" s="52"/>
      <c r="E78" s="65"/>
      <c r="F78" s="52"/>
      <c r="G78" s="65"/>
      <c r="H78" s="65"/>
      <c r="I78" s="65"/>
      <c r="J78" s="65"/>
      <c r="K78" s="52"/>
      <c r="L78" s="65"/>
      <c r="M78" s="52"/>
      <c r="N78" s="65"/>
      <c r="O78" s="65"/>
      <c r="P78" s="65"/>
      <c r="Q78" s="65"/>
      <c r="R78" s="52"/>
      <c r="S78" s="65"/>
      <c r="T78" s="52"/>
      <c r="U78" s="65">
        <v>1</v>
      </c>
      <c r="V78" s="65"/>
      <c r="W78" s="65"/>
      <c r="X78" s="65"/>
      <c r="Y78" s="52"/>
      <c r="Z78" s="65"/>
      <c r="AA78" s="52"/>
      <c r="AB78" s="65"/>
      <c r="AC78" s="65"/>
      <c r="AD78" s="65"/>
      <c r="AE78" s="65"/>
      <c r="AF78" s="52"/>
      <c r="AG78" s="65"/>
      <c r="AH78" s="66">
        <f t="shared" si="5"/>
        <v>1</v>
      </c>
      <c r="AI78" s="68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69" t="str">
        <f t="shared" si="6"/>
        <v>小翔</v>
      </c>
      <c r="AK78" s="73"/>
    </row>
    <row r="79" spans="1:37" ht="18" customHeight="1">
      <c r="A79" s="63" t="s">
        <v>58</v>
      </c>
      <c r="B79" s="64" t="s">
        <v>179</v>
      </c>
      <c r="C79" s="65"/>
      <c r="D79" s="52"/>
      <c r="E79" s="65"/>
      <c r="F79" s="52"/>
      <c r="G79" s="65"/>
      <c r="H79" s="65"/>
      <c r="I79" s="65"/>
      <c r="J79" s="65"/>
      <c r="K79" s="52"/>
      <c r="L79" s="65"/>
      <c r="M79" s="52"/>
      <c r="N79" s="65"/>
      <c r="O79" s="65"/>
      <c r="P79" s="65"/>
      <c r="Q79" s="65"/>
      <c r="R79" s="52"/>
      <c r="S79" s="65"/>
      <c r="T79" s="52"/>
      <c r="U79" s="65"/>
      <c r="V79" s="65"/>
      <c r="W79" s="65"/>
      <c r="X79" s="65"/>
      <c r="Y79" s="52"/>
      <c r="Z79" s="65"/>
      <c r="AA79" s="52"/>
      <c r="AB79" s="65"/>
      <c r="AC79" s="65"/>
      <c r="AD79" s="65"/>
      <c r="AE79" s="65"/>
      <c r="AF79" s="52"/>
      <c r="AG79" s="65"/>
      <c r="AH79" s="66">
        <f t="shared" si="5"/>
        <v>0</v>
      </c>
      <c r="AI79" s="68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69" t="str">
        <f t="shared" si="6"/>
        <v>玹玹</v>
      </c>
      <c r="AK79" s="73"/>
    </row>
    <row r="80" spans="1:37" ht="18" customHeight="1">
      <c r="A80" s="63" t="s">
        <v>58</v>
      </c>
      <c r="B80" s="64" t="s">
        <v>85</v>
      </c>
      <c r="C80" s="65"/>
      <c r="D80" s="52"/>
      <c r="E80" s="65"/>
      <c r="F80" s="52"/>
      <c r="G80" s="65"/>
      <c r="H80" s="65"/>
      <c r="I80" s="65"/>
      <c r="J80" s="65"/>
      <c r="K80" s="52"/>
      <c r="L80" s="65"/>
      <c r="M80" s="52"/>
      <c r="N80" s="65"/>
      <c r="O80" s="65"/>
      <c r="P80" s="65"/>
      <c r="Q80" s="65"/>
      <c r="R80" s="52"/>
      <c r="S80" s="65"/>
      <c r="T80" s="52"/>
      <c r="U80" s="65"/>
      <c r="V80" s="65"/>
      <c r="W80" s="65"/>
      <c r="X80" s="65"/>
      <c r="Y80" s="52"/>
      <c r="Z80" s="65"/>
      <c r="AA80" s="52"/>
      <c r="AB80" s="65"/>
      <c r="AC80" s="65"/>
      <c r="AD80" s="65"/>
      <c r="AE80" s="65"/>
      <c r="AF80" s="52"/>
      <c r="AG80" s="65"/>
      <c r="AH80" s="66">
        <f t="shared" si="5"/>
        <v>0</v>
      </c>
      <c r="AI80" s="68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69" t="str">
        <f t="shared" si="6"/>
        <v>阿璽</v>
      </c>
      <c r="AK80" s="73"/>
    </row>
    <row r="81" spans="1:37" ht="18" customHeight="1">
      <c r="A81" s="63" t="s">
        <v>58</v>
      </c>
      <c r="B81" s="64" t="s">
        <v>33</v>
      </c>
      <c r="C81" s="65"/>
      <c r="D81" s="52"/>
      <c r="E81" s="65"/>
      <c r="F81" s="52"/>
      <c r="G81" s="65"/>
      <c r="H81" s="65"/>
      <c r="I81" s="65"/>
      <c r="J81" s="65"/>
      <c r="K81" s="52"/>
      <c r="L81" s="65"/>
      <c r="M81" s="52"/>
      <c r="N81" s="65"/>
      <c r="O81" s="65"/>
      <c r="P81" s="65"/>
      <c r="Q81" s="65"/>
      <c r="R81" s="52"/>
      <c r="S81" s="65"/>
      <c r="T81" s="52"/>
      <c r="U81" s="65"/>
      <c r="V81" s="65"/>
      <c r="W81" s="65"/>
      <c r="X81" s="65"/>
      <c r="Y81" s="52"/>
      <c r="Z81" s="65"/>
      <c r="AA81" s="52"/>
      <c r="AB81" s="65"/>
      <c r="AC81" s="65"/>
      <c r="AD81" s="65"/>
      <c r="AE81" s="65"/>
      <c r="AF81" s="52"/>
      <c r="AG81" s="65"/>
      <c r="AH81" s="66">
        <f t="shared" si="5"/>
        <v>0</v>
      </c>
      <c r="AI81" s="68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69" t="str">
        <f t="shared" si="6"/>
        <v>一飛</v>
      </c>
      <c r="AK81" s="73"/>
    </row>
    <row r="82" spans="1:37" ht="18" customHeight="1">
      <c r="A82" s="63" t="s">
        <v>58</v>
      </c>
      <c r="B82" s="64" t="s">
        <v>34</v>
      </c>
      <c r="C82" s="65"/>
      <c r="D82" s="52"/>
      <c r="E82" s="65"/>
      <c r="F82" s="52"/>
      <c r="G82" s="65"/>
      <c r="H82" s="65"/>
      <c r="I82" s="65"/>
      <c r="J82" s="65"/>
      <c r="K82" s="52"/>
      <c r="L82" s="65"/>
      <c r="M82" s="52"/>
      <c r="N82" s="65"/>
      <c r="O82" s="65"/>
      <c r="P82" s="65"/>
      <c r="Q82" s="65"/>
      <c r="R82" s="52"/>
      <c r="S82" s="65"/>
      <c r="T82" s="52"/>
      <c r="U82" s="65"/>
      <c r="V82" s="65"/>
      <c r="W82" s="65"/>
      <c r="X82" s="65"/>
      <c r="Y82" s="52"/>
      <c r="Z82" s="65"/>
      <c r="AA82" s="52"/>
      <c r="AB82" s="65"/>
      <c r="AC82" s="65"/>
      <c r="AD82" s="65"/>
      <c r="AE82" s="65"/>
      <c r="AF82" s="52"/>
      <c r="AG82" s="65">
        <v>1</v>
      </c>
      <c r="AH82" s="66">
        <f t="shared" si="5"/>
        <v>1</v>
      </c>
      <c r="AI82" s="68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69" t="str">
        <f t="shared" si="6"/>
        <v>雲翔</v>
      </c>
      <c r="AK82" s="70"/>
    </row>
    <row r="83" spans="1:37" ht="18" customHeight="1">
      <c r="A83" s="63" t="s">
        <v>58</v>
      </c>
      <c r="B83" s="64" t="s">
        <v>88</v>
      </c>
      <c r="C83" s="65"/>
      <c r="D83" s="52"/>
      <c r="E83" s="65"/>
      <c r="F83" s="52"/>
      <c r="G83" s="65"/>
      <c r="H83" s="65"/>
      <c r="I83" s="65"/>
      <c r="J83" s="65"/>
      <c r="K83" s="52"/>
      <c r="L83" s="65"/>
      <c r="M83" s="52"/>
      <c r="N83" s="65"/>
      <c r="O83" s="65"/>
      <c r="P83" s="65"/>
      <c r="Q83" s="65"/>
      <c r="R83" s="52"/>
      <c r="S83" s="65"/>
      <c r="T83" s="52"/>
      <c r="U83" s="65"/>
      <c r="V83" s="65"/>
      <c r="W83" s="65"/>
      <c r="X83" s="65"/>
      <c r="Y83" s="52"/>
      <c r="Z83" s="65"/>
      <c r="AA83" s="52"/>
      <c r="AB83" s="65"/>
      <c r="AC83" s="65"/>
      <c r="AD83" s="65"/>
      <c r="AE83" s="65"/>
      <c r="AF83" s="52"/>
      <c r="AG83" s="65"/>
      <c r="AH83" s="66">
        <f t="shared" si="5"/>
        <v>0</v>
      </c>
      <c r="AI83" s="68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69" t="str">
        <f t="shared" si="6"/>
        <v>皓皓</v>
      </c>
      <c r="AK83" s="70"/>
    </row>
    <row r="84" spans="1:37" ht="18" customHeight="1">
      <c r="A84" s="63" t="s">
        <v>58</v>
      </c>
      <c r="B84" s="64" t="s">
        <v>35</v>
      </c>
      <c r="C84" s="65"/>
      <c r="D84" s="52"/>
      <c r="E84" s="65"/>
      <c r="F84" s="52"/>
      <c r="G84" s="65"/>
      <c r="H84" s="65"/>
      <c r="I84" s="65"/>
      <c r="J84" s="65"/>
      <c r="K84" s="52"/>
      <c r="L84" s="65"/>
      <c r="M84" s="52"/>
      <c r="N84" s="65"/>
      <c r="O84" s="65"/>
      <c r="P84" s="65"/>
      <c r="Q84" s="65"/>
      <c r="R84" s="52"/>
      <c r="S84" s="65"/>
      <c r="T84" s="52"/>
      <c r="U84" s="65"/>
      <c r="V84" s="65"/>
      <c r="W84" s="65"/>
      <c r="X84" s="65"/>
      <c r="Y84" s="52"/>
      <c r="Z84" s="65"/>
      <c r="AA84" s="52"/>
      <c r="AB84" s="65"/>
      <c r="AC84" s="65"/>
      <c r="AD84" s="65"/>
      <c r="AE84" s="65"/>
      <c r="AF84" s="52"/>
      <c r="AG84" s="65"/>
      <c r="AH84" s="66">
        <f t="shared" si="5"/>
        <v>0</v>
      </c>
      <c r="AI84" s="68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69" t="str">
        <f t="shared" si="6"/>
        <v>阿戴</v>
      </c>
      <c r="AK84" s="70"/>
    </row>
    <row r="85" spans="1:37" ht="18" customHeight="1">
      <c r="A85" s="63" t="s">
        <v>58</v>
      </c>
      <c r="B85" s="64" t="s">
        <v>36</v>
      </c>
      <c r="C85" s="65"/>
      <c r="D85" s="52"/>
      <c r="E85" s="65"/>
      <c r="F85" s="52"/>
      <c r="G85" s="65"/>
      <c r="H85" s="65"/>
      <c r="I85" s="65"/>
      <c r="J85" s="65"/>
      <c r="K85" s="52"/>
      <c r="L85" s="65"/>
      <c r="M85" s="52"/>
      <c r="N85" s="65"/>
      <c r="O85" s="65"/>
      <c r="P85" s="65"/>
      <c r="Q85" s="65"/>
      <c r="R85" s="52"/>
      <c r="S85" s="65"/>
      <c r="T85" s="52"/>
      <c r="U85" s="65"/>
      <c r="V85" s="65"/>
      <c r="W85" s="65"/>
      <c r="X85" s="65"/>
      <c r="Y85" s="52"/>
      <c r="Z85" s="65"/>
      <c r="AA85" s="52"/>
      <c r="AB85" s="65"/>
      <c r="AC85" s="65"/>
      <c r="AD85" s="65"/>
      <c r="AE85" s="65"/>
      <c r="AF85" s="52"/>
      <c r="AG85" s="65"/>
      <c r="AH85" s="66">
        <f t="shared" si="5"/>
        <v>0</v>
      </c>
      <c r="AI85" s="68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69" t="str">
        <f t="shared" si="6"/>
        <v>子澔</v>
      </c>
      <c r="AK85" s="70"/>
    </row>
    <row r="86" spans="1:37" ht="18" customHeight="1">
      <c r="A86" s="63" t="s">
        <v>58</v>
      </c>
      <c r="B86" s="64" t="s">
        <v>37</v>
      </c>
      <c r="C86" s="65"/>
      <c r="D86" s="52"/>
      <c r="E86" s="65"/>
      <c r="F86" s="52"/>
      <c r="G86" s="65"/>
      <c r="H86" s="65"/>
      <c r="I86" s="65"/>
      <c r="J86" s="65"/>
      <c r="K86" s="52"/>
      <c r="L86" s="65">
        <v>1</v>
      </c>
      <c r="M86" s="52"/>
      <c r="N86" s="65"/>
      <c r="O86" s="65"/>
      <c r="P86" s="65"/>
      <c r="Q86" s="65"/>
      <c r="R86" s="52"/>
      <c r="S86" s="65"/>
      <c r="T86" s="52"/>
      <c r="U86" s="65"/>
      <c r="V86" s="65"/>
      <c r="W86" s="65"/>
      <c r="X86" s="65"/>
      <c r="Y86" s="52"/>
      <c r="Z86" s="65"/>
      <c r="AA86" s="52"/>
      <c r="AB86" s="65"/>
      <c r="AC86" s="65"/>
      <c r="AD86" s="65"/>
      <c r="AE86" s="65"/>
      <c r="AF86" s="52"/>
      <c r="AG86" s="65"/>
      <c r="AH86" s="66">
        <f t="shared" si="5"/>
        <v>1</v>
      </c>
      <c r="AI86" s="68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69" t="str">
        <f t="shared" si="6"/>
        <v>魚仔</v>
      </c>
      <c r="AK86" s="70"/>
    </row>
    <row r="87" spans="1:37" ht="18" customHeight="1">
      <c r="A87" s="74" t="s">
        <v>58</v>
      </c>
      <c r="B87" s="75" t="s">
        <v>151</v>
      </c>
      <c r="C87" s="76"/>
      <c r="D87" s="52"/>
      <c r="E87" s="76">
        <v>1</v>
      </c>
      <c r="F87" s="52"/>
      <c r="G87" s="76"/>
      <c r="H87" s="76">
        <v>1</v>
      </c>
      <c r="I87" s="76"/>
      <c r="J87" s="76">
        <v>1</v>
      </c>
      <c r="K87" s="52"/>
      <c r="L87" s="76">
        <v>1</v>
      </c>
      <c r="M87" s="52"/>
      <c r="N87" s="76"/>
      <c r="O87" s="76"/>
      <c r="P87" s="76"/>
      <c r="Q87" s="76">
        <v>1</v>
      </c>
      <c r="R87" s="52"/>
      <c r="S87" s="76"/>
      <c r="T87" s="52"/>
      <c r="U87" s="76">
        <v>1</v>
      </c>
      <c r="V87" s="76"/>
      <c r="W87" s="76"/>
      <c r="X87" s="76">
        <v>1</v>
      </c>
      <c r="Y87" s="52"/>
      <c r="Z87" s="76"/>
      <c r="AA87" s="52"/>
      <c r="AB87" s="76"/>
      <c r="AC87" s="76"/>
      <c r="AD87" s="76"/>
      <c r="AE87" s="76"/>
      <c r="AF87" s="52"/>
      <c r="AG87" s="76">
        <v>1</v>
      </c>
      <c r="AH87" s="77">
        <f t="shared" si="5"/>
        <v>8</v>
      </c>
      <c r="AI87" s="98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79" t="str">
        <f t="shared" si="6"/>
        <v>宇嬅</v>
      </c>
      <c r="AK87" s="82"/>
    </row>
    <row r="88" spans="1:37" ht="18" customHeight="1">
      <c r="A88" s="74" t="s">
        <v>58</v>
      </c>
      <c r="B88" s="75" t="s">
        <v>92</v>
      </c>
      <c r="C88" s="76"/>
      <c r="D88" s="52"/>
      <c r="E88" s="76">
        <v>1</v>
      </c>
      <c r="F88" s="52"/>
      <c r="G88" s="76"/>
      <c r="H88" s="76"/>
      <c r="I88" s="76"/>
      <c r="J88" s="76"/>
      <c r="K88" s="52"/>
      <c r="L88" s="76"/>
      <c r="M88" s="52"/>
      <c r="N88" s="76"/>
      <c r="O88" s="76"/>
      <c r="P88" s="76"/>
      <c r="Q88" s="76"/>
      <c r="R88" s="52"/>
      <c r="S88" s="76"/>
      <c r="T88" s="52"/>
      <c r="U88" s="76"/>
      <c r="V88" s="76"/>
      <c r="W88" s="76"/>
      <c r="X88" s="76"/>
      <c r="Y88" s="52"/>
      <c r="Z88" s="76"/>
      <c r="AA88" s="52"/>
      <c r="AB88" s="76"/>
      <c r="AC88" s="76">
        <v>1</v>
      </c>
      <c r="AD88" s="76"/>
      <c r="AE88" s="76"/>
      <c r="AF88" s="52"/>
      <c r="AG88" s="76"/>
      <c r="AH88" s="77">
        <f t="shared" si="5"/>
        <v>2</v>
      </c>
      <c r="AI88" s="98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79" t="str">
        <f t="shared" si="6"/>
        <v>婉晴</v>
      </c>
      <c r="AK88" s="82"/>
    </row>
    <row r="89" spans="1:37" ht="18" customHeight="1">
      <c r="A89" s="74" t="s">
        <v>58</v>
      </c>
      <c r="B89" s="75" t="s">
        <v>152</v>
      </c>
      <c r="C89" s="76"/>
      <c r="D89" s="52"/>
      <c r="E89" s="76"/>
      <c r="F89" s="52"/>
      <c r="G89" s="76"/>
      <c r="H89" s="76"/>
      <c r="I89" s="76"/>
      <c r="J89" s="76"/>
      <c r="K89" s="52"/>
      <c r="L89" s="76"/>
      <c r="M89" s="52"/>
      <c r="N89" s="76"/>
      <c r="O89" s="76"/>
      <c r="P89" s="76"/>
      <c r="Q89" s="76"/>
      <c r="R89" s="52"/>
      <c r="S89" s="76"/>
      <c r="T89" s="52"/>
      <c r="U89" s="76"/>
      <c r="V89" s="76"/>
      <c r="W89" s="76"/>
      <c r="X89" s="76"/>
      <c r="Y89" s="52"/>
      <c r="Z89" s="76"/>
      <c r="AA89" s="52"/>
      <c r="AB89" s="76"/>
      <c r="AC89" s="76"/>
      <c r="AD89" s="76"/>
      <c r="AE89" s="76"/>
      <c r="AF89" s="52"/>
      <c r="AG89" s="76"/>
      <c r="AH89" s="77">
        <f t="shared" si="5"/>
        <v>0</v>
      </c>
      <c r="AI89" s="98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79" t="str">
        <f t="shared" si="6"/>
        <v>阿俗</v>
      </c>
      <c r="AK89" s="81"/>
    </row>
    <row r="90" spans="1:37" ht="18" customHeight="1">
      <c r="A90" s="74" t="s">
        <v>58</v>
      </c>
      <c r="B90" s="75" t="s">
        <v>153</v>
      </c>
      <c r="C90" s="76"/>
      <c r="D90" s="52"/>
      <c r="E90" s="76"/>
      <c r="F90" s="52"/>
      <c r="G90" s="76"/>
      <c r="H90" s="76"/>
      <c r="I90" s="76"/>
      <c r="J90" s="76"/>
      <c r="K90" s="52"/>
      <c r="L90" s="76"/>
      <c r="M90" s="52"/>
      <c r="N90" s="76"/>
      <c r="O90" s="76"/>
      <c r="P90" s="76"/>
      <c r="Q90" s="76"/>
      <c r="R90" s="52"/>
      <c r="S90" s="76"/>
      <c r="T90" s="52"/>
      <c r="U90" s="76"/>
      <c r="V90" s="76"/>
      <c r="W90" s="76"/>
      <c r="X90" s="76"/>
      <c r="Y90" s="52"/>
      <c r="Z90" s="76"/>
      <c r="AA90" s="52"/>
      <c r="AB90" s="76"/>
      <c r="AC90" s="76"/>
      <c r="AD90" s="76"/>
      <c r="AE90" s="76">
        <v>1</v>
      </c>
      <c r="AF90" s="52"/>
      <c r="AG90" s="76"/>
      <c r="AH90" s="77">
        <f t="shared" si="5"/>
        <v>1</v>
      </c>
      <c r="AI90" s="98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79" t="str">
        <f t="shared" si="6"/>
        <v>傻妹</v>
      </c>
      <c r="AK90" s="82"/>
    </row>
    <row r="91" spans="1:37" ht="18" customHeight="1">
      <c r="A91" s="74" t="s">
        <v>58</v>
      </c>
      <c r="B91" s="75" t="s">
        <v>96</v>
      </c>
      <c r="C91" s="76"/>
      <c r="D91" s="52"/>
      <c r="E91" s="76"/>
      <c r="F91" s="52"/>
      <c r="G91" s="76"/>
      <c r="H91" s="76"/>
      <c r="I91" s="76"/>
      <c r="J91" s="76">
        <v>1</v>
      </c>
      <c r="K91" s="52"/>
      <c r="L91" s="76"/>
      <c r="M91" s="52"/>
      <c r="N91" s="76"/>
      <c r="O91" s="76"/>
      <c r="P91" s="76"/>
      <c r="Q91" s="76"/>
      <c r="R91" s="52"/>
      <c r="S91" s="76"/>
      <c r="T91" s="52"/>
      <c r="U91" s="76"/>
      <c r="V91" s="76"/>
      <c r="W91" s="76"/>
      <c r="X91" s="76"/>
      <c r="Y91" s="52"/>
      <c r="Z91" s="76"/>
      <c r="AA91" s="52"/>
      <c r="AB91" s="76"/>
      <c r="AC91" s="76"/>
      <c r="AD91" s="76"/>
      <c r="AE91" s="76"/>
      <c r="AF91" s="52"/>
      <c r="AG91" s="76">
        <v>1</v>
      </c>
      <c r="AH91" s="77">
        <f t="shared" si="5"/>
        <v>2</v>
      </c>
      <c r="AI91" s="98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79" t="str">
        <f t="shared" si="6"/>
        <v>靜婷</v>
      </c>
      <c r="AK91" s="81"/>
    </row>
    <row r="92" spans="1:37" ht="18" customHeight="1">
      <c r="A92" s="74" t="s">
        <v>58</v>
      </c>
      <c r="B92" s="75" t="s">
        <v>197</v>
      </c>
      <c r="C92" s="76"/>
      <c r="D92" s="52"/>
      <c r="E92" s="76"/>
      <c r="F92" s="52"/>
      <c r="G92" s="76">
        <v>1</v>
      </c>
      <c r="H92" s="76"/>
      <c r="I92" s="76"/>
      <c r="J92" s="76"/>
      <c r="K92" s="52"/>
      <c r="L92" s="76"/>
      <c r="M92" s="52"/>
      <c r="N92" s="76"/>
      <c r="O92" s="76"/>
      <c r="P92" s="76"/>
      <c r="Q92" s="76"/>
      <c r="R92" s="52"/>
      <c r="S92" s="76"/>
      <c r="T92" s="52"/>
      <c r="U92" s="76"/>
      <c r="V92" s="76"/>
      <c r="W92" s="76"/>
      <c r="X92" s="76"/>
      <c r="Y92" s="52"/>
      <c r="Z92" s="76"/>
      <c r="AA92" s="52"/>
      <c r="AB92" s="76"/>
      <c r="AC92" s="76">
        <v>1</v>
      </c>
      <c r="AD92" s="76"/>
      <c r="AE92" s="76"/>
      <c r="AF92" s="52"/>
      <c r="AG92" s="76"/>
      <c r="AH92" s="77">
        <f t="shared" si="5"/>
        <v>2</v>
      </c>
      <c r="AI92" s="98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79" t="str">
        <f t="shared" si="6"/>
        <v>Abby</v>
      </c>
      <c r="AK92" s="81"/>
    </row>
    <row r="93" spans="1:37" ht="18" customHeight="1">
      <c r="A93" s="74" t="s">
        <v>58</v>
      </c>
      <c r="B93" s="75" t="s">
        <v>95</v>
      </c>
      <c r="C93" s="76"/>
      <c r="D93" s="52"/>
      <c r="E93" s="76"/>
      <c r="F93" s="52"/>
      <c r="G93" s="76"/>
      <c r="H93" s="76">
        <v>1</v>
      </c>
      <c r="I93" s="76"/>
      <c r="J93" s="76">
        <v>1</v>
      </c>
      <c r="K93" s="52"/>
      <c r="L93" s="76">
        <v>1</v>
      </c>
      <c r="M93" s="52"/>
      <c r="N93" s="76">
        <v>1</v>
      </c>
      <c r="O93" s="76"/>
      <c r="P93" s="76">
        <v>1</v>
      </c>
      <c r="Q93" s="76">
        <v>1</v>
      </c>
      <c r="R93" s="52"/>
      <c r="S93" s="76"/>
      <c r="T93" s="52"/>
      <c r="U93" s="76">
        <v>1</v>
      </c>
      <c r="V93" s="76">
        <v>1</v>
      </c>
      <c r="W93" s="76"/>
      <c r="X93" s="76">
        <v>1</v>
      </c>
      <c r="Y93" s="52"/>
      <c r="Z93" s="76"/>
      <c r="AA93" s="52"/>
      <c r="AB93" s="76"/>
      <c r="AC93" s="76">
        <v>1</v>
      </c>
      <c r="AD93" s="76">
        <v>1</v>
      </c>
      <c r="AE93" s="76">
        <v>1</v>
      </c>
      <c r="AF93" s="52"/>
      <c r="AG93" s="76">
        <v>1</v>
      </c>
      <c r="AH93" s="77">
        <f t="shared" si="5"/>
        <v>13</v>
      </c>
      <c r="AI93" s="98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79" t="str">
        <f t="shared" si="6"/>
        <v>小吱</v>
      </c>
      <c r="AK93" s="81"/>
    </row>
    <row r="94" spans="1:37" ht="18" customHeight="1">
      <c r="A94" s="74" t="s">
        <v>58</v>
      </c>
      <c r="B94" s="75" t="s">
        <v>148</v>
      </c>
      <c r="C94" s="76"/>
      <c r="D94" s="52"/>
      <c r="E94" s="76"/>
      <c r="F94" s="52"/>
      <c r="G94" s="76"/>
      <c r="H94" s="76"/>
      <c r="I94" s="76"/>
      <c r="J94" s="76"/>
      <c r="K94" s="52"/>
      <c r="L94" s="76"/>
      <c r="M94" s="52"/>
      <c r="N94" s="76"/>
      <c r="O94" s="76"/>
      <c r="P94" s="76"/>
      <c r="Q94" s="76"/>
      <c r="R94" s="52"/>
      <c r="S94" s="76"/>
      <c r="T94" s="52"/>
      <c r="U94" s="76">
        <v>1</v>
      </c>
      <c r="V94" s="76"/>
      <c r="W94" s="76"/>
      <c r="X94" s="76"/>
      <c r="Y94" s="52"/>
      <c r="Z94" s="76"/>
      <c r="AA94" s="52"/>
      <c r="AB94" s="76"/>
      <c r="AC94" s="76"/>
      <c r="AD94" s="76"/>
      <c r="AE94" s="76"/>
      <c r="AF94" s="52"/>
      <c r="AG94" s="76"/>
      <c r="AH94" s="77">
        <f t="shared" si="5"/>
        <v>1</v>
      </c>
      <c r="AI94" s="98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79" t="str">
        <f t="shared" si="6"/>
        <v>雅雅</v>
      </c>
      <c r="AK94" s="81"/>
    </row>
    <row r="95" spans="1:37" ht="18" customHeight="1">
      <c r="A95" s="74" t="s">
        <v>58</v>
      </c>
      <c r="B95" s="75" t="s">
        <v>154</v>
      </c>
      <c r="C95" s="76"/>
      <c r="D95" s="52"/>
      <c r="E95" s="76"/>
      <c r="F95" s="52"/>
      <c r="G95" s="76"/>
      <c r="H95" s="76">
        <v>1</v>
      </c>
      <c r="I95" s="76"/>
      <c r="J95" s="76"/>
      <c r="K95" s="52"/>
      <c r="L95" s="76"/>
      <c r="M95" s="52"/>
      <c r="N95" s="76">
        <v>1</v>
      </c>
      <c r="O95" s="76"/>
      <c r="P95" s="76"/>
      <c r="Q95" s="76"/>
      <c r="R95" s="52"/>
      <c r="S95" s="76"/>
      <c r="T95" s="52"/>
      <c r="U95" s="76"/>
      <c r="V95" s="76"/>
      <c r="W95" s="76"/>
      <c r="X95" s="76"/>
      <c r="Y95" s="52"/>
      <c r="Z95" s="76"/>
      <c r="AA95" s="52"/>
      <c r="AB95" s="76"/>
      <c r="AC95" s="76"/>
      <c r="AD95" s="76"/>
      <c r="AE95" s="76"/>
      <c r="AF95" s="52"/>
      <c r="AG95" s="76"/>
      <c r="AH95" s="77">
        <f t="shared" si="5"/>
        <v>2</v>
      </c>
      <c r="AI95" s="98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79" t="str">
        <f t="shared" si="6"/>
        <v>筱攸</v>
      </c>
      <c r="AK95" s="81"/>
    </row>
    <row r="96" spans="1:37" ht="18" customHeight="1">
      <c r="A96" s="74" t="s">
        <v>58</v>
      </c>
      <c r="B96" s="75" t="s">
        <v>155</v>
      </c>
      <c r="C96" s="76"/>
      <c r="D96" s="52"/>
      <c r="E96" s="76"/>
      <c r="F96" s="52"/>
      <c r="G96" s="76"/>
      <c r="H96" s="76"/>
      <c r="I96" s="76"/>
      <c r="J96" s="76"/>
      <c r="K96" s="52"/>
      <c r="L96" s="76"/>
      <c r="M96" s="52"/>
      <c r="N96" s="76"/>
      <c r="O96" s="76"/>
      <c r="P96" s="76"/>
      <c r="Q96" s="76"/>
      <c r="R96" s="52"/>
      <c r="S96" s="76"/>
      <c r="T96" s="52"/>
      <c r="U96" s="76"/>
      <c r="V96" s="76"/>
      <c r="W96" s="76"/>
      <c r="X96" s="76"/>
      <c r="Y96" s="52"/>
      <c r="Z96" s="76"/>
      <c r="AA96" s="52"/>
      <c r="AB96" s="76"/>
      <c r="AC96" s="76"/>
      <c r="AD96" s="76"/>
      <c r="AE96" s="76"/>
      <c r="AF96" s="52"/>
      <c r="AG96" s="76"/>
      <c r="AH96" s="77">
        <f t="shared" si="5"/>
        <v>0</v>
      </c>
      <c r="AI96" s="98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79" t="str">
        <f t="shared" si="6"/>
        <v>康康</v>
      </c>
      <c r="AK96" s="81"/>
    </row>
    <row r="97" spans="1:37" ht="18" customHeight="1">
      <c r="A97" s="74" t="s">
        <v>58</v>
      </c>
      <c r="B97" s="75" t="s">
        <v>156</v>
      </c>
      <c r="C97" s="76"/>
      <c r="D97" s="52"/>
      <c r="E97" s="76"/>
      <c r="F97" s="52"/>
      <c r="G97" s="76"/>
      <c r="H97" s="76"/>
      <c r="I97" s="76"/>
      <c r="J97" s="76"/>
      <c r="K97" s="52"/>
      <c r="L97" s="76"/>
      <c r="M97" s="52"/>
      <c r="N97" s="76"/>
      <c r="O97" s="76"/>
      <c r="P97" s="76"/>
      <c r="Q97" s="76"/>
      <c r="R97" s="52"/>
      <c r="S97" s="76"/>
      <c r="T97" s="52"/>
      <c r="U97" s="76"/>
      <c r="V97" s="76"/>
      <c r="W97" s="76"/>
      <c r="X97" s="76"/>
      <c r="Y97" s="52"/>
      <c r="Z97" s="76"/>
      <c r="AA97" s="52"/>
      <c r="AB97" s="76"/>
      <c r="AC97" s="76"/>
      <c r="AD97" s="76"/>
      <c r="AE97" s="76"/>
      <c r="AF97" s="52"/>
      <c r="AG97" s="76"/>
      <c r="AH97" s="77">
        <f t="shared" si="5"/>
        <v>0</v>
      </c>
      <c r="AI97" s="98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79" t="str">
        <f t="shared" si="6"/>
        <v>阿金</v>
      </c>
      <c r="AK97" s="81"/>
    </row>
    <row r="98" spans="1:37" ht="18" customHeight="1">
      <c r="A98" s="74" t="s">
        <v>58</v>
      </c>
      <c r="B98" s="75" t="s">
        <v>157</v>
      </c>
      <c r="C98" s="76"/>
      <c r="D98" s="52"/>
      <c r="E98" s="76"/>
      <c r="F98" s="52"/>
      <c r="G98" s="76"/>
      <c r="H98" s="76"/>
      <c r="I98" s="76"/>
      <c r="J98" s="76"/>
      <c r="K98" s="52"/>
      <c r="L98" s="76"/>
      <c r="M98" s="52"/>
      <c r="N98" s="76"/>
      <c r="O98" s="76"/>
      <c r="P98" s="76"/>
      <c r="Q98" s="76"/>
      <c r="R98" s="52"/>
      <c r="S98" s="76"/>
      <c r="T98" s="52"/>
      <c r="U98" s="76"/>
      <c r="V98" s="76"/>
      <c r="W98" s="76"/>
      <c r="X98" s="76"/>
      <c r="Y98" s="52"/>
      <c r="Z98" s="76"/>
      <c r="AA98" s="52"/>
      <c r="AB98" s="76"/>
      <c r="AC98" s="76"/>
      <c r="AD98" s="76"/>
      <c r="AE98" s="76"/>
      <c r="AF98" s="52"/>
      <c r="AG98" s="76"/>
      <c r="AH98" s="77">
        <f t="shared" si="5"/>
        <v>0</v>
      </c>
      <c r="AI98" s="98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79" t="str">
        <f t="shared" si="6"/>
        <v>派大</v>
      </c>
      <c r="AK98" s="81"/>
    </row>
    <row r="99" spans="1:37" ht="18" customHeight="1">
      <c r="A99" s="74" t="s">
        <v>58</v>
      </c>
      <c r="B99" s="75" t="s">
        <v>158</v>
      </c>
      <c r="C99" s="76"/>
      <c r="D99" s="52"/>
      <c r="E99" s="76"/>
      <c r="F99" s="52"/>
      <c r="G99" s="76"/>
      <c r="H99" s="76"/>
      <c r="I99" s="76"/>
      <c r="J99" s="76"/>
      <c r="K99" s="52"/>
      <c r="L99" s="76"/>
      <c r="M99" s="52"/>
      <c r="N99" s="76"/>
      <c r="O99" s="76"/>
      <c r="P99" s="76"/>
      <c r="Q99" s="76"/>
      <c r="R99" s="52"/>
      <c r="S99" s="76"/>
      <c r="T99" s="52"/>
      <c r="U99" s="76"/>
      <c r="V99" s="76"/>
      <c r="W99" s="76"/>
      <c r="X99" s="76"/>
      <c r="Y99" s="52"/>
      <c r="Z99" s="76"/>
      <c r="AA99" s="52"/>
      <c r="AB99" s="76"/>
      <c r="AC99" s="76"/>
      <c r="AD99" s="76"/>
      <c r="AE99" s="76"/>
      <c r="AF99" s="52"/>
      <c r="AG99" s="76"/>
      <c r="AH99" s="77">
        <f t="shared" si="5"/>
        <v>0</v>
      </c>
      <c r="AI99" s="98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79" t="str">
        <f t="shared" si="6"/>
        <v>吉娃</v>
      </c>
      <c r="AK99" s="81"/>
    </row>
    <row r="100" spans="1:37" ht="18" customHeight="1">
      <c r="A100" s="74" t="s">
        <v>58</v>
      </c>
      <c r="B100" s="75" t="s">
        <v>159</v>
      </c>
      <c r="C100" s="76"/>
      <c r="D100" s="52"/>
      <c r="E100" s="76"/>
      <c r="F100" s="52"/>
      <c r="G100" s="76"/>
      <c r="H100" s="76"/>
      <c r="I100" s="76"/>
      <c r="J100" s="76"/>
      <c r="K100" s="52"/>
      <c r="L100" s="76"/>
      <c r="M100" s="52"/>
      <c r="N100" s="76"/>
      <c r="O100" s="76"/>
      <c r="P100" s="76"/>
      <c r="Q100" s="76"/>
      <c r="R100" s="52"/>
      <c r="S100" s="76"/>
      <c r="T100" s="52"/>
      <c r="U100" s="76"/>
      <c r="V100" s="76"/>
      <c r="W100" s="76"/>
      <c r="X100" s="76"/>
      <c r="Y100" s="52"/>
      <c r="Z100" s="76"/>
      <c r="AA100" s="52"/>
      <c r="AB100" s="76"/>
      <c r="AC100" s="76"/>
      <c r="AD100" s="76"/>
      <c r="AE100" s="76"/>
      <c r="AF100" s="52"/>
      <c r="AG100" s="76"/>
      <c r="AH100" s="77">
        <f t="shared" ref="AH100:AH131" si="7">COUNTA(C100:AG100)</f>
        <v>0</v>
      </c>
      <c r="AI100" s="98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79" t="str">
        <f t="shared" ref="AJ100:AJ134" si="8">B100</f>
        <v>小寧</v>
      </c>
      <c r="AK100" s="81"/>
    </row>
    <row r="101" spans="1:37" ht="18" customHeight="1">
      <c r="A101" s="74" t="s">
        <v>58</v>
      </c>
      <c r="B101" s="75" t="s">
        <v>160</v>
      </c>
      <c r="C101" s="76"/>
      <c r="D101" s="52"/>
      <c r="E101" s="76"/>
      <c r="F101" s="52"/>
      <c r="G101" s="76"/>
      <c r="H101" s="76"/>
      <c r="I101" s="76"/>
      <c r="J101" s="76"/>
      <c r="K101" s="52"/>
      <c r="L101" s="76"/>
      <c r="M101" s="52"/>
      <c r="N101" s="76"/>
      <c r="O101" s="76"/>
      <c r="P101" s="76"/>
      <c r="Q101" s="76"/>
      <c r="R101" s="52"/>
      <c r="S101" s="76"/>
      <c r="T101" s="52"/>
      <c r="U101" s="76"/>
      <c r="V101" s="76"/>
      <c r="W101" s="76"/>
      <c r="X101" s="76"/>
      <c r="Y101" s="52"/>
      <c r="Z101" s="76"/>
      <c r="AA101" s="52"/>
      <c r="AB101" s="76"/>
      <c r="AC101" s="76"/>
      <c r="AD101" s="76"/>
      <c r="AE101" s="76"/>
      <c r="AF101" s="52"/>
      <c r="AG101" s="76"/>
      <c r="AH101" s="77">
        <f t="shared" si="7"/>
        <v>0</v>
      </c>
      <c r="AI101" s="98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79" t="str">
        <f t="shared" si="8"/>
        <v>小妹</v>
      </c>
      <c r="AK101" s="81"/>
    </row>
    <row r="102" spans="1:37" ht="18" customHeight="1">
      <c r="A102" s="74" t="s">
        <v>58</v>
      </c>
      <c r="B102" s="75" t="s">
        <v>101</v>
      </c>
      <c r="C102" s="76"/>
      <c r="D102" s="52"/>
      <c r="E102" s="76"/>
      <c r="F102" s="52"/>
      <c r="G102" s="76"/>
      <c r="H102" s="76"/>
      <c r="I102" s="76"/>
      <c r="J102" s="76"/>
      <c r="K102" s="52"/>
      <c r="L102" s="76"/>
      <c r="M102" s="52"/>
      <c r="N102" s="76"/>
      <c r="O102" s="76"/>
      <c r="P102" s="76"/>
      <c r="Q102" s="76"/>
      <c r="R102" s="52"/>
      <c r="S102" s="76"/>
      <c r="T102" s="52"/>
      <c r="U102" s="76"/>
      <c r="V102" s="76"/>
      <c r="W102" s="76"/>
      <c r="X102" s="76"/>
      <c r="Y102" s="52"/>
      <c r="Z102" s="76"/>
      <c r="AA102" s="52"/>
      <c r="AB102" s="76"/>
      <c r="AC102" s="76"/>
      <c r="AD102" s="76"/>
      <c r="AE102" s="76"/>
      <c r="AF102" s="52"/>
      <c r="AG102" s="76"/>
      <c r="AH102" s="77">
        <f t="shared" si="7"/>
        <v>0</v>
      </c>
      <c r="AI102" s="98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79" t="str">
        <f t="shared" si="8"/>
        <v>文媛</v>
      </c>
      <c r="AK102" s="81"/>
    </row>
    <row r="103" spans="1:37" ht="18" customHeight="1">
      <c r="A103" s="74" t="s">
        <v>58</v>
      </c>
      <c r="B103" s="75" t="s">
        <v>161</v>
      </c>
      <c r="C103" s="76"/>
      <c r="D103" s="52"/>
      <c r="E103" s="76"/>
      <c r="F103" s="52"/>
      <c r="G103" s="76"/>
      <c r="H103" s="76"/>
      <c r="I103" s="76"/>
      <c r="J103" s="76"/>
      <c r="K103" s="52"/>
      <c r="L103" s="76"/>
      <c r="M103" s="52"/>
      <c r="N103" s="76"/>
      <c r="O103" s="76"/>
      <c r="P103" s="76"/>
      <c r="Q103" s="76"/>
      <c r="R103" s="52"/>
      <c r="S103" s="76"/>
      <c r="T103" s="52"/>
      <c r="U103" s="76"/>
      <c r="V103" s="76"/>
      <c r="W103" s="76"/>
      <c r="X103" s="76"/>
      <c r="Y103" s="52"/>
      <c r="Z103" s="76"/>
      <c r="AA103" s="52"/>
      <c r="AB103" s="76"/>
      <c r="AC103" s="76"/>
      <c r="AD103" s="76"/>
      <c r="AE103" s="76"/>
      <c r="AF103" s="52"/>
      <c r="AG103" s="76"/>
      <c r="AH103" s="77">
        <f t="shared" si="7"/>
        <v>0</v>
      </c>
      <c r="AI103" s="98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79" t="str">
        <f t="shared" si="8"/>
        <v>佩鈺</v>
      </c>
      <c r="AK103" s="81"/>
    </row>
    <row r="104" spans="1:37" ht="18" customHeight="1">
      <c r="A104" s="74" t="s">
        <v>58</v>
      </c>
      <c r="B104" s="75" t="s">
        <v>162</v>
      </c>
      <c r="C104" s="76"/>
      <c r="D104" s="52"/>
      <c r="E104" s="76"/>
      <c r="F104" s="52"/>
      <c r="G104" s="76"/>
      <c r="H104" s="76"/>
      <c r="I104" s="76"/>
      <c r="J104" s="76"/>
      <c r="K104" s="52"/>
      <c r="L104" s="76"/>
      <c r="M104" s="52"/>
      <c r="N104" s="76"/>
      <c r="O104" s="76"/>
      <c r="P104" s="76"/>
      <c r="Q104" s="76"/>
      <c r="R104" s="52"/>
      <c r="S104" s="76"/>
      <c r="T104" s="52"/>
      <c r="U104" s="76"/>
      <c r="V104" s="76"/>
      <c r="W104" s="76"/>
      <c r="X104" s="76"/>
      <c r="Y104" s="52"/>
      <c r="Z104" s="76"/>
      <c r="AA104" s="52"/>
      <c r="AB104" s="76"/>
      <c r="AC104" s="76"/>
      <c r="AD104" s="76"/>
      <c r="AE104" s="76"/>
      <c r="AF104" s="52"/>
      <c r="AG104" s="76"/>
      <c r="AH104" s="77">
        <f t="shared" si="7"/>
        <v>0</v>
      </c>
      <c r="AI104" s="98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79" t="str">
        <f t="shared" si="8"/>
        <v>阿布</v>
      </c>
      <c r="AK104" s="81"/>
    </row>
    <row r="105" spans="1:37" ht="18" customHeight="1">
      <c r="A105" s="74" t="s">
        <v>58</v>
      </c>
      <c r="B105" s="75" t="s">
        <v>100</v>
      </c>
      <c r="C105" s="76"/>
      <c r="D105" s="52"/>
      <c r="E105" s="76"/>
      <c r="F105" s="52"/>
      <c r="G105" s="76"/>
      <c r="H105" s="76"/>
      <c r="I105" s="76"/>
      <c r="J105" s="76"/>
      <c r="K105" s="52"/>
      <c r="L105" s="76"/>
      <c r="M105" s="52"/>
      <c r="N105" s="76"/>
      <c r="O105" s="76"/>
      <c r="P105" s="76"/>
      <c r="Q105" s="76"/>
      <c r="R105" s="52"/>
      <c r="S105" s="76"/>
      <c r="T105" s="52"/>
      <c r="U105" s="76"/>
      <c r="V105" s="76"/>
      <c r="W105" s="76"/>
      <c r="X105" s="76"/>
      <c r="Y105" s="52"/>
      <c r="Z105" s="76"/>
      <c r="AA105" s="52"/>
      <c r="AB105" s="76"/>
      <c r="AC105" s="76"/>
      <c r="AD105" s="76"/>
      <c r="AE105" s="76"/>
      <c r="AF105" s="52"/>
      <c r="AG105" s="76">
        <v>1</v>
      </c>
      <c r="AH105" s="77">
        <f t="shared" si="7"/>
        <v>1</v>
      </c>
      <c r="AI105" s="98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79" t="str">
        <f t="shared" si="8"/>
        <v>餅餅</v>
      </c>
      <c r="AK105" s="81"/>
    </row>
    <row r="106" spans="1:37" ht="18" customHeight="1">
      <c r="A106" s="74" t="s">
        <v>58</v>
      </c>
      <c r="B106" s="75" t="s">
        <v>163</v>
      </c>
      <c r="C106" s="76"/>
      <c r="D106" s="52"/>
      <c r="E106" s="76"/>
      <c r="F106" s="52"/>
      <c r="G106" s="76"/>
      <c r="H106" s="76">
        <v>1</v>
      </c>
      <c r="I106" s="76"/>
      <c r="J106" s="76"/>
      <c r="K106" s="52"/>
      <c r="L106" s="76"/>
      <c r="M106" s="52"/>
      <c r="N106" s="76"/>
      <c r="O106" s="76"/>
      <c r="P106" s="76"/>
      <c r="Q106" s="76">
        <v>1</v>
      </c>
      <c r="R106" s="52"/>
      <c r="S106" s="76"/>
      <c r="T106" s="52"/>
      <c r="U106" s="76"/>
      <c r="V106" s="76"/>
      <c r="W106" s="76"/>
      <c r="X106" s="76"/>
      <c r="Y106" s="52"/>
      <c r="Z106" s="76"/>
      <c r="AA106" s="52"/>
      <c r="AB106" s="76"/>
      <c r="AC106" s="76"/>
      <c r="AD106" s="76"/>
      <c r="AE106" s="76"/>
      <c r="AF106" s="52"/>
      <c r="AG106" s="76">
        <v>1</v>
      </c>
      <c r="AH106" s="77">
        <f t="shared" si="7"/>
        <v>3</v>
      </c>
      <c r="AI106" s="98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79" t="str">
        <f t="shared" si="8"/>
        <v>小個</v>
      </c>
      <c r="AK106" s="81"/>
    </row>
    <row r="107" spans="1:37" ht="18" customHeight="1">
      <c r="A107" s="83" t="s">
        <v>58</v>
      </c>
      <c r="B107" s="84" t="s">
        <v>104</v>
      </c>
      <c r="C107" s="85"/>
      <c r="D107" s="52"/>
      <c r="E107" s="85"/>
      <c r="F107" s="52"/>
      <c r="G107" s="85"/>
      <c r="H107" s="85"/>
      <c r="I107" s="85">
        <v>1</v>
      </c>
      <c r="J107" s="85">
        <v>1</v>
      </c>
      <c r="K107" s="52"/>
      <c r="L107" s="85">
        <v>1</v>
      </c>
      <c r="M107" s="52"/>
      <c r="N107" s="85">
        <v>1</v>
      </c>
      <c r="O107" s="85"/>
      <c r="P107" s="85"/>
      <c r="Q107" s="85"/>
      <c r="R107" s="52"/>
      <c r="S107" s="85"/>
      <c r="T107" s="52"/>
      <c r="U107" s="85"/>
      <c r="V107" s="85"/>
      <c r="W107" s="85"/>
      <c r="X107" s="85"/>
      <c r="Y107" s="52"/>
      <c r="Z107" s="85"/>
      <c r="AA107" s="52"/>
      <c r="AB107" s="85"/>
      <c r="AC107" s="85">
        <v>1</v>
      </c>
      <c r="AD107" s="85">
        <v>1</v>
      </c>
      <c r="AE107" s="85"/>
      <c r="AF107" s="52"/>
      <c r="AG107" s="85">
        <v>1</v>
      </c>
      <c r="AH107" s="86">
        <f t="shared" si="7"/>
        <v>7</v>
      </c>
      <c r="AI107" s="103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88" t="str">
        <f t="shared" si="8"/>
        <v>卡丘</v>
      </c>
      <c r="AK107" s="89"/>
    </row>
    <row r="108" spans="1:37" ht="18" customHeight="1">
      <c r="A108" s="83" t="s">
        <v>58</v>
      </c>
      <c r="B108" s="84" t="s">
        <v>124</v>
      </c>
      <c r="C108" s="85"/>
      <c r="D108" s="52"/>
      <c r="E108" s="85"/>
      <c r="F108" s="52"/>
      <c r="G108" s="85"/>
      <c r="H108" s="85">
        <v>1</v>
      </c>
      <c r="I108" s="85"/>
      <c r="J108" s="85"/>
      <c r="K108" s="52"/>
      <c r="L108" s="85"/>
      <c r="M108" s="52"/>
      <c r="N108" s="85"/>
      <c r="O108" s="85"/>
      <c r="P108" s="85"/>
      <c r="Q108" s="85">
        <v>1</v>
      </c>
      <c r="R108" s="52"/>
      <c r="S108" s="85"/>
      <c r="T108" s="52"/>
      <c r="U108" s="85"/>
      <c r="V108" s="85">
        <v>1</v>
      </c>
      <c r="W108" s="85"/>
      <c r="X108" s="85"/>
      <c r="Y108" s="52"/>
      <c r="Z108" s="85"/>
      <c r="AA108" s="52"/>
      <c r="AB108" s="85"/>
      <c r="AC108" s="85"/>
      <c r="AD108" s="85"/>
      <c r="AE108" s="85"/>
      <c r="AF108" s="52"/>
      <c r="AG108" s="85"/>
      <c r="AH108" s="86">
        <f t="shared" si="7"/>
        <v>3</v>
      </c>
      <c r="AI108" s="103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88" t="str">
        <f t="shared" si="8"/>
        <v>玉蕙</v>
      </c>
      <c r="AK108" s="89"/>
    </row>
    <row r="109" spans="1:37" ht="18" customHeight="1">
      <c r="A109" s="83" t="s">
        <v>58</v>
      </c>
      <c r="B109" s="84" t="s">
        <v>125</v>
      </c>
      <c r="C109" s="85"/>
      <c r="D109" s="52"/>
      <c r="E109" s="85"/>
      <c r="F109" s="52"/>
      <c r="G109" s="85"/>
      <c r="H109" s="85"/>
      <c r="I109" s="85"/>
      <c r="J109" s="85"/>
      <c r="K109" s="52"/>
      <c r="L109" s="85"/>
      <c r="M109" s="52"/>
      <c r="N109" s="85"/>
      <c r="O109" s="85"/>
      <c r="P109" s="85"/>
      <c r="Q109" s="85"/>
      <c r="R109" s="52"/>
      <c r="S109" s="85"/>
      <c r="T109" s="52"/>
      <c r="U109" s="85"/>
      <c r="V109" s="85"/>
      <c r="W109" s="85"/>
      <c r="X109" s="85"/>
      <c r="Y109" s="52"/>
      <c r="Z109" s="85"/>
      <c r="AA109" s="52"/>
      <c r="AB109" s="85"/>
      <c r="AC109" s="85"/>
      <c r="AD109" s="85"/>
      <c r="AE109" s="85"/>
      <c r="AF109" s="52"/>
      <c r="AG109" s="85"/>
      <c r="AH109" s="86">
        <f t="shared" si="7"/>
        <v>0</v>
      </c>
      <c r="AI109" s="103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88" t="str">
        <f t="shared" si="8"/>
        <v>沛緁</v>
      </c>
      <c r="AK109" s="89"/>
    </row>
    <row r="110" spans="1:37" ht="18" customHeight="1">
      <c r="A110" s="83" t="s">
        <v>58</v>
      </c>
      <c r="B110" s="84" t="s">
        <v>126</v>
      </c>
      <c r="C110" s="85"/>
      <c r="D110" s="52"/>
      <c r="E110" s="85"/>
      <c r="F110" s="52"/>
      <c r="G110" s="85"/>
      <c r="H110" s="85"/>
      <c r="I110" s="85"/>
      <c r="J110" s="85"/>
      <c r="K110" s="52"/>
      <c r="L110" s="85"/>
      <c r="M110" s="52"/>
      <c r="N110" s="85"/>
      <c r="O110" s="85"/>
      <c r="P110" s="85"/>
      <c r="Q110" s="85"/>
      <c r="R110" s="52"/>
      <c r="S110" s="85"/>
      <c r="T110" s="52"/>
      <c r="U110" s="85">
        <v>1</v>
      </c>
      <c r="V110" s="85"/>
      <c r="W110" s="85"/>
      <c r="X110" s="85"/>
      <c r="Y110" s="52"/>
      <c r="Z110" s="85"/>
      <c r="AA110" s="52"/>
      <c r="AB110" s="85"/>
      <c r="AC110" s="85"/>
      <c r="AD110" s="85"/>
      <c r="AE110" s="85"/>
      <c r="AF110" s="52"/>
      <c r="AG110" s="85"/>
      <c r="AH110" s="86">
        <f t="shared" si="7"/>
        <v>1</v>
      </c>
      <c r="AI110" s="103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88" t="str">
        <f t="shared" si="8"/>
        <v>妹妹</v>
      </c>
      <c r="AK110" s="89"/>
    </row>
    <row r="111" spans="1:37" ht="18" customHeight="1">
      <c r="A111" s="83" t="s">
        <v>58</v>
      </c>
      <c r="B111" s="84" t="s">
        <v>127</v>
      </c>
      <c r="C111" s="85"/>
      <c r="D111" s="52"/>
      <c r="E111" s="85">
        <v>1</v>
      </c>
      <c r="F111" s="52"/>
      <c r="G111" s="85">
        <v>1</v>
      </c>
      <c r="H111" s="85"/>
      <c r="I111" s="85">
        <v>1</v>
      </c>
      <c r="J111" s="85">
        <v>1</v>
      </c>
      <c r="K111" s="52"/>
      <c r="L111" s="85">
        <v>1</v>
      </c>
      <c r="M111" s="52"/>
      <c r="N111" s="85">
        <v>1</v>
      </c>
      <c r="O111" s="85"/>
      <c r="P111" s="85"/>
      <c r="Q111" s="85">
        <v>1</v>
      </c>
      <c r="R111" s="52"/>
      <c r="S111" s="85"/>
      <c r="T111" s="52"/>
      <c r="U111" s="85"/>
      <c r="V111" s="85"/>
      <c r="W111" s="85"/>
      <c r="X111" s="85"/>
      <c r="Y111" s="52"/>
      <c r="Z111" s="85"/>
      <c r="AA111" s="52"/>
      <c r="AB111" s="85"/>
      <c r="AC111" s="85"/>
      <c r="AD111" s="85"/>
      <c r="AE111" s="85">
        <v>1</v>
      </c>
      <c r="AF111" s="52"/>
      <c r="AG111" s="85">
        <v>1</v>
      </c>
      <c r="AH111" s="86">
        <f t="shared" si="7"/>
        <v>9</v>
      </c>
      <c r="AI111" s="103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88" t="str">
        <f t="shared" si="8"/>
        <v>小雞</v>
      </c>
      <c r="AK111" s="89"/>
    </row>
    <row r="112" spans="1:37" ht="18" customHeight="1">
      <c r="A112" s="83" t="s">
        <v>58</v>
      </c>
      <c r="B112" s="84" t="s">
        <v>128</v>
      </c>
      <c r="C112" s="85"/>
      <c r="D112" s="52"/>
      <c r="E112" s="85"/>
      <c r="F112" s="52"/>
      <c r="G112" s="85"/>
      <c r="H112" s="85"/>
      <c r="I112" s="85"/>
      <c r="J112" s="85"/>
      <c r="K112" s="52"/>
      <c r="L112" s="85"/>
      <c r="M112" s="52"/>
      <c r="N112" s="85"/>
      <c r="O112" s="85"/>
      <c r="P112" s="85"/>
      <c r="Q112" s="85"/>
      <c r="R112" s="52"/>
      <c r="S112" s="85"/>
      <c r="T112" s="52"/>
      <c r="U112" s="85"/>
      <c r="V112" s="85"/>
      <c r="W112" s="85"/>
      <c r="X112" s="85"/>
      <c r="Y112" s="52"/>
      <c r="Z112" s="85"/>
      <c r="AA112" s="52"/>
      <c r="AB112" s="85"/>
      <c r="AC112" s="85"/>
      <c r="AD112" s="85"/>
      <c r="AE112" s="85"/>
      <c r="AF112" s="52"/>
      <c r="AG112" s="85"/>
      <c r="AH112" s="86">
        <f t="shared" si="7"/>
        <v>0</v>
      </c>
      <c r="AI112" s="103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88" t="str">
        <f t="shared" si="8"/>
        <v>雨昕</v>
      </c>
      <c r="AK112" s="89"/>
    </row>
    <row r="113" spans="1:37" ht="18" customHeight="1">
      <c r="A113" s="83" t="s">
        <v>58</v>
      </c>
      <c r="B113" s="84" t="s">
        <v>129</v>
      </c>
      <c r="C113" s="85"/>
      <c r="D113" s="52"/>
      <c r="E113" s="85"/>
      <c r="F113" s="52"/>
      <c r="G113" s="85"/>
      <c r="H113" s="85"/>
      <c r="I113" s="85"/>
      <c r="J113" s="85"/>
      <c r="K113" s="52"/>
      <c r="L113" s="85"/>
      <c r="M113" s="52"/>
      <c r="N113" s="85"/>
      <c r="O113" s="85"/>
      <c r="P113" s="85"/>
      <c r="Q113" s="85"/>
      <c r="R113" s="52"/>
      <c r="S113" s="85"/>
      <c r="T113" s="52"/>
      <c r="U113" s="85"/>
      <c r="V113" s="85"/>
      <c r="W113" s="85"/>
      <c r="X113" s="85"/>
      <c r="Y113" s="52"/>
      <c r="Z113" s="85"/>
      <c r="AA113" s="52"/>
      <c r="AB113" s="85"/>
      <c r="AC113" s="85"/>
      <c r="AD113" s="85"/>
      <c r="AE113" s="85"/>
      <c r="AF113" s="52"/>
      <c r="AG113" s="85"/>
      <c r="AH113" s="86">
        <f t="shared" si="7"/>
        <v>0</v>
      </c>
      <c r="AI113" s="103" t="e">
        <f ca="1">IF(A113="O", (VALUE(_xludf.IFS(AH113=0,"0",AH113=1,"150",AH113=2,"300",AH113=3,"450",AH113=4,"600",AH113=5,"750",AH113&gt;=6,"800"))),(VALUE(_xludf.IFS(AH113=0,"0",AH113=1,"150",AH113=2,"300",AH113=3,"450",AH113=4,"600",AH113=5,"750",AH113=6,"900",AH113&gt;=7,"1,000"))))</f>
        <v>#NAME?</v>
      </c>
      <c r="AJ113" s="88" t="str">
        <f t="shared" si="8"/>
        <v>矮矮</v>
      </c>
      <c r="AK113" s="89"/>
    </row>
    <row r="114" spans="1:37" ht="18" customHeight="1">
      <c r="A114" s="83" t="s">
        <v>58</v>
      </c>
      <c r="B114" s="84" t="s">
        <v>130</v>
      </c>
      <c r="C114" s="85"/>
      <c r="D114" s="52"/>
      <c r="E114" s="85"/>
      <c r="F114" s="52"/>
      <c r="G114" s="85"/>
      <c r="H114" s="85"/>
      <c r="I114" s="85"/>
      <c r="J114" s="85"/>
      <c r="K114" s="52"/>
      <c r="L114" s="85"/>
      <c r="M114" s="52"/>
      <c r="N114" s="85"/>
      <c r="O114" s="85"/>
      <c r="P114" s="85"/>
      <c r="Q114" s="85"/>
      <c r="R114" s="52"/>
      <c r="S114" s="85"/>
      <c r="T114" s="52"/>
      <c r="U114" s="85"/>
      <c r="V114" s="85"/>
      <c r="W114" s="85"/>
      <c r="X114" s="85"/>
      <c r="Y114" s="52"/>
      <c r="Z114" s="85"/>
      <c r="AA114" s="52"/>
      <c r="AB114" s="85"/>
      <c r="AC114" s="85"/>
      <c r="AD114" s="85"/>
      <c r="AE114" s="85"/>
      <c r="AF114" s="52"/>
      <c r="AG114" s="85"/>
      <c r="AH114" s="86">
        <f t="shared" si="7"/>
        <v>0</v>
      </c>
      <c r="AI114" s="103" t="e">
        <f ca="1">IF(A114="O", (VALUE(_xludf.IFS(AH114=0,"0",AH114=1,"150",AH114=2,"300",AH114=3,"450",AH114=4,"600",AH114=5,"750",AH114&gt;=6,"800"))),(VALUE(_xludf.IFS(AH114=0,"0",AH114=1,"150",AH114=2,"300",AH114=3,"450",AH114=4,"600",AH114=5,"750",AH114=6,"900",AH114&gt;=7,"1,000"))))</f>
        <v>#NAME?</v>
      </c>
      <c r="AJ114" s="88" t="str">
        <f t="shared" si="8"/>
        <v>猛女</v>
      </c>
      <c r="AK114" s="89"/>
    </row>
    <row r="115" spans="1:37" ht="18" customHeight="1">
      <c r="A115" s="83" t="s">
        <v>58</v>
      </c>
      <c r="B115" s="84" t="s">
        <v>131</v>
      </c>
      <c r="C115" s="85"/>
      <c r="D115" s="52"/>
      <c r="E115" s="85"/>
      <c r="F115" s="52"/>
      <c r="G115" s="85"/>
      <c r="H115" s="85"/>
      <c r="I115" s="85"/>
      <c r="J115" s="85"/>
      <c r="K115" s="52"/>
      <c r="L115" s="85"/>
      <c r="M115" s="52"/>
      <c r="N115" s="85"/>
      <c r="O115" s="85"/>
      <c r="P115" s="85"/>
      <c r="Q115" s="85"/>
      <c r="R115" s="52"/>
      <c r="S115" s="85"/>
      <c r="T115" s="52"/>
      <c r="U115" s="85"/>
      <c r="V115" s="85"/>
      <c r="W115" s="85"/>
      <c r="X115" s="85"/>
      <c r="Y115" s="52"/>
      <c r="Z115" s="85"/>
      <c r="AA115" s="52"/>
      <c r="AB115" s="85"/>
      <c r="AC115" s="85"/>
      <c r="AD115" s="85"/>
      <c r="AE115" s="85"/>
      <c r="AF115" s="52"/>
      <c r="AG115" s="85"/>
      <c r="AH115" s="86">
        <f t="shared" si="7"/>
        <v>0</v>
      </c>
      <c r="AI115" s="103" t="e">
        <f ca="1">IF(A115="O", (VALUE(_xludf.IFS(AH115=0,"0",AH115=1,"150",AH115=2,"300",AH115=3,"450",AH115=4,"600",AH115=5,"750",AH115&gt;=6,"800"))),(VALUE(_xludf.IFS(AH115=0,"0",AH115=1,"150",AH115=2,"300",AH115=3,"450",AH115=4,"600",AH115=5,"750",AH115=6,"900",AH115&gt;=7,"1,000"))))</f>
        <v>#NAME?</v>
      </c>
      <c r="AJ115" s="88" t="str">
        <f t="shared" si="8"/>
        <v>欣容</v>
      </c>
      <c r="AK115" s="89"/>
    </row>
    <row r="116" spans="1:37" ht="18" customHeight="1">
      <c r="A116" s="83" t="s">
        <v>58</v>
      </c>
      <c r="B116" s="84" t="s">
        <v>132</v>
      </c>
      <c r="C116" s="85"/>
      <c r="D116" s="52"/>
      <c r="E116" s="85"/>
      <c r="F116" s="52"/>
      <c r="G116" s="85"/>
      <c r="H116" s="85"/>
      <c r="I116" s="85"/>
      <c r="J116" s="85"/>
      <c r="K116" s="52"/>
      <c r="L116" s="85"/>
      <c r="M116" s="52"/>
      <c r="N116" s="85"/>
      <c r="O116" s="85"/>
      <c r="P116" s="85"/>
      <c r="Q116" s="85"/>
      <c r="R116" s="52"/>
      <c r="S116" s="85"/>
      <c r="T116" s="52"/>
      <c r="U116" s="85"/>
      <c r="V116" s="85"/>
      <c r="W116" s="85"/>
      <c r="X116" s="85"/>
      <c r="Y116" s="52"/>
      <c r="Z116" s="85"/>
      <c r="AA116" s="52"/>
      <c r="AB116" s="85"/>
      <c r="AC116" s="85"/>
      <c r="AD116" s="85"/>
      <c r="AE116" s="85"/>
      <c r="AF116" s="52"/>
      <c r="AG116" s="85"/>
      <c r="AH116" s="86">
        <f t="shared" si="7"/>
        <v>0</v>
      </c>
      <c r="AI116" s="103" t="e">
        <f ca="1">IF(A116="O", (VALUE(_xludf.IFS(AH116=0,"0",AH116=1,"150",AH116=2,"300",AH116=3,"450",AH116=4,"600",AH116=5,"750",AH116&gt;=6,"800"))),(VALUE(_xludf.IFS(AH116=0,"0",AH116=1,"150",AH116=2,"300",AH116=3,"450",AH116=4,"600",AH116=5,"750",AH116=6,"900",AH116&gt;=7,"1,000"))))</f>
        <v>#NAME?</v>
      </c>
      <c r="AJ116" s="88" t="str">
        <f t="shared" si="8"/>
        <v>萁萁</v>
      </c>
      <c r="AK116" s="89"/>
    </row>
    <row r="117" spans="1:37" ht="18" customHeight="1">
      <c r="A117" s="83" t="s">
        <v>58</v>
      </c>
      <c r="B117" s="84" t="s">
        <v>133</v>
      </c>
      <c r="C117" s="85"/>
      <c r="D117" s="52"/>
      <c r="E117" s="85"/>
      <c r="F117" s="52"/>
      <c r="G117" s="85"/>
      <c r="H117" s="85"/>
      <c r="I117" s="85"/>
      <c r="J117" s="85"/>
      <c r="K117" s="52"/>
      <c r="L117" s="85"/>
      <c r="M117" s="52"/>
      <c r="N117" s="85"/>
      <c r="O117" s="85"/>
      <c r="P117" s="85"/>
      <c r="Q117" s="85"/>
      <c r="R117" s="52"/>
      <c r="S117" s="85"/>
      <c r="T117" s="52"/>
      <c r="U117" s="85"/>
      <c r="V117" s="85">
        <v>1</v>
      </c>
      <c r="W117" s="85"/>
      <c r="X117" s="85"/>
      <c r="Y117" s="52"/>
      <c r="Z117" s="85"/>
      <c r="AA117" s="52"/>
      <c r="AB117" s="85"/>
      <c r="AC117" s="85"/>
      <c r="AD117" s="85">
        <v>1</v>
      </c>
      <c r="AE117" s="85"/>
      <c r="AF117" s="52"/>
      <c r="AG117" s="85"/>
      <c r="AH117" s="86">
        <f t="shared" si="7"/>
        <v>2</v>
      </c>
      <c r="AI117" s="103" t="e">
        <f ca="1">IF(A117="O", (VALUE(_xludf.IFS(AH117=0,"0",AH117=1,"150",AH117=2,"300",AH117=3,"450",AH117=4,"600",AH117=5,"750",AH117&gt;=6,"800"))),(VALUE(_xludf.IFS(AH117=0,"0",AH117=1,"150",AH117=2,"300",AH117=3,"450",AH117=4,"600",AH117=5,"750",AH117=6,"900",AH117&gt;=7,"1,000"))))</f>
        <v>#NAME?</v>
      </c>
      <c r="AJ117" s="88" t="str">
        <f t="shared" si="8"/>
        <v>萱</v>
      </c>
      <c r="AK117" s="89"/>
    </row>
    <row r="118" spans="1:37" ht="18" customHeight="1">
      <c r="A118" s="83" t="s">
        <v>58</v>
      </c>
      <c r="B118" s="84" t="s">
        <v>134</v>
      </c>
      <c r="C118" s="85"/>
      <c r="D118" s="52"/>
      <c r="E118" s="85"/>
      <c r="F118" s="52"/>
      <c r="G118" s="85"/>
      <c r="H118" s="85"/>
      <c r="I118" s="85"/>
      <c r="J118" s="85"/>
      <c r="K118" s="52"/>
      <c r="L118" s="85"/>
      <c r="M118" s="52"/>
      <c r="N118" s="85"/>
      <c r="O118" s="85"/>
      <c r="P118" s="85"/>
      <c r="Q118" s="85"/>
      <c r="R118" s="52"/>
      <c r="S118" s="85"/>
      <c r="T118" s="52"/>
      <c r="U118" s="85"/>
      <c r="V118" s="85"/>
      <c r="W118" s="85"/>
      <c r="X118" s="85"/>
      <c r="Y118" s="52"/>
      <c r="Z118" s="85"/>
      <c r="AA118" s="52"/>
      <c r="AB118" s="85"/>
      <c r="AC118" s="85"/>
      <c r="AD118" s="85"/>
      <c r="AE118" s="85"/>
      <c r="AF118" s="52"/>
      <c r="AG118" s="85"/>
      <c r="AH118" s="86">
        <f t="shared" si="7"/>
        <v>0</v>
      </c>
      <c r="AI118" s="103" t="e">
        <f ca="1">IF(A118="O", (VALUE(_xludf.IFS(AH118=0,"0",AH118=1,"150",AH118=2,"300",AH118=3,"450",AH118=4,"600",AH118=5,"750",AH118&gt;=6,"800"))),(VALUE(_xludf.IFS(AH118=0,"0",AH118=1,"150",AH118=2,"300",AH118=3,"450",AH118=4,"600",AH118=5,"750",AH118=6,"900",AH118&gt;=7,"1,000"))))</f>
        <v>#NAME?</v>
      </c>
      <c r="AJ118" s="88" t="str">
        <f t="shared" si="8"/>
        <v>Mei</v>
      </c>
      <c r="AK118" s="89"/>
    </row>
    <row r="119" spans="1:37" ht="18" customHeight="1">
      <c r="A119" s="83" t="s">
        <v>58</v>
      </c>
      <c r="B119" s="84" t="s">
        <v>135</v>
      </c>
      <c r="C119" s="85"/>
      <c r="D119" s="52"/>
      <c r="E119" s="85"/>
      <c r="F119" s="52"/>
      <c r="G119" s="85"/>
      <c r="H119" s="85"/>
      <c r="I119" s="85"/>
      <c r="J119" s="85"/>
      <c r="K119" s="52"/>
      <c r="L119" s="85"/>
      <c r="M119" s="52"/>
      <c r="N119" s="85"/>
      <c r="O119" s="85"/>
      <c r="P119" s="85"/>
      <c r="Q119" s="85"/>
      <c r="R119" s="52"/>
      <c r="S119" s="85"/>
      <c r="T119" s="52"/>
      <c r="U119" s="85"/>
      <c r="V119" s="85"/>
      <c r="W119" s="85"/>
      <c r="X119" s="85"/>
      <c r="Y119" s="52"/>
      <c r="Z119" s="85"/>
      <c r="AA119" s="52"/>
      <c r="AB119" s="85"/>
      <c r="AC119" s="85"/>
      <c r="AD119" s="85"/>
      <c r="AE119" s="85"/>
      <c r="AF119" s="52"/>
      <c r="AG119" s="85"/>
      <c r="AH119" s="86">
        <f t="shared" si="7"/>
        <v>0</v>
      </c>
      <c r="AI119" s="103" t="e">
        <f ca="1">IF(A119="O", (VALUE(_xludf.IFS(AH119=0,"0",AH119=1,"150",AH119=2,"300",AH119=3,"450",AH119=4,"600",AH119=5,"750",AH119&gt;=6,"800"))),(VALUE(_xludf.IFS(AH119=0,"0",AH119=1,"150",AH119=2,"300",AH119=3,"450",AH119=4,"600",AH119=5,"750",AH119=6,"900",AH119&gt;=7,"1,000"))))</f>
        <v>#NAME?</v>
      </c>
      <c r="AJ119" s="88" t="str">
        <f t="shared" si="8"/>
        <v>屁屁</v>
      </c>
      <c r="AK119" s="89"/>
    </row>
    <row r="120" spans="1:37" ht="18" customHeight="1">
      <c r="A120" s="83" t="s">
        <v>58</v>
      </c>
      <c r="B120" s="84" t="s">
        <v>136</v>
      </c>
      <c r="C120" s="85"/>
      <c r="D120" s="52"/>
      <c r="E120" s="85"/>
      <c r="F120" s="52"/>
      <c r="G120" s="85"/>
      <c r="H120" s="85"/>
      <c r="I120" s="85"/>
      <c r="J120" s="85"/>
      <c r="K120" s="52"/>
      <c r="L120" s="85"/>
      <c r="M120" s="52"/>
      <c r="N120" s="85"/>
      <c r="O120" s="85"/>
      <c r="P120" s="85"/>
      <c r="Q120" s="85"/>
      <c r="R120" s="52"/>
      <c r="S120" s="85"/>
      <c r="T120" s="52"/>
      <c r="U120" s="85"/>
      <c r="V120" s="85"/>
      <c r="W120" s="85"/>
      <c r="X120" s="85"/>
      <c r="Y120" s="52"/>
      <c r="Z120" s="85"/>
      <c r="AA120" s="52"/>
      <c r="AB120" s="85"/>
      <c r="AC120" s="85"/>
      <c r="AD120" s="85"/>
      <c r="AE120" s="85"/>
      <c r="AF120" s="52"/>
      <c r="AG120" s="85"/>
      <c r="AH120" s="86">
        <f t="shared" si="7"/>
        <v>0</v>
      </c>
      <c r="AI120" s="103" t="e">
        <f ca="1">IF(A120="O", (VALUE(_xludf.IFS(AH120=0,"0",AH120=1,"150",AH120=2,"300",AH120=3,"450",AH120=4,"600",AH120=5,"750",AH120&gt;=6,"800"))),(VALUE(_xludf.IFS(AH120=0,"0",AH120=1,"150",AH120=2,"300",AH120=3,"450",AH120=4,"600",AH120=5,"750",AH120=6,"900",AH120&gt;=7,"1,000"))))</f>
        <v>#NAME?</v>
      </c>
      <c r="AJ120" s="88" t="str">
        <f t="shared" si="8"/>
        <v>泡泡</v>
      </c>
      <c r="AK120" s="89"/>
    </row>
    <row r="121" spans="1:37" ht="18" customHeight="1">
      <c r="A121" s="83" t="s">
        <v>58</v>
      </c>
      <c r="B121" s="84" t="s">
        <v>137</v>
      </c>
      <c r="C121" s="85"/>
      <c r="D121" s="52"/>
      <c r="E121" s="85"/>
      <c r="F121" s="52"/>
      <c r="G121" s="85"/>
      <c r="H121" s="85"/>
      <c r="I121" s="85"/>
      <c r="J121" s="85"/>
      <c r="K121" s="52"/>
      <c r="L121" s="85"/>
      <c r="M121" s="52"/>
      <c r="N121" s="85"/>
      <c r="O121" s="85"/>
      <c r="P121" s="85"/>
      <c r="Q121" s="85"/>
      <c r="R121" s="52"/>
      <c r="S121" s="85"/>
      <c r="T121" s="52"/>
      <c r="U121" s="85"/>
      <c r="V121" s="85"/>
      <c r="W121" s="85"/>
      <c r="X121" s="85"/>
      <c r="Y121" s="52"/>
      <c r="Z121" s="85"/>
      <c r="AA121" s="52"/>
      <c r="AB121" s="85"/>
      <c r="AC121" s="85"/>
      <c r="AD121" s="85"/>
      <c r="AE121" s="85"/>
      <c r="AF121" s="52"/>
      <c r="AG121" s="85"/>
      <c r="AH121" s="86">
        <f t="shared" si="7"/>
        <v>0</v>
      </c>
      <c r="AI121" s="103" t="e">
        <f ca="1">IF(A121="O", (VALUE(_xludf.IFS(AH121=0,"0",AH121=1,"150",AH121=2,"300",AH121=3,"450",AH121=4,"600",AH121=5,"750",AH121&gt;=6,"800"))),(VALUE(_xludf.IFS(AH121=0,"0",AH121=1,"150",AH121=2,"300",AH121=3,"450",AH121=4,"600",AH121=5,"750",AH121=6,"900",AH121&gt;=7,"1,000"))))</f>
        <v>#NAME?</v>
      </c>
      <c r="AJ121" s="88" t="str">
        <f t="shared" si="8"/>
        <v>姚</v>
      </c>
      <c r="AK121" s="89"/>
    </row>
    <row r="122" spans="1:37" ht="18" customHeight="1">
      <c r="A122" s="83" t="s">
        <v>58</v>
      </c>
      <c r="B122" s="84" t="s">
        <v>138</v>
      </c>
      <c r="C122" s="85"/>
      <c r="D122" s="52"/>
      <c r="E122" s="85"/>
      <c r="F122" s="52"/>
      <c r="G122" s="85"/>
      <c r="H122" s="85"/>
      <c r="I122" s="85"/>
      <c r="J122" s="85"/>
      <c r="K122" s="52"/>
      <c r="L122" s="85"/>
      <c r="M122" s="52"/>
      <c r="N122" s="85"/>
      <c r="O122" s="85"/>
      <c r="P122" s="85"/>
      <c r="Q122" s="85"/>
      <c r="R122" s="52"/>
      <c r="S122" s="85"/>
      <c r="T122" s="52"/>
      <c r="U122" s="85"/>
      <c r="V122" s="85"/>
      <c r="W122" s="85"/>
      <c r="X122" s="85"/>
      <c r="Y122" s="52"/>
      <c r="Z122" s="85"/>
      <c r="AA122" s="52"/>
      <c r="AB122" s="85"/>
      <c r="AC122" s="85"/>
      <c r="AD122" s="85"/>
      <c r="AE122" s="85"/>
      <c r="AF122" s="52"/>
      <c r="AG122" s="85"/>
      <c r="AH122" s="86">
        <f t="shared" si="7"/>
        <v>0</v>
      </c>
      <c r="AI122" s="103" t="e">
        <f ca="1">IF(A122="O", (VALUE(_xludf.IFS(AH122=0,"0",AH122=1,"150",AH122=2,"300",AH122=3,"450",AH122=4,"600",AH122=5,"750",AH122&gt;=6,"800"))),(VALUE(_xludf.IFS(AH122=0,"0",AH122=1,"150",AH122=2,"300",AH122=3,"450",AH122=4,"600",AH122=5,"750",AH122=6,"900",AH122&gt;=7,"1,000"))))</f>
        <v>#NAME?</v>
      </c>
      <c r="AJ122" s="88" t="str">
        <f t="shared" si="8"/>
        <v>奜茜</v>
      </c>
      <c r="AK122" s="89"/>
    </row>
    <row r="123" spans="1:37" ht="18" customHeight="1">
      <c r="A123" s="83" t="s">
        <v>58</v>
      </c>
      <c r="B123" s="84" t="s">
        <v>121</v>
      </c>
      <c r="C123" s="85"/>
      <c r="D123" s="52"/>
      <c r="E123" s="85"/>
      <c r="F123" s="52"/>
      <c r="G123" s="85">
        <v>1</v>
      </c>
      <c r="H123" s="85">
        <v>1</v>
      </c>
      <c r="I123" s="85">
        <v>1</v>
      </c>
      <c r="J123" s="85">
        <v>1</v>
      </c>
      <c r="K123" s="52"/>
      <c r="L123" s="85"/>
      <c r="M123" s="52"/>
      <c r="N123" s="85"/>
      <c r="O123" s="85"/>
      <c r="P123" s="85"/>
      <c r="Q123" s="85"/>
      <c r="R123" s="52"/>
      <c r="S123" s="85"/>
      <c r="T123" s="52"/>
      <c r="U123" s="85"/>
      <c r="V123" s="85">
        <v>1</v>
      </c>
      <c r="W123" s="85"/>
      <c r="X123" s="85"/>
      <c r="Y123" s="52"/>
      <c r="Z123" s="85"/>
      <c r="AA123" s="52"/>
      <c r="AB123" s="85"/>
      <c r="AC123" s="85">
        <v>1</v>
      </c>
      <c r="AD123" s="85">
        <v>1</v>
      </c>
      <c r="AE123" s="85"/>
      <c r="AF123" s="52"/>
      <c r="AG123" s="85">
        <v>1</v>
      </c>
      <c r="AH123" s="86">
        <f t="shared" si="7"/>
        <v>8</v>
      </c>
      <c r="AI123" s="103" t="e">
        <f ca="1">IF(A123="O", (VALUE(_xludf.IFS(AH123=0,"0",AH123=1,"150",AH123=2,"300",AH123=3,"450",AH123=4,"600",AH123=5,"750",AH123&gt;=6,"800"))),(VALUE(_xludf.IFS(AH123=0,"0",AH123=1,"150",AH123=2,"300",AH123=3,"450",AH123=4,"600",AH123=5,"750",AH123=6,"900",AH123&gt;=7,"1,000"))))</f>
        <v>#NAME?</v>
      </c>
      <c r="AJ123" s="88" t="str">
        <f t="shared" si="8"/>
        <v>冰沙</v>
      </c>
      <c r="AK123" s="89"/>
    </row>
    <row r="124" spans="1:37" ht="18" customHeight="1">
      <c r="A124" s="83" t="s">
        <v>58</v>
      </c>
      <c r="B124" s="84" t="s">
        <v>139</v>
      </c>
      <c r="C124" s="85"/>
      <c r="D124" s="52"/>
      <c r="E124" s="85"/>
      <c r="F124" s="52"/>
      <c r="G124" s="85"/>
      <c r="H124" s="85"/>
      <c r="I124" s="85"/>
      <c r="J124" s="85"/>
      <c r="K124" s="52"/>
      <c r="L124" s="85"/>
      <c r="M124" s="52"/>
      <c r="N124" s="85"/>
      <c r="O124" s="85"/>
      <c r="P124" s="85"/>
      <c r="Q124" s="85">
        <v>1</v>
      </c>
      <c r="R124" s="52"/>
      <c r="S124" s="85"/>
      <c r="T124" s="52"/>
      <c r="U124" s="85"/>
      <c r="V124" s="85"/>
      <c r="W124" s="85"/>
      <c r="X124" s="85"/>
      <c r="Y124" s="52"/>
      <c r="Z124" s="85"/>
      <c r="AA124" s="52"/>
      <c r="AB124" s="85"/>
      <c r="AC124" s="85"/>
      <c r="AD124" s="85"/>
      <c r="AE124" s="85"/>
      <c r="AF124" s="52"/>
      <c r="AG124" s="85"/>
      <c r="AH124" s="86">
        <f t="shared" si="7"/>
        <v>1</v>
      </c>
      <c r="AI124" s="103" t="e">
        <f ca="1">IF(A124="O", (VALUE(_xludf.IFS(AH124=0,"0",AH124=1,"150",AH124=2,"300",AH124=3,"450",AH124=4,"600",AH124=5,"750",AH124&gt;=6,"800"))),(VALUE(_xludf.IFS(AH124=0,"0",AH124=1,"150",AH124=2,"300",AH124=3,"450",AH124=4,"600",AH124=5,"750",AH124=6,"900",AH124&gt;=7,"1,000"))))</f>
        <v>#NAME?</v>
      </c>
      <c r="AJ124" s="88" t="str">
        <f t="shared" si="8"/>
        <v>Tina</v>
      </c>
      <c r="AK124" s="89"/>
    </row>
    <row r="125" spans="1:37" ht="18" customHeight="1">
      <c r="A125" s="83" t="s">
        <v>58</v>
      </c>
      <c r="B125" s="84" t="s">
        <v>113</v>
      </c>
      <c r="C125" s="85"/>
      <c r="D125" s="52"/>
      <c r="E125" s="85"/>
      <c r="F125" s="52"/>
      <c r="G125" s="85"/>
      <c r="H125" s="85"/>
      <c r="I125" s="85"/>
      <c r="J125" s="85"/>
      <c r="K125" s="52"/>
      <c r="L125" s="85"/>
      <c r="M125" s="52"/>
      <c r="N125" s="85"/>
      <c r="O125" s="85"/>
      <c r="P125" s="85"/>
      <c r="Q125" s="85"/>
      <c r="R125" s="52"/>
      <c r="S125" s="85"/>
      <c r="T125" s="52"/>
      <c r="U125" s="85"/>
      <c r="V125" s="85"/>
      <c r="W125" s="85"/>
      <c r="X125" s="85"/>
      <c r="Y125" s="52"/>
      <c r="Z125" s="85"/>
      <c r="AA125" s="52"/>
      <c r="AB125" s="85"/>
      <c r="AC125" s="85"/>
      <c r="AD125" s="85"/>
      <c r="AE125" s="85"/>
      <c r="AF125" s="52"/>
      <c r="AG125" s="85"/>
      <c r="AH125" s="86">
        <f t="shared" si="7"/>
        <v>0</v>
      </c>
      <c r="AI125" s="103" t="e">
        <f ca="1">IF(A125="O", (VALUE(_xludf.IFS(AH125=0,"0",AH125=1,"150",AH125=2,"300",AH125=3,"450",AH125=4,"600",AH125=5,"750",AH125&gt;=6,"800"))),(VALUE(_xludf.IFS(AH125=0,"0",AH125=1,"150",AH125=2,"300",AH125=3,"450",AH125=4,"600",AH125=5,"750",AH125=6,"900",AH125&gt;=7,"1,000"))))</f>
        <v>#NAME?</v>
      </c>
      <c r="AJ125" s="88" t="str">
        <f t="shared" si="8"/>
        <v>容容</v>
      </c>
      <c r="AK125" s="89"/>
    </row>
    <row r="126" spans="1:37" ht="18" customHeight="1">
      <c r="A126" s="83" t="s">
        <v>58</v>
      </c>
      <c r="B126" s="84" t="s">
        <v>117</v>
      </c>
      <c r="C126" s="85"/>
      <c r="D126" s="52"/>
      <c r="E126" s="85"/>
      <c r="F126" s="52"/>
      <c r="G126" s="85"/>
      <c r="H126" s="85"/>
      <c r="I126" s="85"/>
      <c r="J126" s="85"/>
      <c r="K126" s="52"/>
      <c r="L126" s="85"/>
      <c r="M126" s="52"/>
      <c r="N126" s="85"/>
      <c r="O126" s="85"/>
      <c r="P126" s="85"/>
      <c r="Q126" s="85"/>
      <c r="R126" s="52"/>
      <c r="S126" s="85"/>
      <c r="T126" s="52"/>
      <c r="U126" s="85"/>
      <c r="V126" s="85"/>
      <c r="W126" s="85"/>
      <c r="X126" s="85"/>
      <c r="Y126" s="52"/>
      <c r="Z126" s="85"/>
      <c r="AA126" s="52"/>
      <c r="AB126" s="85"/>
      <c r="AC126" s="85"/>
      <c r="AD126" s="85"/>
      <c r="AE126" s="85"/>
      <c r="AF126" s="52"/>
      <c r="AG126" s="85"/>
      <c r="AH126" s="86">
        <f t="shared" si="7"/>
        <v>0</v>
      </c>
      <c r="AI126" s="103" t="e">
        <f ca="1">IF(A126="O", (VALUE(_xludf.IFS(AH126=0,"0",AH126=1,"150",AH126=2,"300",AH126=3,"450",AH126=4,"600",AH126=5,"750",AH126&gt;=6,"800"))),(VALUE(_xludf.IFS(AH126=0,"0",AH126=1,"150",AH126=2,"300",AH126=3,"450",AH126=4,"600",AH126=5,"750",AH126=6,"900",AH126&gt;=7,"1,000"))))</f>
        <v>#NAME?</v>
      </c>
      <c r="AJ126" s="88" t="str">
        <f t="shared" si="8"/>
        <v>依凡</v>
      </c>
      <c r="AK126" s="89"/>
    </row>
    <row r="127" spans="1:37" ht="18" customHeight="1">
      <c r="A127" s="83" t="s">
        <v>58</v>
      </c>
      <c r="B127" s="84" t="s">
        <v>122</v>
      </c>
      <c r="C127" s="85"/>
      <c r="D127" s="52"/>
      <c r="E127" s="85"/>
      <c r="F127" s="52"/>
      <c r="G127" s="85">
        <v>1</v>
      </c>
      <c r="H127" s="85"/>
      <c r="I127" s="85"/>
      <c r="J127" s="85">
        <v>1</v>
      </c>
      <c r="K127" s="52"/>
      <c r="L127" s="85"/>
      <c r="M127" s="52"/>
      <c r="N127" s="85"/>
      <c r="O127" s="85"/>
      <c r="P127" s="85"/>
      <c r="Q127" s="85"/>
      <c r="R127" s="52"/>
      <c r="S127" s="85"/>
      <c r="T127" s="52"/>
      <c r="U127" s="85"/>
      <c r="V127" s="85"/>
      <c r="W127" s="85"/>
      <c r="X127" s="85"/>
      <c r="Y127" s="52"/>
      <c r="Z127" s="85"/>
      <c r="AA127" s="52"/>
      <c r="AB127" s="85"/>
      <c r="AC127" s="85"/>
      <c r="AD127" s="85"/>
      <c r="AE127" s="85"/>
      <c r="AF127" s="52"/>
      <c r="AG127" s="85"/>
      <c r="AH127" s="86">
        <f t="shared" si="7"/>
        <v>2</v>
      </c>
      <c r="AI127" s="103" t="e">
        <f ca="1">IF(A127="O", (VALUE(_xludf.IFS(AH127=0,"0",AH127=1,"150",AH127=2,"300",AH127=3,"450",AH127=4,"600",AH127=5,"750",AH127&gt;=6,"800"))),(VALUE(_xludf.IFS(AH127=0,"0",AH127=1,"150",AH127=2,"300",AH127=3,"450",AH127=4,"600",AH127=5,"750",AH127=6,"900",AH127&gt;=7,"1,000"))))</f>
        <v>#NAME?</v>
      </c>
      <c r="AJ127" s="88" t="str">
        <f t="shared" si="8"/>
        <v>幸恩</v>
      </c>
      <c r="AK127" s="89"/>
    </row>
    <row r="128" spans="1:37" ht="18" customHeight="1">
      <c r="A128" s="83" t="s">
        <v>58</v>
      </c>
      <c r="B128" s="84" t="s">
        <v>140</v>
      </c>
      <c r="C128" s="85"/>
      <c r="D128" s="52"/>
      <c r="E128" s="85"/>
      <c r="F128" s="52"/>
      <c r="G128" s="85"/>
      <c r="H128" s="85"/>
      <c r="I128" s="85"/>
      <c r="J128" s="85"/>
      <c r="K128" s="52"/>
      <c r="L128" s="85"/>
      <c r="M128" s="52"/>
      <c r="N128" s="85"/>
      <c r="O128" s="85"/>
      <c r="P128" s="85"/>
      <c r="Q128" s="85"/>
      <c r="R128" s="52"/>
      <c r="S128" s="85"/>
      <c r="T128" s="52"/>
      <c r="U128" s="85"/>
      <c r="V128" s="85"/>
      <c r="W128" s="85"/>
      <c r="X128" s="85"/>
      <c r="Y128" s="52"/>
      <c r="Z128" s="85"/>
      <c r="AA128" s="52"/>
      <c r="AB128" s="85"/>
      <c r="AC128" s="85"/>
      <c r="AD128" s="85"/>
      <c r="AE128" s="85"/>
      <c r="AF128" s="52"/>
      <c r="AG128" s="85"/>
      <c r="AH128" s="86">
        <f t="shared" si="7"/>
        <v>0</v>
      </c>
      <c r="AI128" s="103" t="e">
        <f ca="1">IF(A128="O", (VALUE(_xludf.IFS(AH128=0,"0",AH128=1,"150",AH128=2,"300",AH128=3,"450",AH128=4,"600",AH128=5,"750",AH128&gt;=6,"800"))),(VALUE(_xludf.IFS(AH128=0,"0",AH128=1,"150",AH128=2,"300",AH128=3,"450",AH128=4,"600",AH128=5,"750",AH128=6,"900",AH128&gt;=7,"1,000"))))</f>
        <v>#NAME?</v>
      </c>
      <c r="AJ128" s="88" t="str">
        <f t="shared" si="8"/>
        <v>芷琦</v>
      </c>
      <c r="AK128" s="89"/>
    </row>
    <row r="129" spans="1:37" ht="18" customHeight="1">
      <c r="A129" s="83" t="s">
        <v>58</v>
      </c>
      <c r="B129" s="84" t="s">
        <v>106</v>
      </c>
      <c r="C129" s="85"/>
      <c r="D129" s="52"/>
      <c r="E129" s="85"/>
      <c r="F129" s="52"/>
      <c r="G129" s="85"/>
      <c r="H129" s="85"/>
      <c r="I129" s="85"/>
      <c r="J129" s="85"/>
      <c r="K129" s="52"/>
      <c r="L129" s="85"/>
      <c r="M129" s="52"/>
      <c r="N129" s="85"/>
      <c r="O129" s="85"/>
      <c r="P129" s="85"/>
      <c r="Q129" s="85"/>
      <c r="R129" s="52"/>
      <c r="S129" s="85"/>
      <c r="T129" s="52"/>
      <c r="U129" s="85"/>
      <c r="V129" s="85"/>
      <c r="W129" s="85"/>
      <c r="X129" s="85"/>
      <c r="Y129" s="52"/>
      <c r="Z129" s="85"/>
      <c r="AA129" s="52"/>
      <c r="AB129" s="85"/>
      <c r="AC129" s="85"/>
      <c r="AD129" s="85"/>
      <c r="AE129" s="85"/>
      <c r="AF129" s="52"/>
      <c r="AG129" s="85"/>
      <c r="AH129" s="86">
        <f t="shared" si="7"/>
        <v>0</v>
      </c>
      <c r="AI129" s="103" t="e">
        <f ca="1">IF(A129="O", (VALUE(_xludf.IFS(AH129=0,"0",AH129=1,"150",AH129=2,"300",AH129=3,"450",AH129=4,"600",AH129=5,"750",AH129&gt;=6,"800"))),(VALUE(_xludf.IFS(AH129=0,"0",AH129=1,"150",AH129=2,"300",AH129=3,"450",AH129=4,"600",AH129=5,"750",AH129=6,"900",AH129&gt;=7,"1,000"))))</f>
        <v>#NAME?</v>
      </c>
      <c r="AJ129" s="88" t="str">
        <f t="shared" si="8"/>
        <v>Nina</v>
      </c>
      <c r="AK129" s="89"/>
    </row>
    <row r="130" spans="1:37" ht="18" customHeight="1">
      <c r="A130" s="83" t="s">
        <v>58</v>
      </c>
      <c r="B130" s="84" t="s">
        <v>205</v>
      </c>
      <c r="C130" s="85"/>
      <c r="D130" s="52"/>
      <c r="E130" s="85"/>
      <c r="F130" s="52"/>
      <c r="G130" s="85"/>
      <c r="H130" s="85">
        <v>1</v>
      </c>
      <c r="I130" s="85">
        <v>1</v>
      </c>
      <c r="J130" s="85"/>
      <c r="K130" s="52"/>
      <c r="L130" s="85"/>
      <c r="M130" s="52"/>
      <c r="N130" s="85"/>
      <c r="O130" s="85"/>
      <c r="P130" s="85"/>
      <c r="Q130" s="85">
        <v>1</v>
      </c>
      <c r="R130" s="52"/>
      <c r="S130" s="85"/>
      <c r="T130" s="52"/>
      <c r="U130" s="85"/>
      <c r="V130" s="85">
        <v>1</v>
      </c>
      <c r="W130" s="85"/>
      <c r="X130" s="85"/>
      <c r="Y130" s="52"/>
      <c r="Z130" s="85"/>
      <c r="AA130" s="52"/>
      <c r="AB130" s="85"/>
      <c r="AC130" s="85"/>
      <c r="AD130" s="85"/>
      <c r="AE130" s="85"/>
      <c r="AF130" s="52"/>
      <c r="AG130" s="85"/>
      <c r="AH130" s="86">
        <f t="shared" si="7"/>
        <v>4</v>
      </c>
      <c r="AI130" s="103" t="e">
        <f ca="1">IF(A130="O", (VALUE(_xludf.IFS(AH130=0,"0",AH130=1,"150",AH130=2,"300",AH130=3,"450",AH130=4,"600",AH130=5,"750",AH130&gt;=6,"800"))),(VALUE(_xludf.IFS(AH130=0,"0",AH130=1,"150",AH130=2,"300",AH130=3,"450",AH130=4,"600",AH130=5,"750",AH130=6,"900",AH130&gt;=7,"1,000"))))</f>
        <v>#NAME?</v>
      </c>
      <c r="AJ130" s="88" t="str">
        <f t="shared" si="8"/>
        <v>琬琬</v>
      </c>
      <c r="AK130" s="89"/>
    </row>
    <row r="131" spans="1:37" ht="18" customHeight="1">
      <c r="A131" s="104" t="s">
        <v>58</v>
      </c>
      <c r="B131" s="105" t="s">
        <v>41</v>
      </c>
      <c r="C131" s="106"/>
      <c r="D131" s="52"/>
      <c r="E131" s="106"/>
      <c r="F131" s="52"/>
      <c r="G131" s="106"/>
      <c r="H131" s="106"/>
      <c r="I131" s="106"/>
      <c r="J131" s="106"/>
      <c r="K131" s="52"/>
      <c r="L131" s="106"/>
      <c r="M131" s="52"/>
      <c r="N131" s="106"/>
      <c r="O131" s="106"/>
      <c r="P131" s="106"/>
      <c r="Q131" s="106"/>
      <c r="R131" s="52"/>
      <c r="S131" s="106"/>
      <c r="T131" s="52"/>
      <c r="U131" s="106"/>
      <c r="V131" s="106"/>
      <c r="W131" s="106"/>
      <c r="X131" s="106"/>
      <c r="Y131" s="52"/>
      <c r="Z131" s="106"/>
      <c r="AA131" s="52"/>
      <c r="AB131" s="106"/>
      <c r="AC131" s="106"/>
      <c r="AD131" s="106"/>
      <c r="AE131" s="106"/>
      <c r="AF131" s="52"/>
      <c r="AG131" s="106">
        <v>1</v>
      </c>
      <c r="AH131" s="107">
        <f t="shared" si="7"/>
        <v>1</v>
      </c>
      <c r="AI131" s="108" t="e">
        <f ca="1">IF(A131="O", (VALUE(_xludf.IFS(AH131=0,"0",AH131=1,"150",AH131=2,"300",AH131=3,"450",AH131=4,"600",AH131=5,"750",AH131&gt;=6,"800"))),(VALUE(_xludf.IFS(AH131=0,"0",AH131=1,"150",AH131=2,"300",AH131=3,"450",AH131=4,"600",AH131=5,"750",AH131=6,"900",AH131&gt;=7,"1,000"))))</f>
        <v>#NAME?</v>
      </c>
      <c r="AJ131" s="109" t="str">
        <f t="shared" si="8"/>
        <v>軟軟</v>
      </c>
      <c r="AK131" s="110"/>
    </row>
    <row r="132" spans="1:37" ht="18" customHeight="1">
      <c r="A132" s="104" t="s">
        <v>58</v>
      </c>
      <c r="B132" s="105" t="s">
        <v>38</v>
      </c>
      <c r="C132" s="106"/>
      <c r="D132" s="52"/>
      <c r="E132" s="106"/>
      <c r="F132" s="52"/>
      <c r="G132" s="106"/>
      <c r="H132" s="106"/>
      <c r="I132" s="106"/>
      <c r="J132" s="106"/>
      <c r="K132" s="52"/>
      <c r="L132" s="106">
        <v>1</v>
      </c>
      <c r="M132" s="52"/>
      <c r="N132" s="106"/>
      <c r="O132" s="106"/>
      <c r="P132" s="106"/>
      <c r="Q132" s="106">
        <v>1</v>
      </c>
      <c r="R132" s="52"/>
      <c r="S132" s="106"/>
      <c r="T132" s="52"/>
      <c r="U132" s="106"/>
      <c r="V132" s="106"/>
      <c r="W132" s="106"/>
      <c r="X132" s="106"/>
      <c r="Y132" s="52"/>
      <c r="Z132" s="106"/>
      <c r="AA132" s="52"/>
      <c r="AB132" s="106"/>
      <c r="AC132" s="106"/>
      <c r="AD132" s="106"/>
      <c r="AE132" s="106"/>
      <c r="AF132" s="52"/>
      <c r="AG132" s="106"/>
      <c r="AH132" s="107">
        <f t="shared" ref="AH132:AH163" si="9">COUNTA(C132:AG132)</f>
        <v>2</v>
      </c>
      <c r="AI132" s="108">
        <v>1000</v>
      </c>
      <c r="AJ132" s="109" t="str">
        <f t="shared" si="8"/>
        <v>阿龍</v>
      </c>
      <c r="AK132" s="110"/>
    </row>
    <row r="133" spans="1:37" ht="18" customHeight="1">
      <c r="A133" s="104" t="s">
        <v>58</v>
      </c>
      <c r="B133" s="105" t="s">
        <v>42</v>
      </c>
      <c r="C133" s="106"/>
      <c r="D133" s="52"/>
      <c r="E133" s="106"/>
      <c r="F133" s="52"/>
      <c r="G133" s="106"/>
      <c r="H133" s="106"/>
      <c r="I133" s="106"/>
      <c r="J133" s="106"/>
      <c r="K133" s="52"/>
      <c r="L133" s="106"/>
      <c r="M133" s="52"/>
      <c r="N133" s="106"/>
      <c r="O133" s="106"/>
      <c r="P133" s="106"/>
      <c r="Q133" s="106"/>
      <c r="R133" s="52"/>
      <c r="S133" s="106"/>
      <c r="T133" s="52"/>
      <c r="U133" s="106"/>
      <c r="V133" s="106"/>
      <c r="W133" s="106"/>
      <c r="X133" s="106"/>
      <c r="Y133" s="52"/>
      <c r="Z133" s="106"/>
      <c r="AA133" s="52"/>
      <c r="AB133" s="106"/>
      <c r="AC133" s="106"/>
      <c r="AD133" s="106"/>
      <c r="AE133" s="106"/>
      <c r="AF133" s="52"/>
      <c r="AG133" s="106"/>
      <c r="AH133" s="107">
        <f t="shared" si="9"/>
        <v>0</v>
      </c>
      <c r="AI133" s="108">
        <v>1000</v>
      </c>
      <c r="AJ133" s="109" t="str">
        <f t="shared" si="8"/>
        <v>屎蛋</v>
      </c>
      <c r="AK133" s="110"/>
    </row>
    <row r="134" spans="1:37" ht="18" customHeight="1">
      <c r="A134" s="104" t="s">
        <v>58</v>
      </c>
      <c r="B134" s="105" t="s">
        <v>87</v>
      </c>
      <c r="C134" s="106">
        <v>1</v>
      </c>
      <c r="D134" s="52"/>
      <c r="E134" s="106">
        <v>1</v>
      </c>
      <c r="F134" s="52"/>
      <c r="G134" s="106">
        <v>1</v>
      </c>
      <c r="H134" s="106">
        <v>1</v>
      </c>
      <c r="I134" s="106"/>
      <c r="J134" s="106"/>
      <c r="K134" s="52"/>
      <c r="L134" s="106"/>
      <c r="M134" s="52"/>
      <c r="N134" s="106"/>
      <c r="O134" s="106"/>
      <c r="P134" s="106"/>
      <c r="Q134" s="106">
        <v>1</v>
      </c>
      <c r="R134" s="52"/>
      <c r="S134" s="106"/>
      <c r="T134" s="52"/>
      <c r="U134" s="106"/>
      <c r="V134" s="106"/>
      <c r="W134" s="106"/>
      <c r="X134" s="106"/>
      <c r="Y134" s="52"/>
      <c r="Z134" s="106"/>
      <c r="AA134" s="52"/>
      <c r="AB134" s="106"/>
      <c r="AC134" s="106">
        <v>1</v>
      </c>
      <c r="AD134" s="106">
        <v>1</v>
      </c>
      <c r="AE134" s="106"/>
      <c r="AF134" s="52"/>
      <c r="AG134" s="106">
        <v>1</v>
      </c>
      <c r="AH134" s="107">
        <f t="shared" si="9"/>
        <v>8</v>
      </c>
      <c r="AI134" s="108">
        <v>1000</v>
      </c>
      <c r="AJ134" s="109" t="str">
        <f t="shared" si="8"/>
        <v>Mango</v>
      </c>
      <c r="AK134" s="110"/>
    </row>
  </sheetData>
  <mergeCells count="5">
    <mergeCell ref="AI1:AI3"/>
    <mergeCell ref="AJ1:AJ3"/>
    <mergeCell ref="AH1:AH3"/>
    <mergeCell ref="A1:B1"/>
    <mergeCell ref="AK1:AK2"/>
  </mergeCells>
  <phoneticPr fontId="12" type="noConversion"/>
  <printOptions horizontalCentered="1" gridLines="1"/>
  <pageMargins left="0.25" right="0.25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A9999"/>
    <outlinePr summaryBelow="0" summaryRight="0"/>
  </sheetPr>
  <dimension ref="A1:AI13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0" width="4.81640625" customWidth="1"/>
    <col min="31" max="32" width="4.453125" customWidth="1"/>
    <col min="33" max="33" width="6" customWidth="1"/>
    <col min="34" max="34" width="6.1796875" customWidth="1"/>
    <col min="35" max="35" width="13.26953125" customWidth="1"/>
  </cols>
  <sheetData>
    <row r="1" spans="1:35" ht="18" customHeight="1">
      <c r="A1" s="287" t="s">
        <v>0</v>
      </c>
      <c r="B1" s="280"/>
      <c r="C1" s="52"/>
      <c r="D1" s="51" t="s">
        <v>184</v>
      </c>
      <c r="E1" s="51" t="s">
        <v>207</v>
      </c>
      <c r="F1" s="51" t="s">
        <v>207</v>
      </c>
      <c r="G1" s="51" t="s">
        <v>182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1" t="s">
        <v>184</v>
      </c>
      <c r="S1" s="52"/>
      <c r="T1" s="51" t="s">
        <v>186</v>
      </c>
      <c r="U1" s="51" t="s">
        <v>182</v>
      </c>
      <c r="V1" s="52"/>
      <c r="W1" s="51" t="s">
        <v>183</v>
      </c>
      <c r="X1" s="52"/>
      <c r="Y1" s="51" t="s">
        <v>184</v>
      </c>
      <c r="Z1" s="52"/>
      <c r="AA1" s="51" t="s">
        <v>186</v>
      </c>
      <c r="AB1" s="51" t="s">
        <v>182</v>
      </c>
      <c r="AC1" s="52"/>
      <c r="AD1" s="51" t="s">
        <v>184</v>
      </c>
      <c r="AE1" s="52"/>
      <c r="AF1" s="286" t="s">
        <v>6</v>
      </c>
      <c r="AG1" s="284" t="s">
        <v>7</v>
      </c>
      <c r="AH1" s="285" t="s">
        <v>172</v>
      </c>
      <c r="AI1" s="288" t="s">
        <v>1</v>
      </c>
    </row>
    <row r="2" spans="1:35" ht="18" customHeight="1">
      <c r="A2" s="53" t="s">
        <v>2</v>
      </c>
      <c r="B2" s="54" t="s">
        <v>3</v>
      </c>
      <c r="C2" s="56">
        <v>45323</v>
      </c>
      <c r="D2" s="55">
        <v>45324</v>
      </c>
      <c r="E2" s="55">
        <v>45325</v>
      </c>
      <c r="F2" s="55">
        <v>45326</v>
      </c>
      <c r="G2" s="55">
        <v>45327</v>
      </c>
      <c r="H2" s="56">
        <v>45328</v>
      </c>
      <c r="I2" s="56">
        <v>45329</v>
      </c>
      <c r="J2" s="56">
        <v>45330</v>
      </c>
      <c r="K2" s="56">
        <v>45331</v>
      </c>
      <c r="L2" s="56">
        <v>45332</v>
      </c>
      <c r="M2" s="56">
        <v>45333</v>
      </c>
      <c r="N2" s="56">
        <v>45334</v>
      </c>
      <c r="O2" s="56">
        <v>45335</v>
      </c>
      <c r="P2" s="56">
        <v>45336</v>
      </c>
      <c r="Q2" s="56">
        <v>45337</v>
      </c>
      <c r="R2" s="55">
        <v>45338</v>
      </c>
      <c r="S2" s="56">
        <v>45339</v>
      </c>
      <c r="T2" s="55">
        <v>45340</v>
      </c>
      <c r="U2" s="55">
        <v>45341</v>
      </c>
      <c r="V2" s="56">
        <v>45342</v>
      </c>
      <c r="W2" s="55">
        <v>45343</v>
      </c>
      <c r="X2" s="56">
        <v>45344</v>
      </c>
      <c r="Y2" s="55">
        <v>45345</v>
      </c>
      <c r="Z2" s="56">
        <v>45346</v>
      </c>
      <c r="AA2" s="55">
        <v>45347</v>
      </c>
      <c r="AB2" s="55">
        <v>45348</v>
      </c>
      <c r="AC2" s="56">
        <v>45349</v>
      </c>
      <c r="AD2" s="55">
        <v>45350</v>
      </c>
      <c r="AE2" s="56">
        <v>45351</v>
      </c>
      <c r="AF2" s="282"/>
      <c r="AG2" s="277"/>
      <c r="AH2" s="272"/>
      <c r="AI2" s="275"/>
    </row>
    <row r="3" spans="1:35" ht="18" customHeight="1">
      <c r="A3" s="53" t="s">
        <v>4</v>
      </c>
      <c r="B3" s="54" t="s">
        <v>5</v>
      </c>
      <c r="C3" s="52">
        <f t="shared" ref="C3:AE3" si="0">WEEKDAY(C2-1)</f>
        <v>4</v>
      </c>
      <c r="D3" s="51">
        <f t="shared" si="0"/>
        <v>5</v>
      </c>
      <c r="E3" s="51">
        <f t="shared" si="0"/>
        <v>6</v>
      </c>
      <c r="F3" s="51">
        <f t="shared" si="0"/>
        <v>7</v>
      </c>
      <c r="G3" s="51">
        <f t="shared" si="0"/>
        <v>1</v>
      </c>
      <c r="H3" s="52">
        <f t="shared" si="0"/>
        <v>2</v>
      </c>
      <c r="I3" s="52">
        <f t="shared" si="0"/>
        <v>3</v>
      </c>
      <c r="J3" s="52">
        <f t="shared" si="0"/>
        <v>4</v>
      </c>
      <c r="K3" s="52">
        <f t="shared" si="0"/>
        <v>5</v>
      </c>
      <c r="L3" s="52">
        <f t="shared" si="0"/>
        <v>6</v>
      </c>
      <c r="M3" s="52">
        <f t="shared" si="0"/>
        <v>7</v>
      </c>
      <c r="N3" s="52">
        <f t="shared" si="0"/>
        <v>1</v>
      </c>
      <c r="O3" s="52">
        <f t="shared" si="0"/>
        <v>2</v>
      </c>
      <c r="P3" s="52">
        <f t="shared" si="0"/>
        <v>3</v>
      </c>
      <c r="Q3" s="52">
        <f t="shared" si="0"/>
        <v>4</v>
      </c>
      <c r="R3" s="51">
        <f t="shared" si="0"/>
        <v>5</v>
      </c>
      <c r="S3" s="52">
        <f t="shared" si="0"/>
        <v>6</v>
      </c>
      <c r="T3" s="51">
        <f t="shared" si="0"/>
        <v>7</v>
      </c>
      <c r="U3" s="51">
        <f t="shared" si="0"/>
        <v>1</v>
      </c>
      <c r="V3" s="52">
        <f t="shared" si="0"/>
        <v>2</v>
      </c>
      <c r="W3" s="51">
        <f t="shared" si="0"/>
        <v>3</v>
      </c>
      <c r="X3" s="52">
        <f t="shared" si="0"/>
        <v>4</v>
      </c>
      <c r="Y3" s="51">
        <f t="shared" si="0"/>
        <v>5</v>
      </c>
      <c r="Z3" s="52">
        <f t="shared" si="0"/>
        <v>6</v>
      </c>
      <c r="AA3" s="51">
        <f t="shared" si="0"/>
        <v>7</v>
      </c>
      <c r="AB3" s="51">
        <f t="shared" si="0"/>
        <v>1</v>
      </c>
      <c r="AC3" s="52">
        <f t="shared" si="0"/>
        <v>2</v>
      </c>
      <c r="AD3" s="51">
        <f t="shared" si="0"/>
        <v>3</v>
      </c>
      <c r="AE3" s="52">
        <f t="shared" si="0"/>
        <v>4</v>
      </c>
      <c r="AF3" s="283"/>
      <c r="AG3" s="278"/>
      <c r="AH3" s="273"/>
      <c r="AI3" s="62" t="e">
        <f ca="1">SUM(AG4:AG135)</f>
        <v>#NAME?</v>
      </c>
    </row>
    <row r="4" spans="1:35" ht="18" customHeight="1">
      <c r="A4" s="63" t="s">
        <v>174</v>
      </c>
      <c r="B4" s="64" t="s">
        <v>10</v>
      </c>
      <c r="C4" s="52"/>
      <c r="D4" s="65"/>
      <c r="E4" s="65"/>
      <c r="F4" s="65"/>
      <c r="G4" s="65"/>
      <c r="H4" s="52"/>
      <c r="I4" s="52"/>
      <c r="J4" s="52"/>
      <c r="K4" s="52"/>
      <c r="L4" s="52"/>
      <c r="M4" s="52"/>
      <c r="N4" s="52"/>
      <c r="O4" s="52"/>
      <c r="P4" s="52"/>
      <c r="Q4" s="52"/>
      <c r="R4" s="65">
        <v>1</v>
      </c>
      <c r="S4" s="52"/>
      <c r="T4" s="65"/>
      <c r="U4" s="65"/>
      <c r="V4" s="52"/>
      <c r="W4" s="65"/>
      <c r="X4" s="52"/>
      <c r="Y4" s="65">
        <v>1</v>
      </c>
      <c r="Z4" s="52"/>
      <c r="AA4" s="65">
        <v>1</v>
      </c>
      <c r="AB4" s="65">
        <v>1</v>
      </c>
      <c r="AC4" s="52"/>
      <c r="AD4" s="65"/>
      <c r="AE4" s="67"/>
      <c r="AF4" s="66">
        <f>COUNTA(C4:AE4)</f>
        <v>4</v>
      </c>
      <c r="AG4" s="68">
        <v>800</v>
      </c>
      <c r="AH4" s="69" t="str">
        <f t="shared" ref="AH4:AH35" si="1">B4</f>
        <v>阿發</v>
      </c>
      <c r="AI4" s="70" t="s">
        <v>213</v>
      </c>
    </row>
    <row r="5" spans="1:35" ht="18" customHeight="1">
      <c r="A5" s="63" t="s">
        <v>174</v>
      </c>
      <c r="B5" s="64" t="s">
        <v>13</v>
      </c>
      <c r="C5" s="52"/>
      <c r="D5" s="65">
        <v>1</v>
      </c>
      <c r="E5" s="65"/>
      <c r="F5" s="65"/>
      <c r="G5" s="65">
        <v>1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65">
        <v>1</v>
      </c>
      <c r="S5" s="52"/>
      <c r="T5" s="65"/>
      <c r="U5" s="65"/>
      <c r="V5" s="52"/>
      <c r="W5" s="65">
        <v>1</v>
      </c>
      <c r="X5" s="52"/>
      <c r="Y5" s="65">
        <v>1</v>
      </c>
      <c r="Z5" s="52"/>
      <c r="AA5" s="65">
        <v>1</v>
      </c>
      <c r="AB5" s="65">
        <v>1</v>
      </c>
      <c r="AC5" s="52"/>
      <c r="AD5" s="65"/>
      <c r="AE5" s="67"/>
      <c r="AF5" s="66">
        <f t="shared" ref="AF5:AF36" si="2">COUNTA(C5:AD5)</f>
        <v>7</v>
      </c>
      <c r="AG5" s="68" t="e">
        <f ca="1">IF(A5="O", (VALUE(_xludf.IFS(AF5=0,"0",AF5=1,"150",AF5=2,"300",AF5=3,"450",AF5=4,"600",AF5=5,"750",AF5&gt;=6,"800"))),(VALUE(_xludf.IFS(AF5=0,"0",AF5=1,"150",AF5=2,"300",AF5=3,"450",AF5=4,"600",AF5=5,"750",AF5=6,"900",AF5&gt;=7,"1,000"))))/2</f>
        <v>#NAME?</v>
      </c>
      <c r="AH5" s="71" t="str">
        <f t="shared" si="1"/>
        <v>李洋</v>
      </c>
      <c r="AI5" s="70"/>
    </row>
    <row r="6" spans="1:35" ht="18" customHeight="1">
      <c r="A6" s="63" t="s">
        <v>174</v>
      </c>
      <c r="B6" s="64" t="s">
        <v>11</v>
      </c>
      <c r="C6" s="52"/>
      <c r="D6" s="65">
        <v>1</v>
      </c>
      <c r="E6" s="65"/>
      <c r="F6" s="65"/>
      <c r="G6" s="65"/>
      <c r="H6" s="52"/>
      <c r="I6" s="52"/>
      <c r="J6" s="52"/>
      <c r="K6" s="52"/>
      <c r="L6" s="52"/>
      <c r="M6" s="52"/>
      <c r="N6" s="52"/>
      <c r="O6" s="52"/>
      <c r="P6" s="52"/>
      <c r="Q6" s="52"/>
      <c r="R6" s="65">
        <v>1</v>
      </c>
      <c r="S6" s="52"/>
      <c r="T6" s="65"/>
      <c r="U6" s="65">
        <v>1</v>
      </c>
      <c r="V6" s="52"/>
      <c r="W6" s="65">
        <v>1</v>
      </c>
      <c r="X6" s="52"/>
      <c r="Y6" s="65">
        <v>1</v>
      </c>
      <c r="Z6" s="52"/>
      <c r="AA6" s="65"/>
      <c r="AB6" s="65">
        <v>1</v>
      </c>
      <c r="AC6" s="52"/>
      <c r="AD6" s="65">
        <v>1</v>
      </c>
      <c r="AE6" s="67"/>
      <c r="AF6" s="66">
        <f t="shared" si="2"/>
        <v>7</v>
      </c>
      <c r="AG6" s="68" t="e">
        <f ca="1">IF(A6="O", (VALUE(_xludf.IFS(AF6=0,"0",AF6=1,"150",AF6=2,"300",AF6=3,"450",AF6=4,"600",AF6=5,"750",AF6&gt;=6,"800"))),(VALUE(_xludf.IFS(AF6=0,"0",AF6=1,"150",AF6=2,"300",AF6=3,"450",AF6=4,"600",AF6=5,"750",AF6=6,"900",AF6&gt;=7,"1,000"))))/2</f>
        <v>#NAME?</v>
      </c>
      <c r="AH6" s="71" t="str">
        <f t="shared" si="1"/>
        <v>捷升</v>
      </c>
      <c r="AI6" s="70" t="s">
        <v>213</v>
      </c>
    </row>
    <row r="7" spans="1:35" ht="18" customHeight="1">
      <c r="A7" s="63" t="s">
        <v>174</v>
      </c>
      <c r="B7" s="64" t="s">
        <v>19</v>
      </c>
      <c r="C7" s="52"/>
      <c r="D7" s="65">
        <v>1</v>
      </c>
      <c r="E7" s="65"/>
      <c r="F7" s="65"/>
      <c r="G7" s="65">
        <v>1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65">
        <v>1</v>
      </c>
      <c r="S7" s="52"/>
      <c r="T7" s="65"/>
      <c r="U7" s="65">
        <v>1</v>
      </c>
      <c r="V7" s="52"/>
      <c r="W7" s="65">
        <v>1</v>
      </c>
      <c r="X7" s="52"/>
      <c r="Y7" s="65">
        <v>1</v>
      </c>
      <c r="Z7" s="52"/>
      <c r="AA7" s="65">
        <v>1</v>
      </c>
      <c r="AB7" s="65">
        <v>1</v>
      </c>
      <c r="AC7" s="52"/>
      <c r="AD7" s="65">
        <v>1</v>
      </c>
      <c r="AE7" s="67"/>
      <c r="AF7" s="66">
        <f t="shared" si="2"/>
        <v>9</v>
      </c>
      <c r="AG7" s="68" t="e">
        <f ca="1">IF(A7="O", (VALUE(_xludf.IFS(AF7=0,"0",AF7=1,"150",AF7=2,"300",AF7=3,"450",AF7=4,"600",AF7=5,"750",AF7&gt;=6,"800"))),(VALUE(_xludf.IFS(AF7=0,"0",AF7=1,"150",AF7=2,"300",AF7=3,"450",AF7=4,"600",AF7=5,"750",AF7=6,"900",AF7&gt;=7,"1,000"))))/2</f>
        <v>#NAME?</v>
      </c>
      <c r="AH7" s="71" t="str">
        <f t="shared" si="1"/>
        <v>青蛙</v>
      </c>
      <c r="AI7" s="70"/>
    </row>
    <row r="8" spans="1:35" ht="18" customHeight="1">
      <c r="A8" s="63" t="s">
        <v>174</v>
      </c>
      <c r="B8" s="64" t="s">
        <v>14</v>
      </c>
      <c r="C8" s="52"/>
      <c r="D8" s="65">
        <v>1</v>
      </c>
      <c r="E8" s="65"/>
      <c r="F8" s="65"/>
      <c r="G8" s="65">
        <v>1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65">
        <v>1</v>
      </c>
      <c r="S8" s="52"/>
      <c r="T8" s="65"/>
      <c r="U8" s="65"/>
      <c r="V8" s="52"/>
      <c r="W8" s="65">
        <v>1</v>
      </c>
      <c r="X8" s="52"/>
      <c r="Y8" s="65">
        <v>1</v>
      </c>
      <c r="Z8" s="52"/>
      <c r="AA8" s="65">
        <v>1</v>
      </c>
      <c r="AB8" s="65">
        <v>1</v>
      </c>
      <c r="AC8" s="52"/>
      <c r="AD8" s="65"/>
      <c r="AE8" s="67"/>
      <c r="AF8" s="66">
        <f t="shared" si="2"/>
        <v>7</v>
      </c>
      <c r="AG8" s="68" t="e">
        <f ca="1">IF(A8="O", (VALUE(_xludf.IFS(AF8=0,"0",AF8=1,"150",AF8=2,"300",AF8=3,"450",AF8=4,"600",AF8=5,"750",AF8&gt;=6,"800"))),(VALUE(_xludf.IFS(AF8=0,"0",AF8=1,"150",AF8=2,"300",AF8=3,"450",AF8=4,"600",AF8=5,"750",AF8=6,"900",AF8&gt;=7,"1,000"))))/2</f>
        <v>#NAME?</v>
      </c>
      <c r="AH8" s="71" t="str">
        <f t="shared" si="1"/>
        <v>曉明</v>
      </c>
      <c r="AI8" s="70"/>
    </row>
    <row r="9" spans="1:35" ht="18" customHeight="1">
      <c r="A9" s="63" t="s">
        <v>174</v>
      </c>
      <c r="B9" s="64" t="s">
        <v>18</v>
      </c>
      <c r="C9" s="52"/>
      <c r="D9" s="65">
        <v>1</v>
      </c>
      <c r="E9" s="65">
        <v>1</v>
      </c>
      <c r="F9" s="65">
        <v>1</v>
      </c>
      <c r="G9" s="65">
        <v>1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65">
        <v>1</v>
      </c>
      <c r="S9" s="52"/>
      <c r="T9" s="65"/>
      <c r="U9" s="65"/>
      <c r="V9" s="52"/>
      <c r="W9" s="65">
        <v>1</v>
      </c>
      <c r="X9" s="52"/>
      <c r="Y9" s="65">
        <v>1</v>
      </c>
      <c r="Z9" s="52"/>
      <c r="AA9" s="65">
        <v>1</v>
      </c>
      <c r="AB9" s="65">
        <v>1</v>
      </c>
      <c r="AC9" s="52"/>
      <c r="AD9" s="65"/>
      <c r="AE9" s="67"/>
      <c r="AF9" s="66">
        <f t="shared" si="2"/>
        <v>9</v>
      </c>
      <c r="AG9" s="68" t="e">
        <f ca="1">IF(A9="O", (VALUE(_xludf.IFS(AF9=0,"0",AF9=1,"150",AF9=2,"300",AF9=3,"450",AF9=4,"600",AF9=5,"750",AF9&gt;=6,"800"))),(VALUE(_xludf.IFS(AF9=0,"0",AF9=1,"150",AF9=2,"300",AF9=3,"450",AF9=4,"600",AF9=5,"750",AF9=6,"900",AF9&gt;=7,"1,000"))))</f>
        <v>#NAME?</v>
      </c>
      <c r="AH9" s="69" t="str">
        <f t="shared" si="1"/>
        <v>皓元</v>
      </c>
      <c r="AI9" s="70"/>
    </row>
    <row r="10" spans="1:35" ht="18" customHeight="1">
      <c r="A10" s="63" t="s">
        <v>174</v>
      </c>
      <c r="B10" s="64" t="s">
        <v>21</v>
      </c>
      <c r="C10" s="52"/>
      <c r="D10" s="65"/>
      <c r="E10" s="65"/>
      <c r="F10" s="65"/>
      <c r="G10" s="65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65"/>
      <c r="S10" s="52"/>
      <c r="T10" s="65"/>
      <c r="U10" s="65"/>
      <c r="V10" s="52"/>
      <c r="W10" s="65"/>
      <c r="X10" s="52"/>
      <c r="Y10" s="65"/>
      <c r="Z10" s="52"/>
      <c r="AA10" s="65">
        <v>1</v>
      </c>
      <c r="AB10" s="65">
        <v>1</v>
      </c>
      <c r="AC10" s="52"/>
      <c r="AD10" s="65"/>
      <c r="AE10" s="67"/>
      <c r="AF10" s="66">
        <f t="shared" si="2"/>
        <v>2</v>
      </c>
      <c r="AG10" s="68" t="e">
        <f ca="1">IF(A10="O", (VALUE(_xludf.IFS(AF10=0,"0",AF10=1,"150",AF10=2,"300",AF10=3,"450",AF10=4,"600",AF10=5,"750",AF10&gt;=6,"800"))),(VALUE(_xludf.IFS(AF10=0,"0",AF10=1,"150",AF10=2,"300",AF10=3,"450",AF10=4,"600",AF10=5,"750",AF10=6,"900",AF10&gt;=7,"1,000"))))</f>
        <v>#NAME?</v>
      </c>
      <c r="AH10" s="69" t="str">
        <f t="shared" si="1"/>
        <v>晧全</v>
      </c>
      <c r="AI10" s="70"/>
    </row>
    <row r="11" spans="1:35" ht="18" customHeight="1">
      <c r="A11" s="63" t="s">
        <v>174</v>
      </c>
      <c r="B11" s="64" t="s">
        <v>72</v>
      </c>
      <c r="C11" s="52"/>
      <c r="D11" s="65"/>
      <c r="E11" s="65"/>
      <c r="F11" s="65"/>
      <c r="G11" s="65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65"/>
      <c r="S11" s="52"/>
      <c r="T11" s="65"/>
      <c r="U11" s="65"/>
      <c r="V11" s="52"/>
      <c r="W11" s="65"/>
      <c r="X11" s="52"/>
      <c r="Y11" s="65"/>
      <c r="Z11" s="52"/>
      <c r="AA11" s="65"/>
      <c r="AB11" s="65"/>
      <c r="AC11" s="52"/>
      <c r="AD11" s="65"/>
      <c r="AE11" s="67"/>
      <c r="AF11" s="66">
        <f t="shared" si="2"/>
        <v>0</v>
      </c>
      <c r="AG11" s="68" t="e">
        <f ca="1">IF(A11="O", (VALUE(_xludf.IFS(AF11=0,"0",AF11=1,"150",AF11=2,"300",AF11=3,"450",AF11=4,"600",AF11=5,"750",AF11&gt;=6,"800"))),(VALUE(_xludf.IFS(AF11=0,"0",AF11=1,"150",AF11=2,"300",AF11=3,"450",AF11=4,"600",AF11=5,"750",AF11=6,"900",AF11&gt;=7,"1,000"))))</f>
        <v>#NAME?</v>
      </c>
      <c r="AH11" s="69" t="str">
        <f t="shared" si="1"/>
        <v>八卦</v>
      </c>
      <c r="AI11" s="70"/>
    </row>
    <row r="12" spans="1:35" ht="18" customHeight="1">
      <c r="A12" s="63" t="s">
        <v>174</v>
      </c>
      <c r="B12" s="64" t="s">
        <v>175</v>
      </c>
      <c r="C12" s="52"/>
      <c r="D12" s="65"/>
      <c r="E12" s="65"/>
      <c r="F12" s="65"/>
      <c r="G12" s="65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65"/>
      <c r="S12" s="52"/>
      <c r="T12" s="65"/>
      <c r="U12" s="65"/>
      <c r="V12" s="52"/>
      <c r="W12" s="65">
        <v>1</v>
      </c>
      <c r="X12" s="52"/>
      <c r="Y12" s="65"/>
      <c r="Z12" s="52"/>
      <c r="AA12" s="65">
        <v>1</v>
      </c>
      <c r="AB12" s="65">
        <v>1</v>
      </c>
      <c r="AC12" s="52"/>
      <c r="AD12" s="65"/>
      <c r="AE12" s="67"/>
      <c r="AF12" s="66">
        <f t="shared" si="2"/>
        <v>3</v>
      </c>
      <c r="AG12" s="68">
        <v>800</v>
      </c>
      <c r="AH12" s="69" t="str">
        <f t="shared" si="1"/>
        <v>咪咪</v>
      </c>
      <c r="AI12" s="70" t="s">
        <v>213</v>
      </c>
    </row>
    <row r="13" spans="1:35" ht="18" customHeight="1">
      <c r="A13" s="63" t="s">
        <v>174</v>
      </c>
      <c r="B13" s="64" t="s">
        <v>17</v>
      </c>
      <c r="C13" s="52"/>
      <c r="D13" s="65"/>
      <c r="E13" s="65"/>
      <c r="F13" s="65"/>
      <c r="G13" s="65">
        <v>1</v>
      </c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65"/>
      <c r="S13" s="52"/>
      <c r="T13" s="65"/>
      <c r="U13" s="65"/>
      <c r="V13" s="52"/>
      <c r="W13" s="65"/>
      <c r="X13" s="52"/>
      <c r="Y13" s="65"/>
      <c r="Z13" s="52"/>
      <c r="AA13" s="65">
        <v>1</v>
      </c>
      <c r="AB13" s="65">
        <v>1</v>
      </c>
      <c r="AC13" s="52"/>
      <c r="AD13" s="65"/>
      <c r="AE13" s="67"/>
      <c r="AF13" s="66">
        <f t="shared" si="2"/>
        <v>3</v>
      </c>
      <c r="AG13" s="68" t="e">
        <f ca="1">IF(A13="O", (VALUE(_xludf.IFS(AF13=0,"0",AF13=1,"150",AF13=2,"300",AF13=3,"450",AF13=4,"600",AF13=5,"750",AF13&gt;=6,"800"))),(VALUE(_xludf.IFS(AF13=0,"0",AF13=1,"150",AF13=2,"300",AF13=3,"450",AF13=4,"600",AF13=5,"750",AF13=6,"900",AF13&gt;=7,"1,000"))))</f>
        <v>#NAME?</v>
      </c>
      <c r="AH13" s="69" t="str">
        <f t="shared" si="1"/>
        <v>光曜</v>
      </c>
      <c r="AI13" s="72"/>
    </row>
    <row r="14" spans="1:35" ht="18" customHeight="1">
      <c r="A14" s="63" t="s">
        <v>174</v>
      </c>
      <c r="B14" s="64" t="s">
        <v>15</v>
      </c>
      <c r="C14" s="52"/>
      <c r="D14" s="65">
        <v>1</v>
      </c>
      <c r="E14" s="65"/>
      <c r="F14" s="65"/>
      <c r="G14" s="65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65">
        <v>1</v>
      </c>
      <c r="S14" s="52"/>
      <c r="T14" s="65"/>
      <c r="U14" s="65"/>
      <c r="V14" s="52"/>
      <c r="W14" s="65"/>
      <c r="X14" s="52"/>
      <c r="Y14" s="65">
        <v>1</v>
      </c>
      <c r="Z14" s="52"/>
      <c r="AA14" s="65"/>
      <c r="AB14" s="65">
        <v>1</v>
      </c>
      <c r="AC14" s="52"/>
      <c r="AD14" s="65"/>
      <c r="AE14" s="67"/>
      <c r="AF14" s="66">
        <f t="shared" si="2"/>
        <v>4</v>
      </c>
      <c r="AG14" s="68">
        <v>800</v>
      </c>
      <c r="AH14" s="69" t="str">
        <f t="shared" si="1"/>
        <v>大支</v>
      </c>
      <c r="AI14" s="70" t="s">
        <v>213</v>
      </c>
    </row>
    <row r="15" spans="1:35" ht="18" customHeight="1">
      <c r="A15" s="63" t="s">
        <v>174</v>
      </c>
      <c r="B15" s="64" t="s">
        <v>61</v>
      </c>
      <c r="C15" s="52"/>
      <c r="D15" s="65">
        <v>1</v>
      </c>
      <c r="E15" s="65"/>
      <c r="F15" s="65"/>
      <c r="G15" s="65">
        <v>1</v>
      </c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65">
        <v>1</v>
      </c>
      <c r="S15" s="52"/>
      <c r="T15" s="65"/>
      <c r="U15" s="65"/>
      <c r="V15" s="52"/>
      <c r="W15" s="65"/>
      <c r="X15" s="52"/>
      <c r="Y15" s="65"/>
      <c r="Z15" s="52"/>
      <c r="AA15" s="65"/>
      <c r="AB15" s="65">
        <v>1</v>
      </c>
      <c r="AC15" s="52"/>
      <c r="AD15" s="65"/>
      <c r="AE15" s="67"/>
      <c r="AF15" s="66">
        <f t="shared" si="2"/>
        <v>4</v>
      </c>
      <c r="AG15" s="68" t="e">
        <f ca="1">IF(A15="O", (VALUE(_xludf.IFS(AF15=0,"0",AF15=1,"150",AF15=2,"300",AF15=3,"450",AF15=4,"600",AF15=5,"750",AF15&gt;=6,"800"))),(VALUE(_xludf.IFS(AF15=0,"0",AF15=1,"150",AF15=2,"300",AF15=3,"450",AF15=4,"600",AF15=5,"750",AF15=6,"900",AF15&gt;=7,"1,000"))))</f>
        <v>#NAME?</v>
      </c>
      <c r="AH15" s="69" t="str">
        <f t="shared" si="1"/>
        <v>韋融</v>
      </c>
      <c r="AI15" s="72"/>
    </row>
    <row r="16" spans="1:35" ht="18" customHeight="1">
      <c r="A16" s="63" t="s">
        <v>174</v>
      </c>
      <c r="B16" s="64" t="s">
        <v>20</v>
      </c>
      <c r="C16" s="52"/>
      <c r="D16" s="65">
        <v>1</v>
      </c>
      <c r="E16" s="65">
        <v>1</v>
      </c>
      <c r="F16" s="65"/>
      <c r="G16" s="65">
        <v>1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65">
        <v>1</v>
      </c>
      <c r="S16" s="52"/>
      <c r="T16" s="65">
        <v>1</v>
      </c>
      <c r="U16" s="65"/>
      <c r="V16" s="52"/>
      <c r="W16" s="65"/>
      <c r="X16" s="52"/>
      <c r="Y16" s="65">
        <v>1</v>
      </c>
      <c r="Z16" s="52"/>
      <c r="AA16" s="65">
        <v>1</v>
      </c>
      <c r="AB16" s="65">
        <v>1</v>
      </c>
      <c r="AC16" s="52"/>
      <c r="AD16" s="65"/>
      <c r="AE16" s="67"/>
      <c r="AF16" s="66">
        <f t="shared" si="2"/>
        <v>8</v>
      </c>
      <c r="AG16" s="68" t="e">
        <f ca="1">IF(A16="O", (VALUE(_xludf.IFS(AF16=0,"0",AF16=1,"150",AF16=2,"300",AF16=3,"450",AF16=4,"600",AF16=5,"750",AF16&gt;=6,"800"))),(VALUE(_xludf.IFS(AF16=0,"0",AF16=1,"150",AF16=2,"300",AF16=3,"450",AF16=4,"600",AF16=5,"750",AF16=6,"900",AF16&gt;=7,"1,000"))))</f>
        <v>#NAME?</v>
      </c>
      <c r="AH16" s="69" t="str">
        <f t="shared" si="1"/>
        <v>港弟</v>
      </c>
      <c r="AI16" s="70" t="s">
        <v>213</v>
      </c>
    </row>
    <row r="17" spans="1:35" ht="18" customHeight="1">
      <c r="A17" s="63" t="s">
        <v>174</v>
      </c>
      <c r="B17" s="64" t="s">
        <v>16</v>
      </c>
      <c r="C17" s="52"/>
      <c r="D17" s="65">
        <v>1</v>
      </c>
      <c r="E17" s="65"/>
      <c r="F17" s="65"/>
      <c r="G17" s="65">
        <v>1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65">
        <v>1</v>
      </c>
      <c r="S17" s="52"/>
      <c r="T17" s="65"/>
      <c r="U17" s="65"/>
      <c r="V17" s="52"/>
      <c r="W17" s="65">
        <v>1</v>
      </c>
      <c r="X17" s="52"/>
      <c r="Y17" s="65">
        <v>1</v>
      </c>
      <c r="Z17" s="52"/>
      <c r="AA17" s="65">
        <v>1</v>
      </c>
      <c r="AB17" s="65">
        <v>1</v>
      </c>
      <c r="AC17" s="52"/>
      <c r="AD17" s="65"/>
      <c r="AE17" s="67"/>
      <c r="AF17" s="66">
        <f t="shared" si="2"/>
        <v>7</v>
      </c>
      <c r="AG17" s="68" t="e">
        <f ca="1">IF(A17="O", (VALUE(_xludf.IFS(AF17=0,"0",AF17=1,"150",AF17=2,"300",AF17=3,"450",AF17=4,"600",AF17=5,"750",AF17&gt;=6,"800"))),(VALUE(_xludf.IFS(AF17=0,"0",AF17=1,"150",AF17=2,"300",AF17=3,"450",AF17=4,"600",AF17=5,"750",AF17=6,"900",AF17&gt;=7,"1,000"))))</f>
        <v>#NAME?</v>
      </c>
      <c r="AH17" s="69" t="str">
        <f t="shared" si="1"/>
        <v>弼善</v>
      </c>
      <c r="AI17" s="70"/>
    </row>
    <row r="18" spans="1:35" ht="18" customHeight="1">
      <c r="A18" s="63" t="s">
        <v>174</v>
      </c>
      <c r="B18" s="64" t="s">
        <v>62</v>
      </c>
      <c r="C18" s="52"/>
      <c r="D18" s="65"/>
      <c r="E18" s="65"/>
      <c r="F18" s="65"/>
      <c r="G18" s="65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65"/>
      <c r="S18" s="52"/>
      <c r="T18" s="65"/>
      <c r="U18" s="65"/>
      <c r="V18" s="52"/>
      <c r="W18" s="65"/>
      <c r="X18" s="52"/>
      <c r="Y18" s="65"/>
      <c r="Z18" s="52"/>
      <c r="AA18" s="65">
        <v>1</v>
      </c>
      <c r="AB18" s="65"/>
      <c r="AC18" s="52"/>
      <c r="AD18" s="65"/>
      <c r="AE18" s="67"/>
      <c r="AF18" s="66">
        <f t="shared" si="2"/>
        <v>1</v>
      </c>
      <c r="AG18" s="68" t="e">
        <f ca="1">IF(A18="O", (VALUE(_xludf.IFS(AF18=0,"0",AF18=1,"150",AF18=2,"300",AF18=3,"450",AF18=4,"600",AF18=5,"750",AF18&gt;=6,"800"))),(VALUE(_xludf.IFS(AF18=0,"0",AF18=1,"150",AF18=2,"300",AF18=3,"450",AF18=4,"600",AF18=5,"750",AF18=6,"900",AF18&gt;=7,"1,000"))))</f>
        <v>#NAME?</v>
      </c>
      <c r="AH18" s="69" t="str">
        <f t="shared" si="1"/>
        <v>國源</v>
      </c>
      <c r="AI18" s="73"/>
    </row>
    <row r="19" spans="1:35" ht="18" customHeight="1">
      <c r="A19" s="74" t="s">
        <v>174</v>
      </c>
      <c r="B19" s="75" t="s">
        <v>89</v>
      </c>
      <c r="C19" s="52"/>
      <c r="D19" s="76"/>
      <c r="E19" s="76"/>
      <c r="F19" s="76"/>
      <c r="G19" s="76">
        <v>1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76">
        <v>1</v>
      </c>
      <c r="S19" s="52"/>
      <c r="T19" s="76"/>
      <c r="U19" s="76"/>
      <c r="V19" s="52"/>
      <c r="W19" s="76"/>
      <c r="X19" s="52"/>
      <c r="Y19" s="76">
        <v>1</v>
      </c>
      <c r="Z19" s="52"/>
      <c r="AA19" s="76">
        <v>1</v>
      </c>
      <c r="AB19" s="76">
        <v>1</v>
      </c>
      <c r="AC19" s="52"/>
      <c r="AD19" s="76"/>
      <c r="AE19" s="67"/>
      <c r="AF19" s="77">
        <f t="shared" si="2"/>
        <v>5</v>
      </c>
      <c r="AG19" s="78">
        <v>800</v>
      </c>
      <c r="AH19" s="79" t="str">
        <f t="shared" si="1"/>
        <v>泡芙</v>
      </c>
      <c r="AI19" s="80" t="s">
        <v>213</v>
      </c>
    </row>
    <row r="20" spans="1:35" ht="18" customHeight="1">
      <c r="A20" s="74" t="s">
        <v>174</v>
      </c>
      <c r="B20" s="75" t="s">
        <v>90</v>
      </c>
      <c r="C20" s="52"/>
      <c r="D20" s="76">
        <v>1</v>
      </c>
      <c r="E20" s="76"/>
      <c r="F20" s="76"/>
      <c r="G20" s="76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76">
        <v>1</v>
      </c>
      <c r="S20" s="52"/>
      <c r="T20" s="76"/>
      <c r="U20" s="76"/>
      <c r="V20" s="52"/>
      <c r="W20" s="76"/>
      <c r="X20" s="52"/>
      <c r="Y20" s="76"/>
      <c r="Z20" s="52"/>
      <c r="AA20" s="76">
        <v>1</v>
      </c>
      <c r="AB20" s="76">
        <v>1</v>
      </c>
      <c r="AC20" s="52"/>
      <c r="AD20" s="76"/>
      <c r="AE20" s="67"/>
      <c r="AF20" s="77">
        <f t="shared" si="2"/>
        <v>4</v>
      </c>
      <c r="AG20" s="78">
        <v>800</v>
      </c>
      <c r="AH20" s="79" t="str">
        <f t="shared" si="1"/>
        <v>蓓蓓</v>
      </c>
      <c r="AI20" s="80" t="s">
        <v>213</v>
      </c>
    </row>
    <row r="21" spans="1:35" ht="18" customHeight="1">
      <c r="A21" s="74" t="s">
        <v>174</v>
      </c>
      <c r="B21" s="75" t="s">
        <v>150</v>
      </c>
      <c r="C21" s="52"/>
      <c r="D21" s="76">
        <v>1</v>
      </c>
      <c r="E21" s="76"/>
      <c r="F21" s="76"/>
      <c r="G21" s="76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76">
        <v>1</v>
      </c>
      <c r="S21" s="52"/>
      <c r="T21" s="76"/>
      <c r="U21" s="76"/>
      <c r="V21" s="52"/>
      <c r="W21" s="76"/>
      <c r="X21" s="52"/>
      <c r="Y21" s="76">
        <v>1</v>
      </c>
      <c r="Z21" s="52"/>
      <c r="AA21" s="76">
        <v>1</v>
      </c>
      <c r="AB21" s="76">
        <v>1</v>
      </c>
      <c r="AC21" s="52"/>
      <c r="AD21" s="76"/>
      <c r="AE21" s="67"/>
      <c r="AF21" s="77">
        <f t="shared" si="2"/>
        <v>5</v>
      </c>
      <c r="AG21" s="78" t="e">
        <f ca="1">IF(A21="O", (VALUE(_xludf.IFS(AF21=0,"0",AF21=1,"150",AF21=2,"300",AF21=3,"450",AF21=4,"600",AF21=5,"750",AF21&gt;=6,"800"))),(VALUE(_xludf.IFS(AF21=0,"0",AF21=1,"150",AF21=2,"300",AF21=3,"450",AF21=4,"600",AF21=5,"750",AF21=6,"900",AF21&gt;=7,"1,000"))))</f>
        <v>#NAME?</v>
      </c>
      <c r="AH21" s="79" t="str">
        <f t="shared" si="1"/>
        <v>高麗菜</v>
      </c>
      <c r="AI21" s="80"/>
    </row>
    <row r="22" spans="1:35" ht="18" customHeight="1">
      <c r="A22" s="74" t="s">
        <v>174</v>
      </c>
      <c r="B22" s="75" t="s">
        <v>164</v>
      </c>
      <c r="C22" s="52"/>
      <c r="D22" s="76"/>
      <c r="E22" s="76"/>
      <c r="F22" s="76"/>
      <c r="G22" s="76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76"/>
      <c r="S22" s="52"/>
      <c r="T22" s="76"/>
      <c r="U22" s="76"/>
      <c r="V22" s="52"/>
      <c r="W22" s="76"/>
      <c r="X22" s="52"/>
      <c r="Y22" s="76"/>
      <c r="Z22" s="52"/>
      <c r="AA22" s="76"/>
      <c r="AB22" s="76"/>
      <c r="AC22" s="52"/>
      <c r="AD22" s="76"/>
      <c r="AE22" s="67"/>
      <c r="AF22" s="77">
        <f t="shared" si="2"/>
        <v>0</v>
      </c>
      <c r="AG22" s="78" t="e">
        <f ca="1">IF(A22="O", (VALUE(_xludf.IFS(AF22=0,"0",AF22=1,"150",AF22=2,"300",AF22=3,"450",AF22=4,"600",AF22=5,"750",AF22&gt;=6,"800"))),(VALUE(_xludf.IFS(AF22=0,"0",AF22=1,"150",AF22=2,"300",AF22=3,"450",AF22=4,"600",AF22=5,"750",AF22=6,"900",AF22&gt;=7,"1,000"))))</f>
        <v>#NAME?</v>
      </c>
      <c r="AH22" s="79" t="str">
        <f t="shared" si="1"/>
        <v>小菜</v>
      </c>
      <c r="AI22" s="81"/>
    </row>
    <row r="23" spans="1:35" ht="18" customHeight="1">
      <c r="A23" s="74" t="s">
        <v>174</v>
      </c>
      <c r="B23" s="75" t="s">
        <v>94</v>
      </c>
      <c r="C23" s="52"/>
      <c r="D23" s="76">
        <v>1</v>
      </c>
      <c r="E23" s="76"/>
      <c r="F23" s="76"/>
      <c r="G23" s="76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76">
        <v>1</v>
      </c>
      <c r="S23" s="52"/>
      <c r="T23" s="76"/>
      <c r="U23" s="76"/>
      <c r="V23" s="52"/>
      <c r="W23" s="76"/>
      <c r="X23" s="52"/>
      <c r="Y23" s="76"/>
      <c r="Z23" s="52"/>
      <c r="AA23" s="76"/>
      <c r="AB23" s="76"/>
      <c r="AC23" s="52"/>
      <c r="AD23" s="76"/>
      <c r="AE23" s="67"/>
      <c r="AF23" s="77">
        <f t="shared" si="2"/>
        <v>2</v>
      </c>
      <c r="AG23" s="78" t="e">
        <f ca="1">IF(A23="O", (VALUE(_xludf.IFS(AF23=0,"0",AF23=1,"150",AF23=2,"300",AF23=3,"450",AF23=4,"600",AF23=5,"750",AF23&gt;=6,"800"))),(VALUE(_xludf.IFS(AF23=0,"0",AF23=1,"150",AF23=2,"300",AF23=3,"450",AF23=4,"600",AF23=5,"750",AF23=6,"900",AF23&gt;=7,"1,000"))))</f>
        <v>#NAME?</v>
      </c>
      <c r="AH23" s="79" t="str">
        <f t="shared" si="1"/>
        <v>小花</v>
      </c>
      <c r="AI23" s="82"/>
    </row>
    <row r="24" spans="1:35" ht="18" customHeight="1">
      <c r="A24" s="74" t="s">
        <v>174</v>
      </c>
      <c r="B24" s="75" t="s">
        <v>102</v>
      </c>
      <c r="C24" s="52"/>
      <c r="D24" s="76"/>
      <c r="E24" s="76"/>
      <c r="F24" s="76"/>
      <c r="G24" s="76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76"/>
      <c r="S24" s="52"/>
      <c r="T24" s="76"/>
      <c r="U24" s="76"/>
      <c r="V24" s="52"/>
      <c r="W24" s="76"/>
      <c r="X24" s="52"/>
      <c r="Y24" s="76"/>
      <c r="Z24" s="52"/>
      <c r="AA24" s="76">
        <v>1</v>
      </c>
      <c r="AB24" s="76">
        <v>1</v>
      </c>
      <c r="AC24" s="52"/>
      <c r="AD24" s="76"/>
      <c r="AE24" s="67"/>
      <c r="AF24" s="77">
        <f t="shared" si="2"/>
        <v>2</v>
      </c>
      <c r="AG24" s="78" t="e">
        <f ca="1">IF(A24="O", (VALUE(_xludf.IFS(AF24=0,"0",AF24=1,"150",AF24=2,"300",AF24=3,"450",AF24=4,"600",AF24=5,"750",AF24&gt;=6,"800"))),(VALUE(_xludf.IFS(AF24=0,"0",AF24=1,"150",AF24=2,"300",AF24=3,"450",AF24=4,"600",AF24=5,"750",AF24=6,"900",AF24&gt;=7,"1,000"))))</f>
        <v>#NAME?</v>
      </c>
      <c r="AH24" s="79" t="str">
        <f t="shared" si="1"/>
        <v>妮妮</v>
      </c>
      <c r="AI24" s="80"/>
    </row>
    <row r="25" spans="1:35" ht="18" customHeight="1">
      <c r="A25" s="74" t="s">
        <v>174</v>
      </c>
      <c r="B25" s="75" t="s">
        <v>165</v>
      </c>
      <c r="C25" s="52"/>
      <c r="D25" s="76"/>
      <c r="E25" s="76"/>
      <c r="F25" s="76"/>
      <c r="G25" s="76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76"/>
      <c r="S25" s="52"/>
      <c r="T25" s="76"/>
      <c r="U25" s="76"/>
      <c r="V25" s="52"/>
      <c r="W25" s="76"/>
      <c r="X25" s="52"/>
      <c r="Y25" s="76"/>
      <c r="Z25" s="52"/>
      <c r="AA25" s="76"/>
      <c r="AB25" s="76"/>
      <c r="AC25" s="52"/>
      <c r="AD25" s="76"/>
      <c r="AE25" s="67"/>
      <c r="AF25" s="77">
        <f t="shared" si="2"/>
        <v>0</v>
      </c>
      <c r="AG25" s="78" t="e">
        <f ca="1">IF(A25="O", (VALUE(_xludf.IFS(AF25=0,"0",AF25=1,"150",AF25=2,"300",AF25=3,"450",AF25=4,"600",AF25=5,"750",AF25&gt;=6,"800"))),(VALUE(_xludf.IFS(AF25=0,"0",AF25=1,"150",AF25=2,"300",AF25=3,"450",AF25=4,"600",AF25=5,"750",AF25=6,"900",AF25&gt;=7,"1,000"))))</f>
        <v>#NAME?</v>
      </c>
      <c r="AH25" s="79" t="str">
        <f t="shared" si="1"/>
        <v>小貓</v>
      </c>
      <c r="AI25" s="82"/>
    </row>
    <row r="26" spans="1:35" ht="18" customHeight="1">
      <c r="A26" s="74" t="s">
        <v>174</v>
      </c>
      <c r="B26" s="75" t="s">
        <v>166</v>
      </c>
      <c r="C26" s="52"/>
      <c r="D26" s="76"/>
      <c r="E26" s="76">
        <v>1</v>
      </c>
      <c r="F26" s="76"/>
      <c r="G26" s="76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76"/>
      <c r="S26" s="52"/>
      <c r="T26" s="76"/>
      <c r="U26" s="76"/>
      <c r="V26" s="52"/>
      <c r="W26" s="76"/>
      <c r="X26" s="52"/>
      <c r="Y26" s="76"/>
      <c r="Z26" s="52"/>
      <c r="AA26" s="76"/>
      <c r="AB26" s="76"/>
      <c r="AC26" s="52"/>
      <c r="AD26" s="76"/>
      <c r="AE26" s="67"/>
      <c r="AF26" s="77">
        <f t="shared" si="2"/>
        <v>1</v>
      </c>
      <c r="AG26" s="78" t="e">
        <f ca="1">IF(A26="O", (VALUE(_xludf.IFS(AF26=0,"0",AF26=1,"150",AF26=2,"300",AF26=3,"450",AF26=4,"600",AF26=5,"750",AF26&gt;=6,"800"))),(VALUE(_xludf.IFS(AF26=0,"0",AF26=1,"150",AF26=2,"300",AF26=3,"450",AF26=4,"600",AF26=5,"750",AF26=6,"900",AF26&gt;=7,"1,000"))))</f>
        <v>#NAME?</v>
      </c>
      <c r="AH26" s="79" t="str">
        <f t="shared" si="1"/>
        <v>哈比</v>
      </c>
      <c r="AI26" s="80"/>
    </row>
    <row r="27" spans="1:35" ht="18" customHeight="1">
      <c r="A27" s="74" t="s">
        <v>174</v>
      </c>
      <c r="B27" s="75" t="s">
        <v>91</v>
      </c>
      <c r="C27" s="52"/>
      <c r="D27" s="76"/>
      <c r="E27" s="76"/>
      <c r="F27" s="76"/>
      <c r="G27" s="76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76"/>
      <c r="S27" s="52"/>
      <c r="T27" s="76">
        <v>1</v>
      </c>
      <c r="U27" s="76">
        <v>1</v>
      </c>
      <c r="V27" s="52"/>
      <c r="W27" s="76"/>
      <c r="X27" s="52"/>
      <c r="Y27" s="76"/>
      <c r="Z27" s="52"/>
      <c r="AA27" s="76"/>
      <c r="AB27" s="76">
        <v>1</v>
      </c>
      <c r="AC27" s="52"/>
      <c r="AD27" s="76"/>
      <c r="AE27" s="67"/>
      <c r="AF27" s="77">
        <f t="shared" si="2"/>
        <v>3</v>
      </c>
      <c r="AG27" s="78" t="e">
        <f ca="1">IF(A27="O", (VALUE(_xludf.IFS(AF27=0,"0",AF27=1,"150",AF27=2,"300",AF27=3,"450",AF27=4,"600",AF27=5,"750",AF27&gt;=6,"800"))),(VALUE(_xludf.IFS(AF27=0,"0",AF27=1,"150",AF27=2,"300",AF27=3,"450",AF27=4,"600",AF27=5,"750",AF27=6,"900",AF27&gt;=7,"1,000"))))</f>
        <v>#NAME?</v>
      </c>
      <c r="AH27" s="79" t="str">
        <f t="shared" si="1"/>
        <v>柔柔</v>
      </c>
      <c r="AI27" s="80"/>
    </row>
    <row r="28" spans="1:35" ht="18" customHeight="1">
      <c r="A28" s="74" t="s">
        <v>174</v>
      </c>
      <c r="B28" s="75" t="s">
        <v>176</v>
      </c>
      <c r="C28" s="52"/>
      <c r="D28" s="76"/>
      <c r="E28" s="76">
        <v>1</v>
      </c>
      <c r="F28" s="76"/>
      <c r="G28" s="76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76"/>
      <c r="S28" s="52"/>
      <c r="T28" s="76"/>
      <c r="U28" s="76"/>
      <c r="V28" s="52"/>
      <c r="W28" s="76"/>
      <c r="X28" s="52"/>
      <c r="Y28" s="76"/>
      <c r="Z28" s="52"/>
      <c r="AA28" s="76"/>
      <c r="AB28" s="76"/>
      <c r="AC28" s="52"/>
      <c r="AD28" s="76"/>
      <c r="AE28" s="67"/>
      <c r="AF28" s="77">
        <f t="shared" si="2"/>
        <v>1</v>
      </c>
      <c r="AG28" s="78" t="e">
        <f ca="1">IF(A28="O", (VALUE(_xludf.IFS(AF28=0,"0",AF28=1,"150",AF28=2,"300",AF28=3,"450",AF28=4,"600",AF28=5,"750",AF28&gt;=6,"800"))),(VALUE(_xludf.IFS(AF28=0,"0",AF28=1,"150",AF28=2,"300",AF28=3,"450",AF28=4,"600",AF28=5,"750",AF28=6,"900",AF28&gt;=7,"1,000"))))</f>
        <v>#NAME?</v>
      </c>
      <c r="AH28" s="79" t="str">
        <f t="shared" si="1"/>
        <v>芮芮</v>
      </c>
      <c r="AI28" s="81"/>
    </row>
    <row r="29" spans="1:35" ht="18" customHeight="1">
      <c r="A29" s="74" t="s">
        <v>174</v>
      </c>
      <c r="B29" s="75" t="s">
        <v>123</v>
      </c>
      <c r="C29" s="52"/>
      <c r="D29" s="76"/>
      <c r="E29" s="76"/>
      <c r="F29" s="76"/>
      <c r="G29" s="76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76"/>
      <c r="S29" s="52"/>
      <c r="T29" s="76"/>
      <c r="U29" s="76"/>
      <c r="V29" s="52"/>
      <c r="W29" s="76"/>
      <c r="X29" s="52"/>
      <c r="Y29" s="76"/>
      <c r="Z29" s="52"/>
      <c r="AA29" s="76"/>
      <c r="AB29" s="76"/>
      <c r="AC29" s="52"/>
      <c r="AD29" s="76"/>
      <c r="AE29" s="67"/>
      <c r="AF29" s="77">
        <f t="shared" si="2"/>
        <v>0</v>
      </c>
      <c r="AG29" s="78" t="e">
        <f ca="1">IF(A29="O", (VALUE(_xludf.IFS(AF29=0,"0",AF29=1,"150",AF29=2,"300",AF29=3,"450",AF29=4,"600",AF29=5,"750",AF29&gt;=6,"800"))),(VALUE(_xludf.IFS(AF29=0,"0",AF29=1,"150",AF29=2,"300",AF29=3,"450",AF29=4,"600",AF29=5,"750",AF29=6,"900",AF29&gt;=7,"1,000"))))</f>
        <v>#NAME?</v>
      </c>
      <c r="AH29" s="79" t="str">
        <f t="shared" si="1"/>
        <v>瑤瑤</v>
      </c>
      <c r="AI29" s="80"/>
    </row>
    <row r="30" spans="1:35" ht="18" customHeight="1">
      <c r="A30" s="74" t="s">
        <v>174</v>
      </c>
      <c r="B30" s="75" t="s">
        <v>147</v>
      </c>
      <c r="C30" s="52"/>
      <c r="D30" s="76">
        <v>1</v>
      </c>
      <c r="E30" s="76"/>
      <c r="F30" s="76"/>
      <c r="G30" s="76">
        <v>1</v>
      </c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76">
        <v>1</v>
      </c>
      <c r="S30" s="52"/>
      <c r="T30" s="76"/>
      <c r="U30" s="76"/>
      <c r="V30" s="52"/>
      <c r="W30" s="76">
        <v>1</v>
      </c>
      <c r="X30" s="52"/>
      <c r="Y30" s="76"/>
      <c r="Z30" s="52"/>
      <c r="AA30" s="76"/>
      <c r="AB30" s="76">
        <v>1</v>
      </c>
      <c r="AC30" s="52"/>
      <c r="AD30" s="76"/>
      <c r="AE30" s="67"/>
      <c r="AF30" s="77">
        <f t="shared" si="2"/>
        <v>5</v>
      </c>
      <c r="AG30" s="78" t="e">
        <f ca="1">IF(A30="O", (VALUE(_xludf.IFS(AF30=0,"0",AF30=1,"150",AF30=2,"300",AF30=3,"450",AF30=4,"600",AF30=5,"750",AF30&gt;=6,"800"))),(VALUE(_xludf.IFS(AF30=0,"0",AF30=1,"150",AF30=2,"300",AF30=3,"450",AF30=4,"600",AF30=5,"750",AF30=6,"900",AF30&gt;=7,"1,000"))))</f>
        <v>#NAME?</v>
      </c>
      <c r="AH30" s="79" t="str">
        <f t="shared" si="1"/>
        <v>湘苡</v>
      </c>
      <c r="AI30" s="82"/>
    </row>
    <row r="31" spans="1:35" ht="18" customHeight="1">
      <c r="A31" s="74" t="s">
        <v>174</v>
      </c>
      <c r="B31" s="75" t="s">
        <v>93</v>
      </c>
      <c r="C31" s="52"/>
      <c r="D31" s="76"/>
      <c r="E31" s="76"/>
      <c r="F31" s="76"/>
      <c r="G31" s="76">
        <v>1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76"/>
      <c r="S31" s="52"/>
      <c r="T31" s="76"/>
      <c r="U31" s="76"/>
      <c r="V31" s="52"/>
      <c r="W31" s="76"/>
      <c r="X31" s="52"/>
      <c r="Y31" s="76"/>
      <c r="Z31" s="52"/>
      <c r="AA31" s="76"/>
      <c r="AB31" s="76"/>
      <c r="AC31" s="52"/>
      <c r="AD31" s="76"/>
      <c r="AE31" s="67"/>
      <c r="AF31" s="77">
        <f t="shared" si="2"/>
        <v>1</v>
      </c>
      <c r="AG31" s="78" t="e">
        <f ca="1">IF(A31="O", (VALUE(_xludf.IFS(AF31=0,"0",AF31=1,"150",AF31=2,"300",AF31=3,"450",AF31=4,"600",AF31=5,"750",AF31&gt;=6,"800"))),(VALUE(_xludf.IFS(AF31=0,"0",AF31=1,"150",AF31=2,"300",AF31=3,"450",AF31=4,"600",AF31=5,"750",AF31=6,"900",AF31&gt;=7,"1,000"))))</f>
        <v>#NAME?</v>
      </c>
      <c r="AH31" s="79" t="str">
        <f t="shared" si="1"/>
        <v>冠婷</v>
      </c>
      <c r="AI31" s="80"/>
    </row>
    <row r="32" spans="1:35" ht="18" customHeight="1">
      <c r="A32" s="74" t="s">
        <v>174</v>
      </c>
      <c r="B32" s="75" t="s">
        <v>149</v>
      </c>
      <c r="C32" s="52"/>
      <c r="D32" s="76"/>
      <c r="E32" s="76"/>
      <c r="F32" s="76"/>
      <c r="G32" s="76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76">
        <v>1</v>
      </c>
      <c r="S32" s="52"/>
      <c r="T32" s="76"/>
      <c r="U32" s="76"/>
      <c r="V32" s="52"/>
      <c r="W32" s="76"/>
      <c r="X32" s="52"/>
      <c r="Y32" s="76">
        <v>1</v>
      </c>
      <c r="Z32" s="52"/>
      <c r="AA32" s="76"/>
      <c r="AB32" s="76"/>
      <c r="AC32" s="52"/>
      <c r="AD32" s="76"/>
      <c r="AE32" s="67"/>
      <c r="AF32" s="77">
        <f t="shared" si="2"/>
        <v>2</v>
      </c>
      <c r="AG32" s="78">
        <v>800</v>
      </c>
      <c r="AH32" s="79" t="str">
        <f t="shared" si="1"/>
        <v>晏寧</v>
      </c>
      <c r="AI32" s="80" t="s">
        <v>213</v>
      </c>
    </row>
    <row r="33" spans="1:35" ht="18" customHeight="1">
      <c r="A33" s="74" t="s">
        <v>174</v>
      </c>
      <c r="B33" s="75" t="s">
        <v>146</v>
      </c>
      <c r="C33" s="52"/>
      <c r="D33" s="76"/>
      <c r="E33" s="76"/>
      <c r="F33" s="76"/>
      <c r="G33" s="76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76">
        <v>1</v>
      </c>
      <c r="S33" s="52"/>
      <c r="T33" s="76"/>
      <c r="U33" s="76"/>
      <c r="V33" s="52"/>
      <c r="W33" s="76"/>
      <c r="X33" s="52"/>
      <c r="Y33" s="76">
        <v>1</v>
      </c>
      <c r="Z33" s="52"/>
      <c r="AA33" s="76">
        <v>1</v>
      </c>
      <c r="AB33" s="76">
        <v>1</v>
      </c>
      <c r="AC33" s="52"/>
      <c r="AD33" s="76"/>
      <c r="AE33" s="67"/>
      <c r="AF33" s="77">
        <f t="shared" si="2"/>
        <v>4</v>
      </c>
      <c r="AG33" s="78">
        <v>800</v>
      </c>
      <c r="AH33" s="79" t="str">
        <f t="shared" si="1"/>
        <v>飛飛</v>
      </c>
      <c r="AI33" s="80" t="s">
        <v>213</v>
      </c>
    </row>
    <row r="34" spans="1:35" ht="18" customHeight="1">
      <c r="A34" s="83" t="s">
        <v>174</v>
      </c>
      <c r="B34" s="84" t="s">
        <v>116</v>
      </c>
      <c r="C34" s="52"/>
      <c r="D34" s="85">
        <v>1</v>
      </c>
      <c r="E34" s="85">
        <v>1</v>
      </c>
      <c r="F34" s="85">
        <v>1</v>
      </c>
      <c r="G34" s="85">
        <v>1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85"/>
      <c r="S34" s="52"/>
      <c r="T34" s="85"/>
      <c r="U34" s="85"/>
      <c r="V34" s="52"/>
      <c r="W34" s="85"/>
      <c r="X34" s="52"/>
      <c r="Y34" s="85"/>
      <c r="Z34" s="52"/>
      <c r="AA34" s="85"/>
      <c r="AB34" s="85"/>
      <c r="AC34" s="52"/>
      <c r="AD34" s="85"/>
      <c r="AE34" s="67"/>
      <c r="AF34" s="86">
        <f t="shared" si="2"/>
        <v>4</v>
      </c>
      <c r="AG34" s="87" t="e">
        <f ca="1">IF(A34="O", (VALUE(_xludf.IFS(AF34=0,"0",AF34=1,"150",AF34=2,"300",AF34=3,"450",AF34=4,"600",AF34=5,"750",AF34&gt;=6,"800"))),(VALUE(_xludf.IFS(AF34=0,"0",AF34=1,"150",AF34=2,"300",AF34=3,"450",AF34=4,"600",AF34=5,"750",AF34=6,"900",AF34&gt;=7,"1,000"))))</f>
        <v>#NAME?</v>
      </c>
      <c r="AH34" s="88" t="str">
        <f t="shared" si="1"/>
        <v>大汪</v>
      </c>
      <c r="AI34" s="89"/>
    </row>
    <row r="35" spans="1:35" ht="18" customHeight="1">
      <c r="A35" s="83" t="s">
        <v>174</v>
      </c>
      <c r="B35" s="84" t="s">
        <v>118</v>
      </c>
      <c r="C35" s="52"/>
      <c r="D35" s="85"/>
      <c r="E35" s="85">
        <v>1</v>
      </c>
      <c r="F35" s="85"/>
      <c r="G35" s="85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85"/>
      <c r="S35" s="52"/>
      <c r="T35" s="85"/>
      <c r="U35" s="85"/>
      <c r="V35" s="52"/>
      <c r="W35" s="85"/>
      <c r="X35" s="52"/>
      <c r="Y35" s="85"/>
      <c r="Z35" s="52"/>
      <c r="AA35" s="85"/>
      <c r="AB35" s="85"/>
      <c r="AC35" s="52"/>
      <c r="AD35" s="85"/>
      <c r="AE35" s="67"/>
      <c r="AF35" s="86">
        <f t="shared" si="2"/>
        <v>1</v>
      </c>
      <c r="AG35" s="87" t="e">
        <f ca="1">IF(A35="O", (VALUE(_xludf.IFS(AF35=0,"0",AF35=1,"150",AF35=2,"300",AF35=3,"450",AF35=4,"600",AF35=5,"750",AF35&gt;=6,"800"))),(VALUE(_xludf.IFS(AF35=0,"0",AF35=1,"150",AF35=2,"300",AF35=3,"450",AF35=4,"600",AF35=5,"750",AF35=6,"900",AF35&gt;=7,"1,000"))))</f>
        <v>#NAME?</v>
      </c>
      <c r="AH35" s="88" t="str">
        <f t="shared" si="1"/>
        <v>雅筑</v>
      </c>
      <c r="AI35" s="89"/>
    </row>
    <row r="36" spans="1:35" ht="18" customHeight="1">
      <c r="A36" s="83" t="s">
        <v>174</v>
      </c>
      <c r="B36" s="84" t="s">
        <v>141</v>
      </c>
      <c r="C36" s="52"/>
      <c r="D36" s="85"/>
      <c r="E36" s="85"/>
      <c r="F36" s="85"/>
      <c r="G36" s="85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85"/>
      <c r="S36" s="52"/>
      <c r="T36" s="85"/>
      <c r="U36" s="85"/>
      <c r="V36" s="52"/>
      <c r="W36" s="85"/>
      <c r="X36" s="52"/>
      <c r="Y36" s="85"/>
      <c r="Z36" s="52"/>
      <c r="AA36" s="85"/>
      <c r="AB36" s="85"/>
      <c r="AC36" s="52"/>
      <c r="AD36" s="85"/>
      <c r="AE36" s="67"/>
      <c r="AF36" s="86">
        <f t="shared" si="2"/>
        <v>0</v>
      </c>
      <c r="AG36" s="87" t="e">
        <f ca="1">IF(A36="O", (VALUE(_xludf.IFS(AF36=0,"0",AF36=1,"150",AF36=2,"300",AF36=3,"450",AF36=4,"600",AF36=5,"750",AF36&gt;=6,"800"))),(VALUE(_xludf.IFS(AF36=0,"0",AF36=1,"150",AF36=2,"300",AF36=3,"450",AF36=4,"600",AF36=5,"750",AF36=6,"900",AF36&gt;=7,"1,000"))))</f>
        <v>#NAME?</v>
      </c>
      <c r="AH36" s="88" t="str">
        <f t="shared" ref="AH36:AH67" si="3">B36</f>
        <v>Cindy</v>
      </c>
      <c r="AI36" s="89"/>
    </row>
    <row r="37" spans="1:35" ht="18" customHeight="1">
      <c r="A37" s="83" t="s">
        <v>174</v>
      </c>
      <c r="B37" s="84" t="s">
        <v>103</v>
      </c>
      <c r="C37" s="52"/>
      <c r="D37" s="85">
        <v>1</v>
      </c>
      <c r="E37" s="85"/>
      <c r="F37" s="85"/>
      <c r="G37" s="85">
        <v>1</v>
      </c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85"/>
      <c r="S37" s="52"/>
      <c r="T37" s="85"/>
      <c r="U37" s="85">
        <v>1</v>
      </c>
      <c r="V37" s="52"/>
      <c r="W37" s="85">
        <v>1</v>
      </c>
      <c r="X37" s="52"/>
      <c r="Y37" s="85">
        <v>1</v>
      </c>
      <c r="Z37" s="52"/>
      <c r="AA37" s="85"/>
      <c r="AB37" s="85">
        <v>1</v>
      </c>
      <c r="AC37" s="52"/>
      <c r="AD37" s="85"/>
      <c r="AE37" s="67"/>
      <c r="AF37" s="86">
        <f t="shared" ref="AF37:AF68" si="4">COUNTA(C37:AD37)</f>
        <v>6</v>
      </c>
      <c r="AG37" s="87" t="e">
        <f ca="1">IF(A37="O", (VALUE(_xludf.IFS(AF37=0,"0",AF37=1,"150",AF37=2,"300",AF37=3,"450",AF37=4,"600",AF37=5,"750",AF37&gt;=6,"800"))),(VALUE(_xludf.IFS(AF37=0,"0",AF37=1,"150",AF37=2,"300",AF37=3,"450",AF37=4,"600",AF37=5,"750",AF37=6,"900",AF37&gt;=7,"1,000"))))</f>
        <v>#NAME?</v>
      </c>
      <c r="AH37" s="88" t="str">
        <f t="shared" si="3"/>
        <v>圈圈</v>
      </c>
      <c r="AI37" s="90"/>
    </row>
    <row r="38" spans="1:35" ht="18" customHeight="1">
      <c r="A38" s="83" t="s">
        <v>174</v>
      </c>
      <c r="B38" s="84" t="s">
        <v>120</v>
      </c>
      <c r="C38" s="52"/>
      <c r="D38" s="85"/>
      <c r="E38" s="85">
        <v>1</v>
      </c>
      <c r="F38" s="85"/>
      <c r="G38" s="85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85"/>
      <c r="S38" s="52"/>
      <c r="T38" s="85"/>
      <c r="U38" s="85"/>
      <c r="V38" s="52"/>
      <c r="W38" s="85"/>
      <c r="X38" s="52"/>
      <c r="Y38" s="85"/>
      <c r="Z38" s="52"/>
      <c r="AA38" s="85"/>
      <c r="AB38" s="85"/>
      <c r="AC38" s="52"/>
      <c r="AD38" s="85"/>
      <c r="AE38" s="67"/>
      <c r="AF38" s="86">
        <f t="shared" si="4"/>
        <v>1</v>
      </c>
      <c r="AG38" s="87" t="e">
        <f ca="1">IF(A38="O", (VALUE(_xludf.IFS(AF38=0,"0",AF38=1,"150",AF38=2,"300",AF38=3,"450",AF38=4,"600",AF38=5,"750",AF38&gt;=6,"800"))),(VALUE(_xludf.IFS(AF38=0,"0",AF38=1,"150",AF38=2,"300",AF38=3,"450",AF38=4,"600",AF38=5,"750",AF38=6,"900",AF38&gt;=7,"1,000"))))</f>
        <v>#NAME?</v>
      </c>
      <c r="AH38" s="88" t="str">
        <f t="shared" si="3"/>
        <v>品君</v>
      </c>
      <c r="AI38" s="90"/>
    </row>
    <row r="39" spans="1:35" ht="18" customHeight="1">
      <c r="A39" s="83" t="s">
        <v>174</v>
      </c>
      <c r="B39" s="84" t="s">
        <v>142</v>
      </c>
      <c r="C39" s="52"/>
      <c r="D39" s="85"/>
      <c r="E39" s="85"/>
      <c r="F39" s="85"/>
      <c r="G39" s="85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85"/>
      <c r="S39" s="52"/>
      <c r="T39" s="85"/>
      <c r="U39" s="85"/>
      <c r="V39" s="52"/>
      <c r="W39" s="85"/>
      <c r="X39" s="52"/>
      <c r="Y39" s="85"/>
      <c r="Z39" s="52"/>
      <c r="AA39" s="85"/>
      <c r="AB39" s="85"/>
      <c r="AC39" s="52"/>
      <c r="AD39" s="85"/>
      <c r="AE39" s="67"/>
      <c r="AF39" s="86">
        <f t="shared" si="4"/>
        <v>0</v>
      </c>
      <c r="AG39" s="87" t="e">
        <f ca="1">IF(A39="O", (VALUE(_xludf.IFS(AF39=0,"0",AF39=1,"150",AF39=2,"300",AF39=3,"450",AF39=4,"600",AF39=5,"750",AF39&gt;=6,"800"))),(VALUE(_xludf.IFS(AF39=0,"0",AF39=1,"150",AF39=2,"300",AF39=3,"450",AF39=4,"600",AF39=5,"750",AF39=6,"900",AF39&gt;=7,"1,000"))))</f>
        <v>#NAME?</v>
      </c>
      <c r="AH39" s="88" t="str">
        <f t="shared" si="3"/>
        <v>如靜</v>
      </c>
      <c r="AI39" s="90"/>
    </row>
    <row r="40" spans="1:35" ht="18" customHeight="1">
      <c r="A40" s="83" t="s">
        <v>174</v>
      </c>
      <c r="B40" s="84" t="s">
        <v>143</v>
      </c>
      <c r="C40" s="52"/>
      <c r="D40" s="85"/>
      <c r="E40" s="85"/>
      <c r="F40" s="85"/>
      <c r="G40" s="85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85"/>
      <c r="S40" s="52"/>
      <c r="T40" s="85"/>
      <c r="U40" s="85"/>
      <c r="V40" s="52"/>
      <c r="W40" s="85"/>
      <c r="X40" s="52"/>
      <c r="Y40" s="85"/>
      <c r="Z40" s="52"/>
      <c r="AA40" s="85"/>
      <c r="AB40" s="85"/>
      <c r="AC40" s="52"/>
      <c r="AD40" s="85"/>
      <c r="AE40" s="67"/>
      <c r="AF40" s="86">
        <f t="shared" si="4"/>
        <v>0</v>
      </c>
      <c r="AG40" s="87" t="e">
        <f ca="1">IF(A40="O", (VALUE(_xludf.IFS(AF40=0,"0",AF40=1,"150",AF40=2,"300",AF40=3,"450",AF40=4,"600",AF40=5,"750",AF40&gt;=6,"800"))),(VALUE(_xludf.IFS(AF40=0,"0",AF40=1,"150",AF40=2,"300",AF40=3,"450",AF40=4,"600",AF40=5,"750",AF40=6,"900",AF40&gt;=7,"1,000"))))</f>
        <v>#NAME?</v>
      </c>
      <c r="AH40" s="88" t="str">
        <f t="shared" si="3"/>
        <v>毓玫</v>
      </c>
      <c r="AI40" s="90"/>
    </row>
    <row r="41" spans="1:35" ht="18" customHeight="1">
      <c r="A41" s="83" t="s">
        <v>174</v>
      </c>
      <c r="B41" s="84" t="s">
        <v>144</v>
      </c>
      <c r="C41" s="52"/>
      <c r="D41" s="85"/>
      <c r="E41" s="85"/>
      <c r="F41" s="85"/>
      <c r="G41" s="85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85"/>
      <c r="S41" s="52"/>
      <c r="T41" s="85"/>
      <c r="U41" s="85"/>
      <c r="V41" s="52"/>
      <c r="W41" s="85"/>
      <c r="X41" s="52"/>
      <c r="Y41" s="85"/>
      <c r="Z41" s="52"/>
      <c r="AA41" s="85"/>
      <c r="AB41" s="85"/>
      <c r="AC41" s="52"/>
      <c r="AD41" s="85"/>
      <c r="AE41" s="67"/>
      <c r="AF41" s="86">
        <f t="shared" si="4"/>
        <v>0</v>
      </c>
      <c r="AG41" s="87" t="e">
        <f ca="1">IF(A41="O", (VALUE(_xludf.IFS(AF41=0,"0",AF41=1,"150",AF41=2,"300",AF41=3,"450",AF41=4,"600",AF41=5,"750",AF41&gt;=6,"800"))),(VALUE(_xludf.IFS(AF41=0,"0",AF41=1,"150",AF41=2,"300",AF41=3,"450",AF41=4,"600",AF41=5,"750",AF41=6,"900",AF41&gt;=7,"1,000"))))</f>
        <v>#NAME?</v>
      </c>
      <c r="AH41" s="88" t="str">
        <f t="shared" si="3"/>
        <v>美枝</v>
      </c>
      <c r="AI41" s="89"/>
    </row>
    <row r="42" spans="1:35" ht="18" customHeight="1">
      <c r="A42" s="83" t="s">
        <v>174</v>
      </c>
      <c r="B42" s="84" t="s">
        <v>145</v>
      </c>
      <c r="C42" s="52"/>
      <c r="D42" s="85"/>
      <c r="E42" s="85"/>
      <c r="F42" s="85"/>
      <c r="G42" s="85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85"/>
      <c r="S42" s="52"/>
      <c r="T42" s="85"/>
      <c r="U42" s="85"/>
      <c r="V42" s="52"/>
      <c r="W42" s="85"/>
      <c r="X42" s="52"/>
      <c r="Y42" s="85"/>
      <c r="Z42" s="52"/>
      <c r="AA42" s="85"/>
      <c r="AB42" s="85"/>
      <c r="AC42" s="52"/>
      <c r="AD42" s="85"/>
      <c r="AE42" s="67"/>
      <c r="AF42" s="86">
        <f t="shared" si="4"/>
        <v>0</v>
      </c>
      <c r="AG42" s="87" t="e">
        <f ca="1">IF(A42="O", (VALUE(_xludf.IFS(AF42=0,"0",AF42=1,"150",AF42=2,"300",AF42=3,"450",AF42=4,"600",AF42=5,"750",AF42&gt;=6,"800"))),(VALUE(_xludf.IFS(AF42=0,"0",AF42=1,"150",AF42=2,"300",AF42=3,"450",AF42=4,"600",AF42=5,"750",AF42=6,"900",AF42&gt;=7,"1,000"))))</f>
        <v>#NAME?</v>
      </c>
      <c r="AH42" s="88" t="str">
        <f t="shared" si="3"/>
        <v>魯魯咪</v>
      </c>
      <c r="AI42" s="91"/>
    </row>
    <row r="43" spans="1:35" ht="18" customHeight="1">
      <c r="A43" s="63" t="s">
        <v>58</v>
      </c>
      <c r="B43" s="64" t="s">
        <v>23</v>
      </c>
      <c r="C43" s="52"/>
      <c r="D43" s="65"/>
      <c r="E43" s="65"/>
      <c r="F43" s="65"/>
      <c r="G43" s="65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65"/>
      <c r="S43" s="52"/>
      <c r="T43" s="65">
        <v>1</v>
      </c>
      <c r="U43" s="65">
        <v>1</v>
      </c>
      <c r="V43" s="52"/>
      <c r="W43" s="65"/>
      <c r="X43" s="52"/>
      <c r="Y43" s="65"/>
      <c r="Z43" s="52"/>
      <c r="AA43" s="65">
        <v>1</v>
      </c>
      <c r="AB43" s="65"/>
      <c r="AC43" s="52"/>
      <c r="AD43" s="65"/>
      <c r="AE43" s="67"/>
      <c r="AF43" s="66">
        <f t="shared" si="4"/>
        <v>3</v>
      </c>
      <c r="AG43" s="68" t="e">
        <f ca="1">IF(A43="O", (VALUE(_xludf.IFS(AF43=0,"0",AF43=1,"150",AF43=2,"300",AF43=3,"450",AF43=4,"600",AF43=5,"750",AF43&gt;=6,"800"))),(VALUE(_xludf.IFS(AF43=0,"0",AF43=1,"150",AF43=2,"300",AF43=3,"450",AF43=4,"600",AF43=5,"750",AF43=6,"900",AF43&gt;=7,"1,000"))))/2</f>
        <v>#NAME?</v>
      </c>
      <c r="AH43" s="71" t="str">
        <f t="shared" si="3"/>
        <v>ㄈㄈ</v>
      </c>
      <c r="AI43" s="73"/>
    </row>
    <row r="44" spans="1:35" ht="18" customHeight="1">
      <c r="A44" s="63" t="s">
        <v>58</v>
      </c>
      <c r="B44" s="64" t="s">
        <v>24</v>
      </c>
      <c r="C44" s="52"/>
      <c r="D44" s="65"/>
      <c r="E44" s="65"/>
      <c r="F44" s="65"/>
      <c r="G44" s="65">
        <v>1</v>
      </c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65"/>
      <c r="S44" s="52"/>
      <c r="T44" s="65"/>
      <c r="U44" s="65"/>
      <c r="V44" s="52"/>
      <c r="W44" s="65">
        <v>1</v>
      </c>
      <c r="X44" s="52"/>
      <c r="Y44" s="65">
        <v>1</v>
      </c>
      <c r="Z44" s="52"/>
      <c r="AA44" s="65"/>
      <c r="AB44" s="65"/>
      <c r="AC44" s="52"/>
      <c r="AD44" s="65"/>
      <c r="AE44" s="67"/>
      <c r="AF44" s="66">
        <f t="shared" si="4"/>
        <v>3</v>
      </c>
      <c r="AG44" s="68" t="e">
        <f ca="1">IF(A44="O", (VALUE(_xludf.IFS(AF44=0,"0",AF44=1,"150",AF44=2,"300",AF44=3,"450",AF44=4,"600",AF44=5,"750",AF44&gt;=6,"800"))),(VALUE(_xludf.IFS(AF44=0,"0",AF44=1,"150",AF44=2,"300",AF44=3,"450",AF44=4,"600",AF44=5,"750",AF44=6,"900",AF44&gt;=7,"1,000"))))</f>
        <v>#NAME?</v>
      </c>
      <c r="AH44" s="69" t="str">
        <f t="shared" si="3"/>
        <v>大熊</v>
      </c>
      <c r="AI44" s="73"/>
    </row>
    <row r="45" spans="1:35" ht="18" customHeight="1">
      <c r="A45" s="63" t="s">
        <v>58</v>
      </c>
      <c r="B45" s="64" t="s">
        <v>64</v>
      </c>
      <c r="C45" s="52"/>
      <c r="D45" s="65">
        <v>1</v>
      </c>
      <c r="E45" s="65"/>
      <c r="F45" s="65"/>
      <c r="G45" s="65">
        <v>1</v>
      </c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65">
        <v>1</v>
      </c>
      <c r="S45" s="52"/>
      <c r="T45" s="65"/>
      <c r="U45" s="65"/>
      <c r="V45" s="52"/>
      <c r="W45" s="65">
        <v>1</v>
      </c>
      <c r="X45" s="52"/>
      <c r="Y45" s="65">
        <v>1</v>
      </c>
      <c r="Z45" s="52"/>
      <c r="AA45" s="65">
        <v>1</v>
      </c>
      <c r="AB45" s="65">
        <v>1</v>
      </c>
      <c r="AC45" s="52"/>
      <c r="AD45" s="65"/>
      <c r="AE45" s="67"/>
      <c r="AF45" s="66">
        <f t="shared" si="4"/>
        <v>7</v>
      </c>
      <c r="AG45" s="68" t="e">
        <f ca="1">IF(A45="O", (VALUE(_xludf.IFS(AF45=0,"0",AF45=1,"150",AF45=2,"300",AF45=3,"450",AF45=4,"600",AF45=5,"750",AF45&gt;=6,"800"))),(VALUE(_xludf.IFS(AF45=0,"0",AF45=1,"150",AF45=2,"300",AF45=3,"450",AF45=4,"600",AF45=5,"750",AF45=6,"900",AF45&gt;=7,"1,000"))))</f>
        <v>#NAME?</v>
      </c>
      <c r="AH45" s="69" t="str">
        <f t="shared" si="3"/>
        <v>園棠</v>
      </c>
      <c r="AI45" s="73"/>
    </row>
    <row r="46" spans="1:35" ht="18" customHeight="1">
      <c r="A46" s="63" t="s">
        <v>58</v>
      </c>
      <c r="B46" s="64" t="s">
        <v>178</v>
      </c>
      <c r="C46" s="52"/>
      <c r="D46" s="65">
        <v>1</v>
      </c>
      <c r="E46" s="65"/>
      <c r="F46" s="65"/>
      <c r="G46" s="65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65"/>
      <c r="S46" s="52"/>
      <c r="T46" s="65">
        <v>1</v>
      </c>
      <c r="U46" s="65"/>
      <c r="V46" s="52"/>
      <c r="W46" s="65"/>
      <c r="X46" s="52"/>
      <c r="Y46" s="65"/>
      <c r="Z46" s="52"/>
      <c r="AA46" s="65"/>
      <c r="AB46" s="65"/>
      <c r="AC46" s="52"/>
      <c r="AD46" s="65">
        <v>1</v>
      </c>
      <c r="AE46" s="67"/>
      <c r="AF46" s="66">
        <f t="shared" si="4"/>
        <v>3</v>
      </c>
      <c r="AG46" s="68" t="e">
        <f ca="1">IF(A46="O", (VALUE(_xludf.IFS(AF46=0,"0",AF46=1,"150",AF46=2,"300",AF46=3,"450",AF46=4,"600",AF46=5,"750",AF46&gt;=6,"800"))),(VALUE(_xludf.IFS(AF46=0,"0",AF46=1,"150",AF46=2,"300",AF46=3,"450",AF46=4,"600",AF46=5,"750",AF46=6,"900",AF46&gt;=7,"1,000"))))</f>
        <v>#NAME?</v>
      </c>
      <c r="AH46" s="69" t="str">
        <f t="shared" si="3"/>
        <v>Fish</v>
      </c>
      <c r="AI46" s="73"/>
    </row>
    <row r="47" spans="1:35" ht="18" customHeight="1">
      <c r="A47" s="63" t="s">
        <v>58</v>
      </c>
      <c r="B47" s="64" t="s">
        <v>25</v>
      </c>
      <c r="C47" s="52"/>
      <c r="D47" s="65"/>
      <c r="E47" s="65">
        <v>1</v>
      </c>
      <c r="F47" s="65"/>
      <c r="G47" s="65">
        <v>1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65"/>
      <c r="S47" s="52"/>
      <c r="T47" s="65">
        <v>1</v>
      </c>
      <c r="U47" s="65"/>
      <c r="V47" s="52"/>
      <c r="W47" s="65"/>
      <c r="X47" s="52"/>
      <c r="Y47" s="65"/>
      <c r="Z47" s="52"/>
      <c r="AA47" s="65"/>
      <c r="AB47" s="65"/>
      <c r="AC47" s="52"/>
      <c r="AD47" s="65"/>
      <c r="AE47" s="67"/>
      <c r="AF47" s="66">
        <f t="shared" si="4"/>
        <v>3</v>
      </c>
      <c r="AG47" s="68" t="e">
        <f ca="1">IF(A47="O", (VALUE(_xludf.IFS(AF47=0,"0",AF47=1,"150",AF47=2,"300",AF47=3,"450",AF47=4,"600",AF47=5,"750",AF47&gt;=6,"800"))),(VALUE(_xludf.IFS(AF47=0,"0",AF47=1,"150",AF47=2,"300",AF47=3,"450",AF47=4,"600",AF47=5,"750",AF47=6,"900",AF47&gt;=7,"1,000"))))</f>
        <v>#NAME?</v>
      </c>
      <c r="AH47" s="69" t="str">
        <f t="shared" si="3"/>
        <v>潘潘</v>
      </c>
      <c r="AI47" s="73"/>
    </row>
    <row r="48" spans="1:35" ht="18" customHeight="1">
      <c r="A48" s="63" t="s">
        <v>58</v>
      </c>
      <c r="B48" s="64" t="s">
        <v>63</v>
      </c>
      <c r="C48" s="52"/>
      <c r="D48" s="65">
        <v>1</v>
      </c>
      <c r="E48" s="65"/>
      <c r="F48" s="65"/>
      <c r="G48" s="65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65">
        <v>1</v>
      </c>
      <c r="S48" s="52"/>
      <c r="T48" s="65"/>
      <c r="U48" s="65"/>
      <c r="V48" s="52"/>
      <c r="W48" s="65"/>
      <c r="X48" s="52"/>
      <c r="Y48" s="65"/>
      <c r="Z48" s="52"/>
      <c r="AA48" s="65"/>
      <c r="AB48" s="65"/>
      <c r="AC48" s="52"/>
      <c r="AD48" s="65"/>
      <c r="AE48" s="67"/>
      <c r="AF48" s="66">
        <f t="shared" si="4"/>
        <v>2</v>
      </c>
      <c r="AG48" s="68" t="e">
        <f ca="1">IF(A48="O", (VALUE(_xludf.IFS(AF48=0,"0",AF48=1,"150",AF48=2,"300",AF48=3,"450",AF48=4,"600",AF48=5,"750",AF48&gt;=6,"800"))),(VALUE(_xludf.IFS(AF48=0,"0",AF48=1,"150",AF48=2,"300",AF48=3,"450",AF48=4,"600",AF48=5,"750",AF48=6,"900",AF48&gt;=7,"1,000"))))</f>
        <v>#NAME?</v>
      </c>
      <c r="AH48" s="69" t="str">
        <f t="shared" si="3"/>
        <v>芒果</v>
      </c>
      <c r="AI48" s="73"/>
    </row>
    <row r="49" spans="1:35" ht="18" customHeight="1">
      <c r="A49" s="63" t="s">
        <v>58</v>
      </c>
      <c r="B49" s="64" t="s">
        <v>22</v>
      </c>
      <c r="C49" s="52"/>
      <c r="D49" s="65"/>
      <c r="E49" s="65">
        <v>1</v>
      </c>
      <c r="F49" s="65"/>
      <c r="G49" s="65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65"/>
      <c r="S49" s="52"/>
      <c r="T49" s="65"/>
      <c r="U49" s="65"/>
      <c r="V49" s="52"/>
      <c r="W49" s="65"/>
      <c r="X49" s="52"/>
      <c r="Y49" s="65"/>
      <c r="Z49" s="52"/>
      <c r="AA49" s="65"/>
      <c r="AB49" s="65"/>
      <c r="AC49" s="52"/>
      <c r="AD49" s="65"/>
      <c r="AE49" s="67"/>
      <c r="AF49" s="66">
        <f t="shared" si="4"/>
        <v>1</v>
      </c>
      <c r="AG49" s="68" t="e">
        <f ca="1">IF(A49="O", (VALUE(_xludf.IFS(AF49=0,"0",AF49=1,"150",AF49=2,"300",AF49=3,"450",AF49=4,"600",AF49=5,"750",AF49&gt;=6,"800"))),(VALUE(_xludf.IFS(AF49=0,"0",AF49=1,"150",AF49=2,"300",AF49=3,"450",AF49=4,"600",AF49=5,"750",AF49=6,"900",AF49&gt;=7,"1,000"))))</f>
        <v>#NAME?</v>
      </c>
      <c r="AH49" s="69" t="str">
        <f t="shared" si="3"/>
        <v>Mars</v>
      </c>
      <c r="AI49" s="73"/>
    </row>
    <row r="50" spans="1:35" ht="18" customHeight="1">
      <c r="A50" s="63" t="s">
        <v>58</v>
      </c>
      <c r="B50" s="64" t="s">
        <v>59</v>
      </c>
      <c r="C50" s="52"/>
      <c r="D50" s="65"/>
      <c r="E50" s="65"/>
      <c r="F50" s="65"/>
      <c r="G50" s="65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65"/>
      <c r="S50" s="52"/>
      <c r="T50" s="65"/>
      <c r="U50" s="65"/>
      <c r="V50" s="52"/>
      <c r="W50" s="65"/>
      <c r="X50" s="52"/>
      <c r="Y50" s="65"/>
      <c r="Z50" s="52"/>
      <c r="AA50" s="65"/>
      <c r="AB50" s="65"/>
      <c r="AC50" s="52"/>
      <c r="AD50" s="65"/>
      <c r="AE50" s="67"/>
      <c r="AF50" s="66">
        <f t="shared" si="4"/>
        <v>0</v>
      </c>
      <c r="AG50" s="68" t="e">
        <f ca="1">IF(A50="O", (VALUE(_xludf.IFS(AF50=0,"0",AF50=1,"150",AF50=2,"300",AF50=3,"450",AF50=4,"600",AF50=5,"750",AF50&gt;=6,"800"))),(VALUE(_xludf.IFS(AF50=0,"0",AF50=1,"150",AF50=2,"300",AF50=3,"450",AF50=4,"600",AF50=5,"750",AF50=6,"900",AF50&gt;=7,"1,000"))))</f>
        <v>#NAME?</v>
      </c>
      <c r="AH50" s="69" t="str">
        <f t="shared" si="3"/>
        <v>阿幹</v>
      </c>
      <c r="AI50" s="73"/>
    </row>
    <row r="51" spans="1:35" ht="18" customHeight="1">
      <c r="A51" s="63" t="s">
        <v>58</v>
      </c>
      <c r="B51" s="64" t="s">
        <v>27</v>
      </c>
      <c r="C51" s="52"/>
      <c r="D51" s="65"/>
      <c r="E51" s="65"/>
      <c r="F51" s="65"/>
      <c r="G51" s="65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65"/>
      <c r="S51" s="52"/>
      <c r="T51" s="65"/>
      <c r="U51" s="65"/>
      <c r="V51" s="52"/>
      <c r="W51" s="65"/>
      <c r="X51" s="52"/>
      <c r="Y51" s="65"/>
      <c r="Z51" s="52"/>
      <c r="AA51" s="65"/>
      <c r="AB51" s="65"/>
      <c r="AC51" s="52"/>
      <c r="AD51" s="65"/>
      <c r="AE51" s="67"/>
      <c r="AF51" s="66">
        <f t="shared" si="4"/>
        <v>0</v>
      </c>
      <c r="AG51" s="68" t="e">
        <f ca="1">IF(A51="O", (VALUE(_xludf.IFS(AF51=0,"0",AF51=1,"150",AF51=2,"300",AF51=3,"450",AF51=4,"600",AF51=5,"750",AF51&gt;=6,"800"))),(VALUE(_xludf.IFS(AF51=0,"0",AF51=1,"150",AF51=2,"300",AF51=3,"450",AF51=4,"600",AF51=5,"750",AF51=6,"900",AF51&gt;=7,"1,000"))))</f>
        <v>#NAME?</v>
      </c>
      <c r="AH51" s="69" t="str">
        <f t="shared" si="3"/>
        <v>芋圓</v>
      </c>
      <c r="AI51" s="73"/>
    </row>
    <row r="52" spans="1:35" ht="18" customHeight="1">
      <c r="A52" s="63" t="s">
        <v>58</v>
      </c>
      <c r="B52" s="64" t="s">
        <v>28</v>
      </c>
      <c r="C52" s="52"/>
      <c r="D52" s="65"/>
      <c r="E52" s="65"/>
      <c r="F52" s="65"/>
      <c r="G52" s="65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65"/>
      <c r="S52" s="52"/>
      <c r="T52" s="65"/>
      <c r="U52" s="65"/>
      <c r="V52" s="52"/>
      <c r="W52" s="65"/>
      <c r="X52" s="52"/>
      <c r="Y52" s="65"/>
      <c r="Z52" s="52"/>
      <c r="AA52" s="65"/>
      <c r="AB52" s="65">
        <v>1</v>
      </c>
      <c r="AC52" s="52"/>
      <c r="AD52" s="65"/>
      <c r="AE52" s="67"/>
      <c r="AF52" s="66">
        <f t="shared" si="4"/>
        <v>1</v>
      </c>
      <c r="AG52" s="68" t="e">
        <f ca="1">IF(A52="O", (VALUE(_xludf.IFS(AF52=0,"0",AF52=1,"150",AF52=2,"300",AF52=3,"450",AF52=4,"600",AF52=5,"750",AF52&gt;=6,"800"))),(VALUE(_xludf.IFS(AF52=0,"0",AF52=1,"150",AF52=2,"300",AF52=3,"450",AF52=4,"600",AF52=5,"750",AF52=6,"900",AF52&gt;=7,"1,000"))))</f>
        <v>#NAME?</v>
      </c>
      <c r="AH52" s="69" t="str">
        <f t="shared" si="3"/>
        <v>克勤</v>
      </c>
      <c r="AI52" s="73"/>
    </row>
    <row r="53" spans="1:35" ht="18" customHeight="1">
      <c r="A53" s="63" t="s">
        <v>58</v>
      </c>
      <c r="B53" s="64" t="s">
        <v>29</v>
      </c>
      <c r="C53" s="52"/>
      <c r="D53" s="65">
        <v>1</v>
      </c>
      <c r="E53" s="65"/>
      <c r="F53" s="65"/>
      <c r="G53" s="65">
        <v>1</v>
      </c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65">
        <v>1</v>
      </c>
      <c r="S53" s="52"/>
      <c r="T53" s="65"/>
      <c r="U53" s="65">
        <v>1</v>
      </c>
      <c r="V53" s="52"/>
      <c r="W53" s="65"/>
      <c r="X53" s="52"/>
      <c r="Y53" s="65">
        <v>1</v>
      </c>
      <c r="Z53" s="52"/>
      <c r="AA53" s="65"/>
      <c r="AB53" s="65">
        <v>1</v>
      </c>
      <c r="AC53" s="52"/>
      <c r="AD53" s="65">
        <v>1</v>
      </c>
      <c r="AE53" s="67"/>
      <c r="AF53" s="66">
        <f t="shared" si="4"/>
        <v>7</v>
      </c>
      <c r="AG53" s="68" t="e">
        <f ca="1">IF(A53="O", (VALUE(_xludf.IFS(AF53=0,"0",AF53=1,"150",AF53=2,"300",AF53=3,"450",AF53=4,"600",AF53=5,"750",AF53&gt;=6,"800"))),(VALUE(_xludf.IFS(AF53=0,"0",AF53=1,"150",AF53=2,"300",AF53=3,"450",AF53=4,"600",AF53=5,"750",AF53=6,"900",AF53&gt;=7,"1,000"))))</f>
        <v>#NAME?</v>
      </c>
      <c r="AH53" s="69" t="str">
        <f t="shared" si="3"/>
        <v>大頭</v>
      </c>
      <c r="AI53" s="73"/>
    </row>
    <row r="54" spans="1:35" ht="18" customHeight="1">
      <c r="A54" s="63" t="s">
        <v>58</v>
      </c>
      <c r="B54" s="64" t="s">
        <v>66</v>
      </c>
      <c r="C54" s="52"/>
      <c r="D54" s="65"/>
      <c r="E54" s="65"/>
      <c r="F54" s="65"/>
      <c r="G54" s="65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65"/>
      <c r="S54" s="52"/>
      <c r="T54" s="65"/>
      <c r="U54" s="65"/>
      <c r="V54" s="52"/>
      <c r="W54" s="65"/>
      <c r="X54" s="52"/>
      <c r="Y54" s="65"/>
      <c r="Z54" s="52"/>
      <c r="AA54" s="65"/>
      <c r="AB54" s="65"/>
      <c r="AC54" s="52"/>
      <c r="AD54" s="65"/>
      <c r="AE54" s="67"/>
      <c r="AF54" s="66">
        <f t="shared" si="4"/>
        <v>0</v>
      </c>
      <c r="AG54" s="68" t="e">
        <f ca="1">IF(A54="O", (VALUE(_xludf.IFS(AF54=0,"0",AF54=1,"150",AF54=2,"300",AF54=3,"450",AF54=4,"600",AF54=5,"750",AF54&gt;=6,"800"))),(VALUE(_xludf.IFS(AF54=0,"0",AF54=1,"150",AF54=2,"300",AF54=3,"450",AF54=4,"600",AF54=5,"750",AF54=6,"900",AF54&gt;=7,"1,000"))))</f>
        <v>#NAME?</v>
      </c>
      <c r="AH54" s="69" t="str">
        <f t="shared" si="3"/>
        <v>昆佑</v>
      </c>
      <c r="AI54" s="73"/>
    </row>
    <row r="55" spans="1:35" ht="18" customHeight="1">
      <c r="A55" s="63" t="s">
        <v>58</v>
      </c>
      <c r="B55" s="64" t="s">
        <v>68</v>
      </c>
      <c r="C55" s="52"/>
      <c r="D55" s="65"/>
      <c r="E55" s="65"/>
      <c r="F55" s="65"/>
      <c r="G55" s="65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65"/>
      <c r="S55" s="52"/>
      <c r="T55" s="65"/>
      <c r="U55" s="65"/>
      <c r="V55" s="52"/>
      <c r="W55" s="65"/>
      <c r="X55" s="52"/>
      <c r="Y55" s="65"/>
      <c r="Z55" s="52"/>
      <c r="AA55" s="65"/>
      <c r="AB55" s="65"/>
      <c r="AC55" s="52"/>
      <c r="AD55" s="65"/>
      <c r="AE55" s="67"/>
      <c r="AF55" s="66">
        <f t="shared" si="4"/>
        <v>0</v>
      </c>
      <c r="AG55" s="68" t="e">
        <f ca="1">IF(A55="O", (VALUE(_xludf.IFS(AF55=0,"0",AF55=1,"150",AF55=2,"300",AF55=3,"450",AF55=4,"600",AF55=5,"750",AF55&gt;=6,"800"))),(VALUE(_xludf.IFS(AF55=0,"0",AF55=1,"150",AF55=2,"300",AF55=3,"450",AF55=4,"600",AF55=5,"750",AF55=6,"900",AF55&gt;=7,"1,000"))))</f>
        <v>#NAME?</v>
      </c>
      <c r="AH55" s="69" t="str">
        <f t="shared" si="3"/>
        <v>兔子</v>
      </c>
      <c r="AI55" s="73"/>
    </row>
    <row r="56" spans="1:35" ht="18" customHeight="1">
      <c r="A56" s="63" t="s">
        <v>58</v>
      </c>
      <c r="B56" s="64" t="s">
        <v>69</v>
      </c>
      <c r="C56" s="52"/>
      <c r="D56" s="65"/>
      <c r="E56" s="65"/>
      <c r="F56" s="65"/>
      <c r="G56" s="65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65"/>
      <c r="S56" s="52"/>
      <c r="T56" s="65"/>
      <c r="U56" s="65"/>
      <c r="V56" s="52"/>
      <c r="W56" s="65"/>
      <c r="X56" s="52"/>
      <c r="Y56" s="65"/>
      <c r="Z56" s="52"/>
      <c r="AA56" s="65"/>
      <c r="AB56" s="65"/>
      <c r="AC56" s="52"/>
      <c r="AD56" s="65"/>
      <c r="AE56" s="67"/>
      <c r="AF56" s="66">
        <f t="shared" si="4"/>
        <v>0</v>
      </c>
      <c r="AG56" s="68" t="e">
        <f ca="1">IF(A56="O", (VALUE(_xludf.IFS(AF56=0,"0",AF56=1,"150",AF56=2,"300",AF56=3,"450",AF56=4,"600",AF56=5,"750",AF56&gt;=6,"800"))),(VALUE(_xludf.IFS(AF56=0,"0",AF56=1,"150",AF56=2,"300",AF56=3,"450",AF56=4,"600",AF56=5,"750",AF56=6,"900",AF56&gt;=7,"1,000"))))</f>
        <v>#NAME?</v>
      </c>
      <c r="AH56" s="69" t="str">
        <f t="shared" si="3"/>
        <v>小馬</v>
      </c>
      <c r="AI56" s="73"/>
    </row>
    <row r="57" spans="1:35" ht="18" customHeight="1">
      <c r="A57" s="63" t="s">
        <v>58</v>
      </c>
      <c r="B57" s="64" t="s">
        <v>70</v>
      </c>
      <c r="C57" s="52"/>
      <c r="D57" s="65"/>
      <c r="E57" s="65"/>
      <c r="F57" s="65"/>
      <c r="G57" s="65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65"/>
      <c r="S57" s="52"/>
      <c r="T57" s="65"/>
      <c r="U57" s="65"/>
      <c r="V57" s="52"/>
      <c r="W57" s="65"/>
      <c r="X57" s="52"/>
      <c r="Y57" s="65"/>
      <c r="Z57" s="52"/>
      <c r="AA57" s="65"/>
      <c r="AB57" s="65"/>
      <c r="AC57" s="52"/>
      <c r="AD57" s="65"/>
      <c r="AE57" s="67"/>
      <c r="AF57" s="66">
        <f t="shared" si="4"/>
        <v>0</v>
      </c>
      <c r="AG57" s="68" t="e">
        <f ca="1">IF(A57="O", (VALUE(_xludf.IFS(AF57=0,"0",AF57=1,"150",AF57=2,"300",AF57=3,"450",AF57=4,"600",AF57=5,"750",AF57&gt;=6,"800"))),(VALUE(_xludf.IFS(AF57=0,"0",AF57=1,"150",AF57=2,"300",AF57=3,"450",AF57=4,"600",AF57=5,"750",AF57=6,"900",AF57&gt;=7,"1,000"))))</f>
        <v>#NAME?</v>
      </c>
      <c r="AH57" s="69" t="str">
        <f t="shared" si="3"/>
        <v>Allen</v>
      </c>
      <c r="AI57" s="73"/>
    </row>
    <row r="58" spans="1:35" ht="18" customHeight="1">
      <c r="A58" s="63" t="s">
        <v>58</v>
      </c>
      <c r="B58" s="64" t="s">
        <v>71</v>
      </c>
      <c r="C58" s="52"/>
      <c r="D58" s="65"/>
      <c r="E58" s="65"/>
      <c r="F58" s="65"/>
      <c r="G58" s="65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65"/>
      <c r="S58" s="52"/>
      <c r="T58" s="65"/>
      <c r="U58" s="65"/>
      <c r="V58" s="52"/>
      <c r="W58" s="65"/>
      <c r="X58" s="52"/>
      <c r="Y58" s="65"/>
      <c r="Z58" s="52"/>
      <c r="AA58" s="65"/>
      <c r="AB58" s="65"/>
      <c r="AC58" s="52"/>
      <c r="AD58" s="65"/>
      <c r="AE58" s="67"/>
      <c r="AF58" s="66">
        <f t="shared" si="4"/>
        <v>0</v>
      </c>
      <c r="AG58" s="68" t="e">
        <f ca="1">IF(A58="O", (VALUE(_xludf.IFS(AF58=0,"0",AF58=1,"150",AF58=2,"300",AF58=3,"450",AF58=4,"600",AF58=5,"750",AF58&gt;=6,"800"))),(VALUE(_xludf.IFS(AF58=0,"0",AF58=1,"150",AF58=2,"300",AF58=3,"450",AF58=4,"600",AF58=5,"750",AF58=6,"900",AF58&gt;=7,"1,000"))))</f>
        <v>#NAME?</v>
      </c>
      <c r="AH58" s="69" t="str">
        <f t="shared" si="3"/>
        <v>嘴嘴</v>
      </c>
      <c r="AI58" s="73"/>
    </row>
    <row r="59" spans="1:35" ht="18" customHeight="1">
      <c r="A59" s="63" t="s">
        <v>58</v>
      </c>
      <c r="B59" s="64" t="s">
        <v>74</v>
      </c>
      <c r="C59" s="52"/>
      <c r="D59" s="65"/>
      <c r="E59" s="65"/>
      <c r="F59" s="65"/>
      <c r="G59" s="65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65"/>
      <c r="S59" s="52"/>
      <c r="T59" s="65"/>
      <c r="U59" s="65"/>
      <c r="V59" s="52"/>
      <c r="W59" s="65"/>
      <c r="X59" s="52"/>
      <c r="Y59" s="65"/>
      <c r="Z59" s="52"/>
      <c r="AA59" s="65"/>
      <c r="AB59" s="65"/>
      <c r="AC59" s="52"/>
      <c r="AD59" s="65"/>
      <c r="AE59" s="67"/>
      <c r="AF59" s="66">
        <f t="shared" si="4"/>
        <v>0</v>
      </c>
      <c r="AG59" s="68" t="e">
        <f ca="1">IF(A59="O", (VALUE(_xludf.IFS(AF59=0,"0",AF59=1,"150",AF59=2,"300",AF59=3,"450",AF59=4,"600",AF59=5,"750",AF59&gt;=6,"800"))),(VALUE(_xludf.IFS(AF59=0,"0",AF59=1,"150",AF59=2,"300",AF59=3,"450",AF59=4,"600",AF59=5,"750",AF59=6,"900",AF59&gt;=7,"1,000"))))</f>
        <v>#NAME?</v>
      </c>
      <c r="AH59" s="69" t="str">
        <f t="shared" si="3"/>
        <v>蘆葦</v>
      </c>
      <c r="AI59" s="73"/>
    </row>
    <row r="60" spans="1:35" ht="18" customHeight="1">
      <c r="A60" s="63" t="s">
        <v>58</v>
      </c>
      <c r="B60" s="64" t="s">
        <v>30</v>
      </c>
      <c r="C60" s="52"/>
      <c r="D60" s="65">
        <v>1</v>
      </c>
      <c r="E60" s="65">
        <v>1</v>
      </c>
      <c r="F60" s="65">
        <v>1</v>
      </c>
      <c r="G60" s="65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65"/>
      <c r="S60" s="52"/>
      <c r="T60" s="65"/>
      <c r="U60" s="65"/>
      <c r="V60" s="52"/>
      <c r="W60" s="65"/>
      <c r="X60" s="52"/>
      <c r="Y60" s="65"/>
      <c r="Z60" s="52"/>
      <c r="AA60" s="65"/>
      <c r="AB60" s="65"/>
      <c r="AC60" s="52"/>
      <c r="AD60" s="65"/>
      <c r="AE60" s="67"/>
      <c r="AF60" s="66">
        <f t="shared" si="4"/>
        <v>3</v>
      </c>
      <c r="AG60" s="68" t="e">
        <f ca="1">IF(A60="O", (VALUE(_xludf.IFS(AF60=0,"0",AF60=1,"150",AF60=2,"300",AF60=3,"450",AF60=4,"600",AF60=5,"750",AF60&gt;=6,"800"))),(VALUE(_xludf.IFS(AF60=0,"0",AF60=1,"150",AF60=2,"300",AF60=3,"450",AF60=4,"600",AF60=5,"750",AF60=6,"900",AF60&gt;=7,"1,000"))))</f>
        <v>#NAME?</v>
      </c>
      <c r="AH60" s="69" t="str">
        <f t="shared" si="3"/>
        <v>鯰魚</v>
      </c>
      <c r="AI60" s="73"/>
    </row>
    <row r="61" spans="1:35" ht="18" customHeight="1">
      <c r="A61" s="63" t="s">
        <v>58</v>
      </c>
      <c r="B61" s="64" t="s">
        <v>31</v>
      </c>
      <c r="C61" s="52"/>
      <c r="D61" s="65"/>
      <c r="E61" s="65"/>
      <c r="F61" s="65"/>
      <c r="G61" s="65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65"/>
      <c r="S61" s="52"/>
      <c r="T61" s="65"/>
      <c r="U61" s="65"/>
      <c r="V61" s="52"/>
      <c r="W61" s="65"/>
      <c r="X61" s="52"/>
      <c r="Y61" s="65"/>
      <c r="Z61" s="52"/>
      <c r="AA61" s="65"/>
      <c r="AB61" s="65"/>
      <c r="AC61" s="52"/>
      <c r="AD61" s="65"/>
      <c r="AE61" s="67"/>
      <c r="AF61" s="66">
        <f t="shared" si="4"/>
        <v>0</v>
      </c>
      <c r="AG61" s="68" t="e">
        <f ca="1">IF(A61="O", (VALUE(_xludf.IFS(AF61=0,"0",AF61=1,"150",AF61=2,"300",AF61=3,"450",AF61=4,"600",AF61=5,"750",AF61&gt;=6,"800"))),(VALUE(_xludf.IFS(AF61=0,"0",AF61=1,"150",AF61=2,"300",AF61=3,"450",AF61=4,"600",AF61=5,"750",AF61=6,"900",AF61&gt;=7,"1,000"))))</f>
        <v>#NAME?</v>
      </c>
      <c r="AH61" s="69" t="str">
        <f t="shared" si="3"/>
        <v>阿美</v>
      </c>
      <c r="AI61" s="73"/>
    </row>
    <row r="62" spans="1:35" ht="18" customHeight="1">
      <c r="A62" s="63" t="s">
        <v>58</v>
      </c>
      <c r="B62" s="64" t="s">
        <v>73</v>
      </c>
      <c r="C62" s="52"/>
      <c r="D62" s="65"/>
      <c r="E62" s="65"/>
      <c r="F62" s="65"/>
      <c r="G62" s="65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65"/>
      <c r="S62" s="52"/>
      <c r="T62" s="65"/>
      <c r="U62" s="65"/>
      <c r="V62" s="52"/>
      <c r="W62" s="65"/>
      <c r="X62" s="52"/>
      <c r="Y62" s="65"/>
      <c r="Z62" s="52"/>
      <c r="AA62" s="65"/>
      <c r="AB62" s="65"/>
      <c r="AC62" s="52"/>
      <c r="AD62" s="65"/>
      <c r="AE62" s="67"/>
      <c r="AF62" s="66">
        <f t="shared" si="4"/>
        <v>0</v>
      </c>
      <c r="AG62" s="68" t="e">
        <f ca="1">IF(A62="O", (VALUE(_xludf.IFS(AF62=0,"0",AF62=1,"150",AF62=2,"300",AF62=3,"450",AF62=4,"600",AF62=5,"750",AF62&gt;=6,"800"))),(VALUE(_xludf.IFS(AF62=0,"0",AF62=1,"150",AF62=2,"300",AF62=3,"450",AF62=4,"600",AF62=5,"750",AF62=6,"900",AF62&gt;=7,"1,000"))))</f>
        <v>#NAME?</v>
      </c>
      <c r="AH62" s="69" t="str">
        <f t="shared" si="3"/>
        <v>冠軍</v>
      </c>
      <c r="AI62" s="73"/>
    </row>
    <row r="63" spans="1:35" ht="18" customHeight="1">
      <c r="A63" s="63" t="s">
        <v>58</v>
      </c>
      <c r="B63" s="64" t="s">
        <v>26</v>
      </c>
      <c r="C63" s="52"/>
      <c r="D63" s="65">
        <v>1</v>
      </c>
      <c r="E63" s="65"/>
      <c r="F63" s="65"/>
      <c r="G63" s="65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65">
        <v>1</v>
      </c>
      <c r="S63" s="52"/>
      <c r="T63" s="65"/>
      <c r="U63" s="65"/>
      <c r="V63" s="52"/>
      <c r="W63" s="65"/>
      <c r="X63" s="52"/>
      <c r="Y63" s="65"/>
      <c r="Z63" s="52"/>
      <c r="AA63" s="65"/>
      <c r="AB63" s="65"/>
      <c r="AC63" s="52"/>
      <c r="AD63" s="65"/>
      <c r="AE63" s="67"/>
      <c r="AF63" s="66">
        <f t="shared" si="4"/>
        <v>2</v>
      </c>
      <c r="AG63" s="68" t="e">
        <f ca="1">IF(A63="O", (VALUE(_xludf.IFS(AF63=0,"0",AF63=1,"150",AF63=2,"300",AF63=3,"450",AF63=4,"600",AF63=5,"750",AF63&gt;=6,"800"))),(VALUE(_xludf.IFS(AF63=0,"0",AF63=1,"150",AF63=2,"300",AF63=3,"450",AF63=4,"600",AF63=5,"750",AF63=6,"900",AF63&gt;=7,"1,000"))))</f>
        <v>#NAME?</v>
      </c>
      <c r="AH63" s="69" t="str">
        <f t="shared" si="3"/>
        <v>曉強</v>
      </c>
      <c r="AI63" s="73"/>
    </row>
    <row r="64" spans="1:35" ht="18" customHeight="1">
      <c r="A64" s="63" t="s">
        <v>58</v>
      </c>
      <c r="B64" s="64" t="s">
        <v>198</v>
      </c>
      <c r="C64" s="52"/>
      <c r="D64" s="65"/>
      <c r="E64" s="65"/>
      <c r="F64" s="65"/>
      <c r="G64" s="65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65"/>
      <c r="S64" s="52"/>
      <c r="T64" s="65"/>
      <c r="U64" s="65">
        <v>1</v>
      </c>
      <c r="V64" s="52"/>
      <c r="W64" s="65"/>
      <c r="X64" s="52"/>
      <c r="Y64" s="65">
        <v>1</v>
      </c>
      <c r="Z64" s="52"/>
      <c r="AA64" s="65"/>
      <c r="AB64" s="65"/>
      <c r="AC64" s="52"/>
      <c r="AD64" s="65"/>
      <c r="AE64" s="67"/>
      <c r="AF64" s="66">
        <f t="shared" si="4"/>
        <v>2</v>
      </c>
      <c r="AG64" s="68" t="e">
        <f ca="1">IF(A64="O", (VALUE(_xludf.IFS(AF64=0,"0",AF64=1,"150",AF64=2,"300",AF64=3,"450",AF64=4,"600",AF64=5,"750",AF64&gt;=6,"800"))),(VALUE(_xludf.IFS(AF64=0,"0",AF64=1,"150",AF64=2,"300",AF64=3,"450",AF64=4,"600",AF64=5,"750",AF64=6,"900",AF64&gt;=7,"1,000"))))</f>
        <v>#NAME?</v>
      </c>
      <c r="AH64" s="69" t="str">
        <f t="shared" si="3"/>
        <v>郁翔</v>
      </c>
      <c r="AI64" s="73"/>
    </row>
    <row r="65" spans="1:35" ht="18" customHeight="1">
      <c r="A65" s="63" t="s">
        <v>58</v>
      </c>
      <c r="B65" s="64" t="s">
        <v>67</v>
      </c>
      <c r="C65" s="52"/>
      <c r="D65" s="65"/>
      <c r="E65" s="65"/>
      <c r="F65" s="65"/>
      <c r="G65" s="65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65"/>
      <c r="S65" s="52"/>
      <c r="T65" s="65"/>
      <c r="U65" s="65"/>
      <c r="V65" s="52"/>
      <c r="W65" s="65"/>
      <c r="X65" s="52"/>
      <c r="Y65" s="65"/>
      <c r="Z65" s="52"/>
      <c r="AA65" s="65"/>
      <c r="AB65" s="65"/>
      <c r="AC65" s="52"/>
      <c r="AD65" s="65"/>
      <c r="AE65" s="67"/>
      <c r="AF65" s="66">
        <f t="shared" si="4"/>
        <v>0</v>
      </c>
      <c r="AG65" s="68" t="e">
        <f ca="1">IF(A65="O", (VALUE(_xludf.IFS(AF65=0,"0",AF65=1,"150",AF65=2,"300",AF65=3,"450",AF65=4,"600",AF65=5,"750",AF65&gt;=6,"800"))),(VALUE(_xludf.IFS(AF65=0,"0",AF65=1,"150",AF65=2,"300",AF65=3,"450",AF65=4,"600",AF65=5,"750",AF65=6,"900",AF65&gt;=7,"1,000"))))</f>
        <v>#NAME?</v>
      </c>
      <c r="AH65" s="69" t="str">
        <f t="shared" si="3"/>
        <v>歐吉</v>
      </c>
      <c r="AI65" s="73"/>
    </row>
    <row r="66" spans="1:35" ht="18" customHeight="1">
      <c r="A66" s="63" t="s">
        <v>58</v>
      </c>
      <c r="B66" s="64" t="s">
        <v>65</v>
      </c>
      <c r="C66" s="52"/>
      <c r="D66" s="65"/>
      <c r="E66" s="65"/>
      <c r="F66" s="65"/>
      <c r="G66" s="65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65"/>
      <c r="S66" s="52"/>
      <c r="T66" s="65"/>
      <c r="U66" s="65"/>
      <c r="V66" s="52"/>
      <c r="W66" s="65"/>
      <c r="X66" s="52"/>
      <c r="Y66" s="65"/>
      <c r="Z66" s="52"/>
      <c r="AA66" s="65"/>
      <c r="AB66" s="65"/>
      <c r="AC66" s="52"/>
      <c r="AD66" s="65"/>
      <c r="AE66" s="67"/>
      <c r="AF66" s="66">
        <f t="shared" si="4"/>
        <v>0</v>
      </c>
      <c r="AG66" s="68" t="e">
        <f ca="1">IF(A66="O", (VALUE(_xludf.IFS(AF66=0,"0",AF66=1,"150",AF66=2,"300",AF66=3,"450",AF66=4,"600",AF66=5,"750",AF66&gt;=6,"800"))),(VALUE(_xludf.IFS(AF66=0,"0",AF66=1,"150",AF66=2,"300",AF66=3,"450",AF66=4,"600",AF66=5,"750",AF66=6,"900",AF66&gt;=7,"1,000"))))</f>
        <v>#NAME?</v>
      </c>
      <c r="AH66" s="69" t="str">
        <f t="shared" si="3"/>
        <v>文淵</v>
      </c>
      <c r="AI66" s="73"/>
    </row>
    <row r="67" spans="1:35" ht="18" customHeight="1">
      <c r="A67" s="63" t="s">
        <v>58</v>
      </c>
      <c r="B67" s="64" t="s">
        <v>75</v>
      </c>
      <c r="C67" s="52"/>
      <c r="D67" s="65"/>
      <c r="E67" s="65"/>
      <c r="F67" s="65"/>
      <c r="G67" s="65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65"/>
      <c r="S67" s="52"/>
      <c r="T67" s="65"/>
      <c r="U67" s="65"/>
      <c r="V67" s="52"/>
      <c r="W67" s="65"/>
      <c r="X67" s="52"/>
      <c r="Y67" s="65"/>
      <c r="Z67" s="52"/>
      <c r="AA67" s="65"/>
      <c r="AB67" s="65"/>
      <c r="AC67" s="52"/>
      <c r="AD67" s="65"/>
      <c r="AE67" s="67"/>
      <c r="AF67" s="66">
        <f t="shared" si="4"/>
        <v>0</v>
      </c>
      <c r="AG67" s="68" t="e">
        <f ca="1">IF(A67="O", (VALUE(_xludf.IFS(AF67=0,"0",AF67=1,"150",AF67=2,"300",AF67=3,"450",AF67=4,"600",AF67=5,"750",AF67&gt;=6,"800"))),(VALUE(_xludf.IFS(AF67=0,"0",AF67=1,"150",AF67=2,"300",AF67=3,"450",AF67=4,"600",AF67=5,"750",AF67=6,"900",AF67&gt;=7,"1,000"))))</f>
        <v>#NAME?</v>
      </c>
      <c r="AH67" s="69" t="str">
        <f t="shared" si="3"/>
        <v>叮噹</v>
      </c>
      <c r="AI67" s="73"/>
    </row>
    <row r="68" spans="1:35" ht="18" customHeight="1">
      <c r="A68" s="63" t="s">
        <v>58</v>
      </c>
      <c r="B68" s="64" t="s">
        <v>76</v>
      </c>
      <c r="C68" s="52"/>
      <c r="D68" s="65"/>
      <c r="E68" s="65"/>
      <c r="F68" s="65"/>
      <c r="G68" s="65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65"/>
      <c r="S68" s="52"/>
      <c r="T68" s="65"/>
      <c r="U68" s="65"/>
      <c r="V68" s="52"/>
      <c r="W68" s="65"/>
      <c r="X68" s="52"/>
      <c r="Y68" s="65"/>
      <c r="Z68" s="52"/>
      <c r="AA68" s="65"/>
      <c r="AB68" s="65"/>
      <c r="AC68" s="52"/>
      <c r="AD68" s="65"/>
      <c r="AE68" s="67"/>
      <c r="AF68" s="66">
        <f t="shared" si="4"/>
        <v>0</v>
      </c>
      <c r="AG68" s="68" t="e">
        <f ca="1">IF(A68="O", (VALUE(_xludf.IFS(AF68=0,"0",AF68=1,"150",AF68=2,"300",AF68=3,"450",AF68=4,"600",AF68=5,"750",AF68&gt;=6,"800"))),(VALUE(_xludf.IFS(AF68=0,"0",AF68=1,"150",AF68=2,"300",AF68=3,"450",AF68=4,"600",AF68=5,"750",AF68=6,"900",AF68&gt;=7,"1,000"))))</f>
        <v>#NAME?</v>
      </c>
      <c r="AH68" s="69" t="str">
        <f t="shared" ref="AH68:AH99" si="5">B68</f>
        <v>肥肥</v>
      </c>
      <c r="AI68" s="73"/>
    </row>
    <row r="69" spans="1:35" ht="18" customHeight="1">
      <c r="A69" s="63" t="s">
        <v>58</v>
      </c>
      <c r="B69" s="64" t="s">
        <v>77</v>
      </c>
      <c r="C69" s="52"/>
      <c r="D69" s="65"/>
      <c r="E69" s="65"/>
      <c r="F69" s="65"/>
      <c r="G69" s="65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65"/>
      <c r="S69" s="52"/>
      <c r="T69" s="65"/>
      <c r="U69" s="65"/>
      <c r="V69" s="52"/>
      <c r="W69" s="65"/>
      <c r="X69" s="52"/>
      <c r="Y69" s="65"/>
      <c r="Z69" s="52"/>
      <c r="AA69" s="65"/>
      <c r="AB69" s="65"/>
      <c r="AC69" s="52"/>
      <c r="AD69" s="65"/>
      <c r="AE69" s="67"/>
      <c r="AF69" s="66">
        <f t="shared" ref="AF69:AF100" si="6">COUNTA(C69:AD69)</f>
        <v>0</v>
      </c>
      <c r="AG69" s="68" t="e">
        <f ca="1">IF(A69="O", (VALUE(_xludf.IFS(AF69=0,"0",AF69=1,"150",AF69=2,"300",AF69=3,"450",AF69=4,"600",AF69=5,"750",AF69&gt;=6,"800"))),(VALUE(_xludf.IFS(AF69=0,"0",AF69=1,"150",AF69=2,"300",AF69=3,"450",AF69=4,"600",AF69=5,"750",AF69=6,"900",AF69&gt;=7,"1,000"))))</f>
        <v>#NAME?</v>
      </c>
      <c r="AH69" s="69" t="str">
        <f t="shared" si="5"/>
        <v>小夫</v>
      </c>
      <c r="AI69" s="73"/>
    </row>
    <row r="70" spans="1:35" ht="18" customHeight="1">
      <c r="A70" s="63" t="s">
        <v>58</v>
      </c>
      <c r="B70" s="64" t="s">
        <v>78</v>
      </c>
      <c r="C70" s="52"/>
      <c r="D70" s="65"/>
      <c r="E70" s="65"/>
      <c r="F70" s="65"/>
      <c r="G70" s="65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65"/>
      <c r="S70" s="52"/>
      <c r="T70" s="65"/>
      <c r="U70" s="65"/>
      <c r="V70" s="52"/>
      <c r="W70" s="65"/>
      <c r="X70" s="52"/>
      <c r="Y70" s="65"/>
      <c r="Z70" s="52"/>
      <c r="AA70" s="65"/>
      <c r="AB70" s="65"/>
      <c r="AC70" s="52"/>
      <c r="AD70" s="65"/>
      <c r="AE70" s="67"/>
      <c r="AF70" s="66">
        <f t="shared" si="6"/>
        <v>0</v>
      </c>
      <c r="AG70" s="68" t="e">
        <f ca="1">IF(A70="O", (VALUE(_xludf.IFS(AF70=0,"0",AF70=1,"150",AF70=2,"300",AF70=3,"450",AF70=4,"600",AF70=5,"750",AF70&gt;=6,"800"))),(VALUE(_xludf.IFS(AF70=0,"0",AF70=1,"150",AF70=2,"300",AF70=3,"450",AF70=4,"600",AF70=5,"750",AF70=6,"900",AF70&gt;=7,"1,000"))))</f>
        <v>#NAME?</v>
      </c>
      <c r="AH70" s="69" t="str">
        <f t="shared" si="5"/>
        <v>小邱</v>
      </c>
      <c r="AI70" s="73"/>
    </row>
    <row r="71" spans="1:35" ht="18" customHeight="1">
      <c r="A71" s="63" t="s">
        <v>58</v>
      </c>
      <c r="B71" s="64" t="s">
        <v>79</v>
      </c>
      <c r="C71" s="52"/>
      <c r="D71" s="65"/>
      <c r="E71" s="65"/>
      <c r="F71" s="65"/>
      <c r="G71" s="65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65"/>
      <c r="S71" s="52"/>
      <c r="T71" s="65"/>
      <c r="U71" s="65"/>
      <c r="V71" s="52"/>
      <c r="W71" s="65"/>
      <c r="X71" s="52"/>
      <c r="Y71" s="65"/>
      <c r="Z71" s="52"/>
      <c r="AA71" s="65"/>
      <c r="AB71" s="65"/>
      <c r="AC71" s="52"/>
      <c r="AD71" s="65"/>
      <c r="AE71" s="67"/>
      <c r="AF71" s="66">
        <f t="shared" si="6"/>
        <v>0</v>
      </c>
      <c r="AG71" s="68" t="e">
        <f ca="1">IF(A71="O", (VALUE(_xludf.IFS(AF71=0,"0",AF71=1,"150",AF71=2,"300",AF71=3,"450",AF71=4,"600",AF71=5,"750",AF71&gt;=6,"800"))),(VALUE(_xludf.IFS(AF71=0,"0",AF71=1,"150",AF71=2,"300",AF71=3,"450",AF71=4,"600",AF71=5,"750",AF71=6,"900",AF71&gt;=7,"1,000"))))</f>
        <v>#NAME?</v>
      </c>
      <c r="AH71" s="69" t="str">
        <f t="shared" si="5"/>
        <v>淳淳</v>
      </c>
      <c r="AI71" s="73"/>
    </row>
    <row r="72" spans="1:35" ht="18" customHeight="1">
      <c r="A72" s="63" t="s">
        <v>58</v>
      </c>
      <c r="B72" s="64" t="s">
        <v>80</v>
      </c>
      <c r="C72" s="52"/>
      <c r="D72" s="65"/>
      <c r="E72" s="65"/>
      <c r="F72" s="65"/>
      <c r="G72" s="65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65"/>
      <c r="S72" s="52"/>
      <c r="T72" s="65"/>
      <c r="U72" s="65"/>
      <c r="V72" s="52"/>
      <c r="W72" s="65"/>
      <c r="X72" s="52"/>
      <c r="Y72" s="65"/>
      <c r="Z72" s="52"/>
      <c r="AA72" s="65"/>
      <c r="AB72" s="65"/>
      <c r="AC72" s="52"/>
      <c r="AD72" s="65"/>
      <c r="AE72" s="67"/>
      <c r="AF72" s="66">
        <f t="shared" si="6"/>
        <v>0</v>
      </c>
      <c r="AG72" s="68" t="e">
        <f ca="1">IF(A72="O", (VALUE(_xludf.IFS(AF72=0,"0",AF72=1,"150",AF72=2,"300",AF72=3,"450",AF72=4,"600",AF72=5,"750",AF72&gt;=6,"800"))),(VALUE(_xludf.IFS(AF72=0,"0",AF72=1,"150",AF72=2,"300",AF72=3,"450",AF72=4,"600",AF72=5,"750",AF72=6,"900",AF72&gt;=7,"1,000"))))</f>
        <v>#NAME?</v>
      </c>
      <c r="AH72" s="69" t="str">
        <f t="shared" si="5"/>
        <v>禿鷹</v>
      </c>
      <c r="AI72" s="73"/>
    </row>
    <row r="73" spans="1:35" ht="18" customHeight="1">
      <c r="A73" s="63" t="s">
        <v>58</v>
      </c>
      <c r="B73" s="64" t="s">
        <v>81</v>
      </c>
      <c r="C73" s="52"/>
      <c r="D73" s="65"/>
      <c r="E73" s="65"/>
      <c r="F73" s="65"/>
      <c r="G73" s="65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65"/>
      <c r="S73" s="52"/>
      <c r="T73" s="65"/>
      <c r="U73" s="65"/>
      <c r="V73" s="52"/>
      <c r="W73" s="65"/>
      <c r="X73" s="52"/>
      <c r="Y73" s="65"/>
      <c r="Z73" s="52"/>
      <c r="AA73" s="65"/>
      <c r="AB73" s="65"/>
      <c r="AC73" s="52"/>
      <c r="AD73" s="65"/>
      <c r="AE73" s="67"/>
      <c r="AF73" s="66">
        <f t="shared" si="6"/>
        <v>0</v>
      </c>
      <c r="AG73" s="68" t="e">
        <f ca="1">IF(A73="O", (VALUE(_xludf.IFS(AF73=0,"0",AF73=1,"150",AF73=2,"300",AF73=3,"450",AF73=4,"600",AF73=5,"750",AF73&gt;=6,"800"))),(VALUE(_xludf.IFS(AF73=0,"0",AF73=1,"150",AF73=2,"300",AF73=3,"450",AF73=4,"600",AF73=5,"750",AF73=6,"900",AF73&gt;=7,"1,000"))))</f>
        <v>#NAME?</v>
      </c>
      <c r="AH73" s="69" t="str">
        <f t="shared" si="5"/>
        <v>王宏</v>
      </c>
      <c r="AI73" s="73"/>
    </row>
    <row r="74" spans="1:35" ht="18" customHeight="1">
      <c r="A74" s="63" t="s">
        <v>58</v>
      </c>
      <c r="B74" s="64" t="s">
        <v>82</v>
      </c>
      <c r="C74" s="52"/>
      <c r="D74" s="65"/>
      <c r="E74" s="65"/>
      <c r="F74" s="65"/>
      <c r="G74" s="65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65"/>
      <c r="S74" s="52"/>
      <c r="T74" s="65"/>
      <c r="U74" s="65"/>
      <c r="V74" s="52"/>
      <c r="W74" s="65"/>
      <c r="X74" s="52"/>
      <c r="Y74" s="65"/>
      <c r="Z74" s="52"/>
      <c r="AA74" s="65"/>
      <c r="AB74" s="65"/>
      <c r="AC74" s="52"/>
      <c r="AD74" s="65"/>
      <c r="AE74" s="67"/>
      <c r="AF74" s="66">
        <f t="shared" si="6"/>
        <v>0</v>
      </c>
      <c r="AG74" s="68" t="e">
        <f ca="1">IF(A74="O", (VALUE(_xludf.IFS(AF74=0,"0",AF74=1,"150",AF74=2,"300",AF74=3,"450",AF74=4,"600",AF74=5,"750",AF74&gt;=6,"800"))),(VALUE(_xludf.IFS(AF74=0,"0",AF74=1,"150",AF74=2,"300",AF74=3,"450",AF74=4,"600",AF74=5,"750",AF74=6,"900",AF74&gt;=7,"1,000"))))</f>
        <v>#NAME?</v>
      </c>
      <c r="AH74" s="69" t="str">
        <f t="shared" si="5"/>
        <v>犀牛</v>
      </c>
      <c r="AI74" s="73"/>
    </row>
    <row r="75" spans="1:35" ht="18" customHeight="1">
      <c r="A75" s="63" t="s">
        <v>58</v>
      </c>
      <c r="B75" s="64" t="s">
        <v>83</v>
      </c>
      <c r="C75" s="52"/>
      <c r="D75" s="65"/>
      <c r="E75" s="65"/>
      <c r="F75" s="65"/>
      <c r="G75" s="65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65"/>
      <c r="S75" s="52"/>
      <c r="T75" s="65"/>
      <c r="U75" s="65"/>
      <c r="V75" s="52"/>
      <c r="W75" s="65"/>
      <c r="X75" s="52"/>
      <c r="Y75" s="65"/>
      <c r="Z75" s="52"/>
      <c r="AA75" s="65"/>
      <c r="AB75" s="65"/>
      <c r="AC75" s="52"/>
      <c r="AD75" s="65"/>
      <c r="AE75" s="67"/>
      <c r="AF75" s="66">
        <f t="shared" si="6"/>
        <v>0</v>
      </c>
      <c r="AG75" s="68" t="e">
        <f ca="1">IF(A75="O", (VALUE(_xludf.IFS(AF75=0,"0",AF75=1,"150",AF75=2,"300",AF75=3,"450",AF75=4,"600",AF75=5,"750",AF75&gt;=6,"800"))),(VALUE(_xludf.IFS(AF75=0,"0",AF75=1,"150",AF75=2,"300",AF75=3,"450",AF75=4,"600",AF75=5,"750",AF75=6,"900",AF75&gt;=7,"1,000"))))</f>
        <v>#NAME?</v>
      </c>
      <c r="AH75" s="69" t="str">
        <f t="shared" si="5"/>
        <v>來福</v>
      </c>
      <c r="AI75" s="73"/>
    </row>
    <row r="76" spans="1:35" ht="18" customHeight="1">
      <c r="A76" s="63" t="s">
        <v>58</v>
      </c>
      <c r="B76" s="64" t="s">
        <v>84</v>
      </c>
      <c r="C76" s="52"/>
      <c r="D76" s="65"/>
      <c r="E76" s="65"/>
      <c r="F76" s="65"/>
      <c r="G76" s="65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65"/>
      <c r="S76" s="52"/>
      <c r="T76" s="65"/>
      <c r="U76" s="65"/>
      <c r="V76" s="52"/>
      <c r="W76" s="65"/>
      <c r="X76" s="52"/>
      <c r="Y76" s="65"/>
      <c r="Z76" s="52"/>
      <c r="AA76" s="65"/>
      <c r="AB76" s="65"/>
      <c r="AC76" s="52"/>
      <c r="AD76" s="65"/>
      <c r="AE76" s="67"/>
      <c r="AF76" s="66">
        <f t="shared" si="6"/>
        <v>0</v>
      </c>
      <c r="AG76" s="68" t="e">
        <f ca="1">IF(A76="O", (VALUE(_xludf.IFS(AF76=0,"0",AF76=1,"150",AF76=2,"300",AF76=3,"450",AF76=4,"600",AF76=5,"750",AF76&gt;=6,"800"))),(VALUE(_xludf.IFS(AF76=0,"0",AF76=1,"150",AF76=2,"300",AF76=3,"450",AF76=4,"600",AF76=5,"750",AF76=6,"900",AF76&gt;=7,"1,000"))))</f>
        <v>#NAME?</v>
      </c>
      <c r="AH76" s="69" t="str">
        <f t="shared" si="5"/>
        <v>誌誌</v>
      </c>
      <c r="AI76" s="73"/>
    </row>
    <row r="77" spans="1:35" ht="18" customHeight="1">
      <c r="A77" s="63" t="s">
        <v>58</v>
      </c>
      <c r="B77" s="64" t="s">
        <v>86</v>
      </c>
      <c r="C77" s="52"/>
      <c r="D77" s="65"/>
      <c r="E77" s="65"/>
      <c r="F77" s="65"/>
      <c r="G77" s="65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65"/>
      <c r="S77" s="52"/>
      <c r="T77" s="65"/>
      <c r="U77" s="65"/>
      <c r="V77" s="52"/>
      <c r="W77" s="65"/>
      <c r="X77" s="52"/>
      <c r="Y77" s="65"/>
      <c r="Z77" s="52"/>
      <c r="AA77" s="65"/>
      <c r="AB77" s="65"/>
      <c r="AC77" s="52"/>
      <c r="AD77" s="65"/>
      <c r="AE77" s="67"/>
      <c r="AF77" s="66">
        <f t="shared" si="6"/>
        <v>0</v>
      </c>
      <c r="AG77" s="68" t="e">
        <f ca="1">IF(A77="O", (VALUE(_xludf.IFS(AF77=0,"0",AF77=1,"150",AF77=2,"300",AF77=3,"450",AF77=4,"600",AF77=5,"750",AF77&gt;=6,"800"))),(VALUE(_xludf.IFS(AF77=0,"0",AF77=1,"150",AF77=2,"300",AF77=3,"450",AF77=4,"600",AF77=5,"750",AF77=6,"900",AF77&gt;=7,"1,000"))))</f>
        <v>#NAME?</v>
      </c>
      <c r="AH77" s="69" t="str">
        <f t="shared" si="5"/>
        <v>正誼</v>
      </c>
      <c r="AI77" s="73"/>
    </row>
    <row r="78" spans="1:35" ht="18" customHeight="1">
      <c r="A78" s="63" t="s">
        <v>58</v>
      </c>
      <c r="B78" s="64" t="s">
        <v>32</v>
      </c>
      <c r="C78" s="52"/>
      <c r="D78" s="65"/>
      <c r="E78" s="65"/>
      <c r="F78" s="65"/>
      <c r="G78" s="65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65"/>
      <c r="S78" s="52"/>
      <c r="T78" s="65"/>
      <c r="U78" s="65"/>
      <c r="V78" s="52"/>
      <c r="W78" s="65"/>
      <c r="X78" s="52"/>
      <c r="Y78" s="65"/>
      <c r="Z78" s="52"/>
      <c r="AA78" s="65"/>
      <c r="AB78" s="65"/>
      <c r="AC78" s="52"/>
      <c r="AD78" s="65"/>
      <c r="AE78" s="67"/>
      <c r="AF78" s="66">
        <f t="shared" si="6"/>
        <v>0</v>
      </c>
      <c r="AG78" s="68" t="e">
        <f ca="1">IF(A78="O", (VALUE(_xludf.IFS(AF78=0,"0",AF78=1,"150",AF78=2,"300",AF78=3,"450",AF78=4,"600",AF78=5,"750",AF78&gt;=6,"800"))),(VALUE(_xludf.IFS(AF78=0,"0",AF78=1,"150",AF78=2,"300",AF78=3,"450",AF78=4,"600",AF78=5,"750",AF78=6,"900",AF78&gt;=7,"1,000"))))</f>
        <v>#NAME?</v>
      </c>
      <c r="AH78" s="69" t="str">
        <f t="shared" si="5"/>
        <v>小翔</v>
      </c>
      <c r="AI78" s="73"/>
    </row>
    <row r="79" spans="1:35" ht="18" customHeight="1">
      <c r="A79" s="63" t="s">
        <v>58</v>
      </c>
      <c r="B79" s="64" t="s">
        <v>179</v>
      </c>
      <c r="C79" s="52"/>
      <c r="D79" s="65"/>
      <c r="E79" s="65"/>
      <c r="F79" s="65"/>
      <c r="G79" s="65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65"/>
      <c r="S79" s="52"/>
      <c r="T79" s="65"/>
      <c r="U79" s="65"/>
      <c r="V79" s="52"/>
      <c r="W79" s="65"/>
      <c r="X79" s="52"/>
      <c r="Y79" s="65"/>
      <c r="Z79" s="52"/>
      <c r="AA79" s="65"/>
      <c r="AB79" s="65"/>
      <c r="AC79" s="52"/>
      <c r="AD79" s="65"/>
      <c r="AE79" s="67"/>
      <c r="AF79" s="66">
        <f t="shared" si="6"/>
        <v>0</v>
      </c>
      <c r="AG79" s="68" t="e">
        <f ca="1">IF(A79="O", (VALUE(_xludf.IFS(AF79=0,"0",AF79=1,"150",AF79=2,"300",AF79=3,"450",AF79=4,"600",AF79=5,"750",AF79&gt;=6,"800"))),(VALUE(_xludf.IFS(AF79=0,"0",AF79=1,"150",AF79=2,"300",AF79=3,"450",AF79=4,"600",AF79=5,"750",AF79=6,"900",AF79&gt;=7,"1,000"))))</f>
        <v>#NAME?</v>
      </c>
      <c r="AH79" s="69" t="str">
        <f t="shared" si="5"/>
        <v>玹玹</v>
      </c>
      <c r="AI79" s="73"/>
    </row>
    <row r="80" spans="1:35" ht="18" customHeight="1">
      <c r="A80" s="63" t="s">
        <v>58</v>
      </c>
      <c r="B80" s="64" t="s">
        <v>85</v>
      </c>
      <c r="C80" s="52"/>
      <c r="D80" s="65"/>
      <c r="E80" s="65"/>
      <c r="F80" s="65"/>
      <c r="G80" s="65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65"/>
      <c r="S80" s="52"/>
      <c r="T80" s="65"/>
      <c r="U80" s="65"/>
      <c r="V80" s="52"/>
      <c r="W80" s="65"/>
      <c r="X80" s="52"/>
      <c r="Y80" s="65"/>
      <c r="Z80" s="52"/>
      <c r="AA80" s="65"/>
      <c r="AB80" s="65"/>
      <c r="AC80" s="52"/>
      <c r="AD80" s="65"/>
      <c r="AE80" s="67"/>
      <c r="AF80" s="66">
        <f t="shared" si="6"/>
        <v>0</v>
      </c>
      <c r="AG80" s="68" t="e">
        <f ca="1">IF(A80="O", (VALUE(_xludf.IFS(AF80=0,"0",AF80=1,"150",AF80=2,"300",AF80=3,"450",AF80=4,"600",AF80=5,"750",AF80&gt;=6,"800"))),(VALUE(_xludf.IFS(AF80=0,"0",AF80=1,"150",AF80=2,"300",AF80=3,"450",AF80=4,"600",AF80=5,"750",AF80=6,"900",AF80&gt;=7,"1,000"))))</f>
        <v>#NAME?</v>
      </c>
      <c r="AH80" s="69" t="str">
        <f t="shared" si="5"/>
        <v>阿璽</v>
      </c>
      <c r="AI80" s="73"/>
    </row>
    <row r="81" spans="1:35" ht="18" customHeight="1">
      <c r="A81" s="63" t="s">
        <v>58</v>
      </c>
      <c r="B81" s="64" t="s">
        <v>33</v>
      </c>
      <c r="C81" s="52"/>
      <c r="D81" s="65"/>
      <c r="E81" s="65"/>
      <c r="F81" s="65"/>
      <c r="G81" s="65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65"/>
      <c r="S81" s="52"/>
      <c r="T81" s="65"/>
      <c r="U81" s="65"/>
      <c r="V81" s="52"/>
      <c r="W81" s="65"/>
      <c r="X81" s="52"/>
      <c r="Y81" s="65"/>
      <c r="Z81" s="52"/>
      <c r="AA81" s="65"/>
      <c r="AB81" s="65"/>
      <c r="AC81" s="52"/>
      <c r="AD81" s="65"/>
      <c r="AE81" s="67"/>
      <c r="AF81" s="66">
        <f t="shared" si="6"/>
        <v>0</v>
      </c>
      <c r="AG81" s="68" t="e">
        <f ca="1">IF(A81="O", (VALUE(_xludf.IFS(AF81=0,"0",AF81=1,"150",AF81=2,"300",AF81=3,"450",AF81=4,"600",AF81=5,"750",AF81&gt;=6,"800"))),(VALUE(_xludf.IFS(AF81=0,"0",AF81=1,"150",AF81=2,"300",AF81=3,"450",AF81=4,"600",AF81=5,"750",AF81=6,"900",AF81&gt;=7,"1,000"))))</f>
        <v>#NAME?</v>
      </c>
      <c r="AH81" s="69" t="str">
        <f t="shared" si="5"/>
        <v>一飛</v>
      </c>
      <c r="AI81" s="73"/>
    </row>
    <row r="82" spans="1:35" ht="18" customHeight="1">
      <c r="A82" s="63" t="s">
        <v>58</v>
      </c>
      <c r="B82" s="64" t="s">
        <v>34</v>
      </c>
      <c r="C82" s="52"/>
      <c r="D82" s="65"/>
      <c r="E82" s="65"/>
      <c r="F82" s="65"/>
      <c r="G82" s="65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65"/>
      <c r="S82" s="52"/>
      <c r="T82" s="65"/>
      <c r="U82" s="65"/>
      <c r="V82" s="52"/>
      <c r="W82" s="65"/>
      <c r="X82" s="52"/>
      <c r="Y82" s="65"/>
      <c r="Z82" s="52"/>
      <c r="AA82" s="65"/>
      <c r="AB82" s="65"/>
      <c r="AC82" s="52"/>
      <c r="AD82" s="65"/>
      <c r="AE82" s="67"/>
      <c r="AF82" s="66">
        <f t="shared" si="6"/>
        <v>0</v>
      </c>
      <c r="AG82" s="68" t="e">
        <f ca="1">IF(A82="O", (VALUE(_xludf.IFS(AF82=0,"0",AF82=1,"150",AF82=2,"300",AF82=3,"450",AF82=4,"600",AF82=5,"750",AF82&gt;=6,"800"))),(VALUE(_xludf.IFS(AF82=0,"0",AF82=1,"150",AF82=2,"300",AF82=3,"450",AF82=4,"600",AF82=5,"750",AF82=6,"900",AF82&gt;=7,"1,000"))))</f>
        <v>#NAME?</v>
      </c>
      <c r="AH82" s="69" t="str">
        <f t="shared" si="5"/>
        <v>雲翔</v>
      </c>
      <c r="AI82" s="70"/>
    </row>
    <row r="83" spans="1:35" ht="18" customHeight="1">
      <c r="A83" s="63" t="s">
        <v>58</v>
      </c>
      <c r="B83" s="64" t="s">
        <v>88</v>
      </c>
      <c r="C83" s="52"/>
      <c r="D83" s="65"/>
      <c r="E83" s="65"/>
      <c r="F83" s="65"/>
      <c r="G83" s="65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65"/>
      <c r="S83" s="52"/>
      <c r="T83" s="65"/>
      <c r="U83" s="65"/>
      <c r="V83" s="52"/>
      <c r="W83" s="65"/>
      <c r="X83" s="52"/>
      <c r="Y83" s="65"/>
      <c r="Z83" s="52"/>
      <c r="AA83" s="65"/>
      <c r="AB83" s="65"/>
      <c r="AC83" s="52"/>
      <c r="AD83" s="65"/>
      <c r="AE83" s="67"/>
      <c r="AF83" s="66">
        <f t="shared" si="6"/>
        <v>0</v>
      </c>
      <c r="AG83" s="68" t="e">
        <f ca="1">IF(A83="O", (VALUE(_xludf.IFS(AF83=0,"0",AF83=1,"150",AF83=2,"300",AF83=3,"450",AF83=4,"600",AF83=5,"750",AF83&gt;=6,"800"))),(VALUE(_xludf.IFS(AF83=0,"0",AF83=1,"150",AF83=2,"300",AF83=3,"450",AF83=4,"600",AF83=5,"750",AF83=6,"900",AF83&gt;=7,"1,000"))))</f>
        <v>#NAME?</v>
      </c>
      <c r="AH83" s="69" t="str">
        <f t="shared" si="5"/>
        <v>皓皓</v>
      </c>
      <c r="AI83" s="70"/>
    </row>
    <row r="84" spans="1:35" ht="18" customHeight="1">
      <c r="A84" s="63" t="s">
        <v>58</v>
      </c>
      <c r="B84" s="64" t="s">
        <v>35</v>
      </c>
      <c r="C84" s="52"/>
      <c r="D84" s="65"/>
      <c r="E84" s="65"/>
      <c r="F84" s="65"/>
      <c r="G84" s="65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65"/>
      <c r="S84" s="52"/>
      <c r="T84" s="65"/>
      <c r="U84" s="65"/>
      <c r="V84" s="52"/>
      <c r="W84" s="65"/>
      <c r="X84" s="52"/>
      <c r="Y84" s="65"/>
      <c r="Z84" s="52"/>
      <c r="AA84" s="65"/>
      <c r="AB84" s="65"/>
      <c r="AC84" s="52"/>
      <c r="AD84" s="65"/>
      <c r="AE84" s="67"/>
      <c r="AF84" s="66">
        <f t="shared" si="6"/>
        <v>0</v>
      </c>
      <c r="AG84" s="68" t="e">
        <f ca="1">IF(A84="O", (VALUE(_xludf.IFS(AF84=0,"0",AF84=1,"150",AF84=2,"300",AF84=3,"450",AF84=4,"600",AF84=5,"750",AF84&gt;=6,"800"))),(VALUE(_xludf.IFS(AF84=0,"0",AF84=1,"150",AF84=2,"300",AF84=3,"450",AF84=4,"600",AF84=5,"750",AF84=6,"900",AF84&gt;=7,"1,000"))))</f>
        <v>#NAME?</v>
      </c>
      <c r="AH84" s="69" t="str">
        <f t="shared" si="5"/>
        <v>阿戴</v>
      </c>
      <c r="AI84" s="70"/>
    </row>
    <row r="85" spans="1:35" ht="18" customHeight="1">
      <c r="A85" s="63" t="s">
        <v>58</v>
      </c>
      <c r="B85" s="64" t="s">
        <v>36</v>
      </c>
      <c r="C85" s="52"/>
      <c r="D85" s="65"/>
      <c r="E85" s="65"/>
      <c r="F85" s="65"/>
      <c r="G85" s="65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65"/>
      <c r="S85" s="52"/>
      <c r="T85" s="65"/>
      <c r="U85" s="65"/>
      <c r="V85" s="52"/>
      <c r="W85" s="65"/>
      <c r="X85" s="52"/>
      <c r="Y85" s="65"/>
      <c r="Z85" s="52"/>
      <c r="AA85" s="65"/>
      <c r="AB85" s="65"/>
      <c r="AC85" s="52"/>
      <c r="AD85" s="65"/>
      <c r="AE85" s="67"/>
      <c r="AF85" s="66">
        <f t="shared" si="6"/>
        <v>0</v>
      </c>
      <c r="AG85" s="68" t="e">
        <f ca="1">IF(A85="O", (VALUE(_xludf.IFS(AF85=0,"0",AF85=1,"150",AF85=2,"300",AF85=3,"450",AF85=4,"600",AF85=5,"750",AF85&gt;=6,"800"))),(VALUE(_xludf.IFS(AF85=0,"0",AF85=1,"150",AF85=2,"300",AF85=3,"450",AF85=4,"600",AF85=5,"750",AF85=6,"900",AF85&gt;=7,"1,000"))))</f>
        <v>#NAME?</v>
      </c>
      <c r="AH85" s="69" t="str">
        <f t="shared" si="5"/>
        <v>子澔</v>
      </c>
      <c r="AI85" s="70"/>
    </row>
    <row r="86" spans="1:35" ht="18" customHeight="1">
      <c r="A86" s="63" t="s">
        <v>58</v>
      </c>
      <c r="B86" s="64" t="s">
        <v>37</v>
      </c>
      <c r="C86" s="52"/>
      <c r="D86" s="65">
        <v>1</v>
      </c>
      <c r="E86" s="65"/>
      <c r="F86" s="65"/>
      <c r="G86" s="65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65"/>
      <c r="S86" s="52"/>
      <c r="T86" s="65"/>
      <c r="U86" s="65"/>
      <c r="V86" s="52"/>
      <c r="W86" s="65"/>
      <c r="X86" s="52"/>
      <c r="Y86" s="65"/>
      <c r="Z86" s="52"/>
      <c r="AA86" s="65"/>
      <c r="AB86" s="65"/>
      <c r="AC86" s="52"/>
      <c r="AD86" s="65"/>
      <c r="AE86" s="67"/>
      <c r="AF86" s="66">
        <f t="shared" si="6"/>
        <v>1</v>
      </c>
      <c r="AG86" s="68" t="e">
        <f ca="1">IF(A86="O", (VALUE(_xludf.IFS(AF86=0,"0",AF86=1,"150",AF86=2,"300",AF86=3,"450",AF86=4,"600",AF86=5,"750",AF86&gt;=6,"800"))),(VALUE(_xludf.IFS(AF86=0,"0",AF86=1,"150",AF86=2,"300",AF86=3,"450",AF86=4,"600",AF86=5,"750",AF86=6,"900",AF86&gt;=7,"1,000"))))</f>
        <v>#NAME?</v>
      </c>
      <c r="AH86" s="69" t="str">
        <f t="shared" si="5"/>
        <v>魚仔</v>
      </c>
      <c r="AI86" s="70"/>
    </row>
    <row r="87" spans="1:35" ht="18" customHeight="1">
      <c r="A87" s="63" t="s">
        <v>58</v>
      </c>
      <c r="B87" s="64" t="s">
        <v>87</v>
      </c>
      <c r="C87" s="52"/>
      <c r="D87" s="65"/>
      <c r="E87" s="65">
        <v>1</v>
      </c>
      <c r="F87" s="65"/>
      <c r="G87" s="65">
        <v>1</v>
      </c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65"/>
      <c r="S87" s="52"/>
      <c r="T87" s="65"/>
      <c r="U87" s="65"/>
      <c r="V87" s="52"/>
      <c r="W87" s="65"/>
      <c r="X87" s="52"/>
      <c r="Y87" s="65"/>
      <c r="Z87" s="52"/>
      <c r="AA87" s="65"/>
      <c r="AB87" s="65"/>
      <c r="AC87" s="52"/>
      <c r="AD87" s="65"/>
      <c r="AE87" s="67"/>
      <c r="AF87" s="66">
        <f t="shared" si="6"/>
        <v>2</v>
      </c>
      <c r="AG87" s="68" t="e">
        <f ca="1">IF(A87="O", (VALUE(_xludf.IFS(AF87=0,"0",AF87=1,"150",AF87=2,"300",AF87=3,"450",AF87=4,"600",AF87=5,"750",AF87&gt;=6,"800"))),(VALUE(_xludf.IFS(AF87=0,"0",AF87=1,"150",AF87=2,"300",AF87=3,"450",AF87=4,"600",AF87=5,"750",AF87=6,"900",AF87&gt;=7,"1,000"))))</f>
        <v>#NAME?</v>
      </c>
      <c r="AH87" s="69" t="str">
        <f t="shared" si="5"/>
        <v>Mango</v>
      </c>
      <c r="AI87" s="70"/>
    </row>
    <row r="88" spans="1:35" ht="18" customHeight="1">
      <c r="A88" s="74" t="s">
        <v>58</v>
      </c>
      <c r="B88" s="75" t="s">
        <v>151</v>
      </c>
      <c r="C88" s="52"/>
      <c r="D88" s="76">
        <v>1</v>
      </c>
      <c r="E88" s="76"/>
      <c r="F88" s="76"/>
      <c r="G88" s="76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76">
        <v>1</v>
      </c>
      <c r="S88" s="52"/>
      <c r="T88" s="76"/>
      <c r="U88" s="76"/>
      <c r="V88" s="52"/>
      <c r="W88" s="76"/>
      <c r="X88" s="52"/>
      <c r="Y88" s="76">
        <v>1</v>
      </c>
      <c r="Z88" s="52"/>
      <c r="AA88" s="76"/>
      <c r="AB88" s="76"/>
      <c r="AC88" s="52"/>
      <c r="AD88" s="76"/>
      <c r="AE88" s="67"/>
      <c r="AF88" s="77">
        <f t="shared" si="6"/>
        <v>3</v>
      </c>
      <c r="AG88" s="98" t="e">
        <f ca="1">IF(A88="O", (VALUE(_xludf.IFS(AF88=0,"0",AF88=1,"150",AF88=2,"300",AF88=3,"450",AF88=4,"600",AF88=5,"750",AF88&gt;=6,"800"))),(VALUE(_xludf.IFS(AF88=0,"0",AF88=1,"150",AF88=2,"300",AF88=3,"450",AF88=4,"600",AF88=5,"750",AF88=6,"900",AF88&gt;=7,"1,000"))))</f>
        <v>#NAME?</v>
      </c>
      <c r="AH88" s="79" t="str">
        <f t="shared" si="5"/>
        <v>宇嬅</v>
      </c>
      <c r="AI88" s="82"/>
    </row>
    <row r="89" spans="1:35" ht="18" customHeight="1">
      <c r="A89" s="74" t="s">
        <v>58</v>
      </c>
      <c r="B89" s="75" t="s">
        <v>92</v>
      </c>
      <c r="C89" s="52"/>
      <c r="D89" s="76">
        <v>1</v>
      </c>
      <c r="E89" s="76"/>
      <c r="F89" s="76"/>
      <c r="G89" s="76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76">
        <v>1</v>
      </c>
      <c r="S89" s="52"/>
      <c r="T89" s="76"/>
      <c r="U89" s="76"/>
      <c r="V89" s="52"/>
      <c r="W89" s="76"/>
      <c r="X89" s="52"/>
      <c r="Y89" s="76">
        <v>1</v>
      </c>
      <c r="Z89" s="52"/>
      <c r="AA89" s="76"/>
      <c r="AB89" s="76">
        <v>1</v>
      </c>
      <c r="AC89" s="52"/>
      <c r="AD89" s="76">
        <v>1</v>
      </c>
      <c r="AE89" s="67"/>
      <c r="AF89" s="77">
        <f t="shared" si="6"/>
        <v>5</v>
      </c>
      <c r="AG89" s="98" t="e">
        <f ca="1">IF(A89="O", (VALUE(_xludf.IFS(AF89=0,"0",AF89=1,"150",AF89=2,"300",AF89=3,"450",AF89=4,"600",AF89=5,"750",AF89&gt;=6,"800"))),(VALUE(_xludf.IFS(AF89=0,"0",AF89=1,"150",AF89=2,"300",AF89=3,"450",AF89=4,"600",AF89=5,"750",AF89=6,"900",AF89&gt;=7,"1,000"))))</f>
        <v>#NAME?</v>
      </c>
      <c r="AH89" s="79" t="str">
        <f t="shared" si="5"/>
        <v>婉晴</v>
      </c>
      <c r="AI89" s="82"/>
    </row>
    <row r="90" spans="1:35" ht="18" customHeight="1">
      <c r="A90" s="74" t="s">
        <v>58</v>
      </c>
      <c r="B90" s="75" t="s">
        <v>152</v>
      </c>
      <c r="C90" s="52"/>
      <c r="D90" s="76"/>
      <c r="E90" s="76"/>
      <c r="F90" s="76"/>
      <c r="G90" s="76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76"/>
      <c r="S90" s="52"/>
      <c r="T90" s="76"/>
      <c r="U90" s="76"/>
      <c r="V90" s="52"/>
      <c r="W90" s="76"/>
      <c r="X90" s="52"/>
      <c r="Y90" s="76"/>
      <c r="Z90" s="52"/>
      <c r="AA90" s="76"/>
      <c r="AB90" s="76"/>
      <c r="AC90" s="52"/>
      <c r="AD90" s="76"/>
      <c r="AE90" s="67"/>
      <c r="AF90" s="77">
        <f t="shared" si="6"/>
        <v>0</v>
      </c>
      <c r="AG90" s="98" t="e">
        <f ca="1">IF(A90="O", (VALUE(_xludf.IFS(AF90=0,"0",AF90=1,"150",AF90=2,"300",AF90=3,"450",AF90=4,"600",AF90=5,"750",AF90&gt;=6,"800"))),(VALUE(_xludf.IFS(AF90=0,"0",AF90=1,"150",AF90=2,"300",AF90=3,"450",AF90=4,"600",AF90=5,"750",AF90=6,"900",AF90&gt;=7,"1,000"))))</f>
        <v>#NAME?</v>
      </c>
      <c r="AH90" s="79" t="str">
        <f t="shared" si="5"/>
        <v>阿俗</v>
      </c>
      <c r="AI90" s="81"/>
    </row>
    <row r="91" spans="1:35" ht="18" customHeight="1">
      <c r="A91" s="74" t="s">
        <v>58</v>
      </c>
      <c r="B91" s="75" t="s">
        <v>153</v>
      </c>
      <c r="C91" s="52"/>
      <c r="D91" s="76"/>
      <c r="E91" s="76"/>
      <c r="F91" s="76"/>
      <c r="G91" s="76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76"/>
      <c r="S91" s="52"/>
      <c r="T91" s="76"/>
      <c r="U91" s="76">
        <v>1</v>
      </c>
      <c r="V91" s="52"/>
      <c r="W91" s="76"/>
      <c r="X91" s="52"/>
      <c r="Y91" s="76">
        <v>1</v>
      </c>
      <c r="Z91" s="52"/>
      <c r="AA91" s="76"/>
      <c r="AB91" s="76">
        <v>1</v>
      </c>
      <c r="AC91" s="52"/>
      <c r="AD91" s="76"/>
      <c r="AE91" s="67"/>
      <c r="AF91" s="77">
        <f t="shared" si="6"/>
        <v>3</v>
      </c>
      <c r="AG91" s="98" t="e">
        <f ca="1">IF(A91="O", (VALUE(_xludf.IFS(AF91=0,"0",AF91=1,"150",AF91=2,"300",AF91=3,"450",AF91=4,"600",AF91=5,"750",AF91&gt;=6,"800"))),(VALUE(_xludf.IFS(AF91=0,"0",AF91=1,"150",AF91=2,"300",AF91=3,"450",AF91=4,"600",AF91=5,"750",AF91=6,"900",AF91&gt;=7,"1,000"))))</f>
        <v>#NAME?</v>
      </c>
      <c r="AH91" s="79" t="str">
        <f t="shared" si="5"/>
        <v>傻妹</v>
      </c>
      <c r="AI91" s="82"/>
    </row>
    <row r="92" spans="1:35" ht="18" customHeight="1">
      <c r="A92" s="74" t="s">
        <v>58</v>
      </c>
      <c r="B92" s="75" t="s">
        <v>96</v>
      </c>
      <c r="C92" s="52"/>
      <c r="D92" s="76"/>
      <c r="E92" s="76"/>
      <c r="F92" s="76"/>
      <c r="G92" s="76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76"/>
      <c r="S92" s="52"/>
      <c r="T92" s="76"/>
      <c r="U92" s="76"/>
      <c r="V92" s="52"/>
      <c r="W92" s="76"/>
      <c r="X92" s="52"/>
      <c r="Y92" s="76"/>
      <c r="Z92" s="52"/>
      <c r="AA92" s="76"/>
      <c r="AB92" s="76"/>
      <c r="AC92" s="52"/>
      <c r="AD92" s="76"/>
      <c r="AE92" s="67"/>
      <c r="AF92" s="77">
        <f t="shared" si="6"/>
        <v>0</v>
      </c>
      <c r="AG92" s="98" t="e">
        <f ca="1">IF(A92="O", (VALUE(_xludf.IFS(AF92=0,"0",AF92=1,"150",AF92=2,"300",AF92=3,"450",AF92=4,"600",AF92=5,"750",AF92&gt;=6,"800"))),(VALUE(_xludf.IFS(AF92=0,"0",AF92=1,"150",AF92=2,"300",AF92=3,"450",AF92=4,"600",AF92=5,"750",AF92=6,"900",AF92&gt;=7,"1,000"))))</f>
        <v>#NAME?</v>
      </c>
      <c r="AH92" s="79" t="str">
        <f t="shared" si="5"/>
        <v>靜婷</v>
      </c>
      <c r="AI92" s="81"/>
    </row>
    <row r="93" spans="1:35" ht="18" customHeight="1">
      <c r="A93" s="74" t="s">
        <v>58</v>
      </c>
      <c r="B93" s="75" t="s">
        <v>197</v>
      </c>
      <c r="C93" s="52"/>
      <c r="D93" s="76"/>
      <c r="E93" s="76"/>
      <c r="F93" s="76"/>
      <c r="G93" s="76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76"/>
      <c r="S93" s="52"/>
      <c r="T93" s="76">
        <v>1</v>
      </c>
      <c r="U93" s="76">
        <v>1</v>
      </c>
      <c r="V93" s="52"/>
      <c r="W93" s="76"/>
      <c r="X93" s="52"/>
      <c r="Y93" s="76"/>
      <c r="Z93" s="52"/>
      <c r="AA93" s="76"/>
      <c r="AB93" s="76"/>
      <c r="AC93" s="52"/>
      <c r="AD93" s="76"/>
      <c r="AE93" s="67"/>
      <c r="AF93" s="77">
        <f t="shared" si="6"/>
        <v>2</v>
      </c>
      <c r="AG93" s="98" t="e">
        <f ca="1">IF(A93="O", (VALUE(_xludf.IFS(AF93=0,"0",AF93=1,"150",AF93=2,"300",AF93=3,"450",AF93=4,"600",AF93=5,"750",AF93&gt;=6,"800"))),(VALUE(_xludf.IFS(AF93=0,"0",AF93=1,"150",AF93=2,"300",AF93=3,"450",AF93=4,"600",AF93=5,"750",AF93=6,"900",AF93&gt;=7,"1,000"))))</f>
        <v>#NAME?</v>
      </c>
      <c r="AH93" s="79" t="str">
        <f t="shared" si="5"/>
        <v>Abby</v>
      </c>
      <c r="AI93" s="81"/>
    </row>
    <row r="94" spans="1:35" ht="18" customHeight="1">
      <c r="A94" s="74" t="s">
        <v>58</v>
      </c>
      <c r="B94" s="75" t="s">
        <v>95</v>
      </c>
      <c r="C94" s="52"/>
      <c r="D94" s="76">
        <v>1</v>
      </c>
      <c r="E94" s="76">
        <v>1</v>
      </c>
      <c r="F94" s="76">
        <v>1</v>
      </c>
      <c r="G94" s="76">
        <v>1</v>
      </c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76">
        <v>1</v>
      </c>
      <c r="S94" s="52"/>
      <c r="T94" s="76">
        <v>1</v>
      </c>
      <c r="U94" s="76">
        <v>1</v>
      </c>
      <c r="V94" s="52"/>
      <c r="W94" s="76"/>
      <c r="X94" s="52"/>
      <c r="Y94" s="76">
        <v>1</v>
      </c>
      <c r="Z94" s="52"/>
      <c r="AA94" s="76"/>
      <c r="AB94" s="76">
        <v>1</v>
      </c>
      <c r="AC94" s="52"/>
      <c r="AD94" s="76">
        <v>1</v>
      </c>
      <c r="AE94" s="67"/>
      <c r="AF94" s="77">
        <f t="shared" si="6"/>
        <v>10</v>
      </c>
      <c r="AG94" s="98" t="e">
        <f ca="1">IF(A94="O", (VALUE(_xludf.IFS(AF94=0,"0",AF94=1,"150",AF94=2,"300",AF94=3,"450",AF94=4,"600",AF94=5,"750",AF94&gt;=6,"800"))),(VALUE(_xludf.IFS(AF94=0,"0",AF94=1,"150",AF94=2,"300",AF94=3,"450",AF94=4,"600",AF94=5,"750",AF94=6,"900",AF94&gt;=7,"1,000"))))</f>
        <v>#NAME?</v>
      </c>
      <c r="AH94" s="79" t="str">
        <f t="shared" si="5"/>
        <v>小吱</v>
      </c>
      <c r="AI94" s="81"/>
    </row>
    <row r="95" spans="1:35" ht="18" customHeight="1">
      <c r="A95" s="74" t="s">
        <v>58</v>
      </c>
      <c r="B95" s="75" t="s">
        <v>148</v>
      </c>
      <c r="C95" s="52"/>
      <c r="D95" s="76"/>
      <c r="E95" s="76"/>
      <c r="F95" s="76"/>
      <c r="G95" s="76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76"/>
      <c r="S95" s="52"/>
      <c r="T95" s="76"/>
      <c r="U95" s="76"/>
      <c r="V95" s="52"/>
      <c r="W95" s="76"/>
      <c r="X95" s="52"/>
      <c r="Y95" s="76">
        <v>1</v>
      </c>
      <c r="Z95" s="52"/>
      <c r="AA95" s="76"/>
      <c r="AB95" s="76">
        <v>1</v>
      </c>
      <c r="AC95" s="52"/>
      <c r="AD95" s="76">
        <v>1</v>
      </c>
      <c r="AE95" s="67"/>
      <c r="AF95" s="77">
        <f t="shared" si="6"/>
        <v>3</v>
      </c>
      <c r="AG95" s="98" t="e">
        <f ca="1">IF(A95="O", (VALUE(_xludf.IFS(AF95=0,"0",AF95=1,"150",AF95=2,"300",AF95=3,"450",AF95=4,"600",AF95=5,"750",AF95&gt;=6,"800"))),(VALUE(_xludf.IFS(AF95=0,"0",AF95=1,"150",AF95=2,"300",AF95=3,"450",AF95=4,"600",AF95=5,"750",AF95=6,"900",AF95&gt;=7,"1,000"))))</f>
        <v>#NAME?</v>
      </c>
      <c r="AH95" s="79" t="str">
        <f t="shared" si="5"/>
        <v>雅雅</v>
      </c>
      <c r="AI95" s="81"/>
    </row>
    <row r="96" spans="1:35" ht="18" customHeight="1">
      <c r="A96" s="74" t="s">
        <v>58</v>
      </c>
      <c r="B96" s="75" t="s">
        <v>154</v>
      </c>
      <c r="C96" s="52"/>
      <c r="D96" s="76"/>
      <c r="E96" s="76"/>
      <c r="F96" s="76"/>
      <c r="G96" s="76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76"/>
      <c r="S96" s="52"/>
      <c r="T96" s="76"/>
      <c r="U96" s="76"/>
      <c r="V96" s="52"/>
      <c r="W96" s="76"/>
      <c r="X96" s="52"/>
      <c r="Y96" s="76"/>
      <c r="Z96" s="52"/>
      <c r="AA96" s="76"/>
      <c r="AB96" s="76"/>
      <c r="AC96" s="52"/>
      <c r="AD96" s="76"/>
      <c r="AE96" s="67"/>
      <c r="AF96" s="77">
        <f t="shared" si="6"/>
        <v>0</v>
      </c>
      <c r="AG96" s="98" t="e">
        <f ca="1">IF(A96="O", (VALUE(_xludf.IFS(AF96=0,"0",AF96=1,"150",AF96=2,"300",AF96=3,"450",AF96=4,"600",AF96=5,"750",AF96&gt;=6,"800"))),(VALUE(_xludf.IFS(AF96=0,"0",AF96=1,"150",AF96=2,"300",AF96=3,"450",AF96=4,"600",AF96=5,"750",AF96=6,"900",AF96&gt;=7,"1,000"))))</f>
        <v>#NAME?</v>
      </c>
      <c r="AH96" s="79" t="str">
        <f t="shared" si="5"/>
        <v>筱攸</v>
      </c>
      <c r="AI96" s="81"/>
    </row>
    <row r="97" spans="1:35" ht="18" customHeight="1">
      <c r="A97" s="74" t="s">
        <v>58</v>
      </c>
      <c r="B97" s="75" t="s">
        <v>155</v>
      </c>
      <c r="C97" s="52"/>
      <c r="D97" s="76"/>
      <c r="E97" s="76"/>
      <c r="F97" s="76"/>
      <c r="G97" s="76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76"/>
      <c r="S97" s="52"/>
      <c r="T97" s="76"/>
      <c r="U97" s="76"/>
      <c r="V97" s="52"/>
      <c r="W97" s="76"/>
      <c r="X97" s="52"/>
      <c r="Y97" s="76"/>
      <c r="Z97" s="52"/>
      <c r="AA97" s="76"/>
      <c r="AB97" s="76"/>
      <c r="AC97" s="52"/>
      <c r="AD97" s="76"/>
      <c r="AE97" s="67"/>
      <c r="AF97" s="77">
        <f t="shared" si="6"/>
        <v>0</v>
      </c>
      <c r="AG97" s="98" t="e">
        <f ca="1">IF(A97="O", (VALUE(_xludf.IFS(AF97=0,"0",AF97=1,"150",AF97=2,"300",AF97=3,"450",AF97=4,"600",AF97=5,"750",AF97&gt;=6,"800"))),(VALUE(_xludf.IFS(AF97=0,"0",AF97=1,"150",AF97=2,"300",AF97=3,"450",AF97=4,"600",AF97=5,"750",AF97=6,"900",AF97&gt;=7,"1,000"))))</f>
        <v>#NAME?</v>
      </c>
      <c r="AH97" s="79" t="str">
        <f t="shared" si="5"/>
        <v>康康</v>
      </c>
      <c r="AI97" s="81"/>
    </row>
    <row r="98" spans="1:35" ht="18" customHeight="1">
      <c r="A98" s="74" t="s">
        <v>58</v>
      </c>
      <c r="B98" s="75" t="s">
        <v>156</v>
      </c>
      <c r="C98" s="52"/>
      <c r="D98" s="76"/>
      <c r="E98" s="76"/>
      <c r="F98" s="76"/>
      <c r="G98" s="76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76"/>
      <c r="S98" s="52"/>
      <c r="T98" s="76"/>
      <c r="U98" s="76"/>
      <c r="V98" s="52"/>
      <c r="W98" s="76"/>
      <c r="X98" s="52"/>
      <c r="Y98" s="76"/>
      <c r="Z98" s="52"/>
      <c r="AA98" s="76"/>
      <c r="AB98" s="76"/>
      <c r="AC98" s="52"/>
      <c r="AD98" s="76"/>
      <c r="AE98" s="67"/>
      <c r="AF98" s="77">
        <f t="shared" si="6"/>
        <v>0</v>
      </c>
      <c r="AG98" s="98" t="e">
        <f ca="1">IF(A98="O", (VALUE(_xludf.IFS(AF98=0,"0",AF98=1,"150",AF98=2,"300",AF98=3,"450",AF98=4,"600",AF98=5,"750",AF98&gt;=6,"800"))),(VALUE(_xludf.IFS(AF98=0,"0",AF98=1,"150",AF98=2,"300",AF98=3,"450",AF98=4,"600",AF98=5,"750",AF98=6,"900",AF98&gt;=7,"1,000"))))</f>
        <v>#NAME?</v>
      </c>
      <c r="AH98" s="79" t="str">
        <f t="shared" si="5"/>
        <v>阿金</v>
      </c>
      <c r="AI98" s="81"/>
    </row>
    <row r="99" spans="1:35" ht="18" customHeight="1">
      <c r="A99" s="74" t="s">
        <v>58</v>
      </c>
      <c r="B99" s="75" t="s">
        <v>157</v>
      </c>
      <c r="C99" s="52"/>
      <c r="D99" s="76"/>
      <c r="E99" s="76"/>
      <c r="F99" s="76"/>
      <c r="G99" s="76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76"/>
      <c r="S99" s="52"/>
      <c r="T99" s="76"/>
      <c r="U99" s="76"/>
      <c r="V99" s="52"/>
      <c r="W99" s="76"/>
      <c r="X99" s="52"/>
      <c r="Y99" s="76"/>
      <c r="Z99" s="52"/>
      <c r="AA99" s="76"/>
      <c r="AB99" s="76"/>
      <c r="AC99" s="52"/>
      <c r="AD99" s="76"/>
      <c r="AE99" s="67"/>
      <c r="AF99" s="77">
        <f t="shared" si="6"/>
        <v>0</v>
      </c>
      <c r="AG99" s="98" t="e">
        <f ca="1">IF(A99="O", (VALUE(_xludf.IFS(AF99=0,"0",AF99=1,"150",AF99=2,"300",AF99=3,"450",AF99=4,"600",AF99=5,"750",AF99&gt;=6,"800"))),(VALUE(_xludf.IFS(AF99=0,"0",AF99=1,"150",AF99=2,"300",AF99=3,"450",AF99=4,"600",AF99=5,"750",AF99=6,"900",AF99&gt;=7,"1,000"))))</f>
        <v>#NAME?</v>
      </c>
      <c r="AH99" s="79" t="str">
        <f t="shared" si="5"/>
        <v>派大</v>
      </c>
      <c r="AI99" s="81"/>
    </row>
    <row r="100" spans="1:35" ht="18" customHeight="1">
      <c r="A100" s="74" t="s">
        <v>58</v>
      </c>
      <c r="B100" s="75" t="s">
        <v>158</v>
      </c>
      <c r="C100" s="52"/>
      <c r="D100" s="76"/>
      <c r="E100" s="76"/>
      <c r="F100" s="76"/>
      <c r="G100" s="76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76"/>
      <c r="S100" s="52"/>
      <c r="T100" s="76"/>
      <c r="U100" s="76"/>
      <c r="V100" s="52"/>
      <c r="W100" s="76"/>
      <c r="X100" s="52"/>
      <c r="Y100" s="76"/>
      <c r="Z100" s="52"/>
      <c r="AA100" s="76"/>
      <c r="AB100" s="76"/>
      <c r="AC100" s="52"/>
      <c r="AD100" s="76"/>
      <c r="AE100" s="67"/>
      <c r="AF100" s="77">
        <f t="shared" si="6"/>
        <v>0</v>
      </c>
      <c r="AG100" s="98" t="e">
        <f ca="1">IF(A100="O", (VALUE(_xludf.IFS(AF100=0,"0",AF100=1,"150",AF100=2,"300",AF100=3,"450",AF100=4,"600",AF100=5,"750",AF100&gt;=6,"800"))),(VALUE(_xludf.IFS(AF100=0,"0",AF100=1,"150",AF100=2,"300",AF100=3,"450",AF100=4,"600",AF100=5,"750",AF100=6,"900",AF100&gt;=7,"1,000"))))</f>
        <v>#NAME?</v>
      </c>
      <c r="AH100" s="79" t="str">
        <f t="shared" ref="AH100:AH134" si="7">B100</f>
        <v>吉娃</v>
      </c>
      <c r="AI100" s="81"/>
    </row>
    <row r="101" spans="1:35" ht="18" customHeight="1">
      <c r="A101" s="74" t="s">
        <v>58</v>
      </c>
      <c r="B101" s="75" t="s">
        <v>159</v>
      </c>
      <c r="C101" s="52"/>
      <c r="D101" s="76"/>
      <c r="E101" s="76"/>
      <c r="F101" s="76"/>
      <c r="G101" s="76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76"/>
      <c r="S101" s="52"/>
      <c r="T101" s="76"/>
      <c r="U101" s="76"/>
      <c r="V101" s="52"/>
      <c r="W101" s="76"/>
      <c r="X101" s="52"/>
      <c r="Y101" s="76"/>
      <c r="Z101" s="52"/>
      <c r="AA101" s="76"/>
      <c r="AB101" s="76"/>
      <c r="AC101" s="52"/>
      <c r="AD101" s="76"/>
      <c r="AE101" s="67"/>
      <c r="AF101" s="77">
        <f t="shared" ref="AF101:AF134" si="8">COUNTA(C101:AD101)</f>
        <v>0</v>
      </c>
      <c r="AG101" s="98" t="e">
        <f ca="1">IF(A101="O", (VALUE(_xludf.IFS(AF101=0,"0",AF101=1,"150",AF101=2,"300",AF101=3,"450",AF101=4,"600",AF101=5,"750",AF101&gt;=6,"800"))),(VALUE(_xludf.IFS(AF101=0,"0",AF101=1,"150",AF101=2,"300",AF101=3,"450",AF101=4,"600",AF101=5,"750",AF101=6,"900",AF101&gt;=7,"1,000"))))</f>
        <v>#NAME?</v>
      </c>
      <c r="AH101" s="79" t="str">
        <f t="shared" si="7"/>
        <v>小寧</v>
      </c>
      <c r="AI101" s="81"/>
    </row>
    <row r="102" spans="1:35" ht="18" customHeight="1">
      <c r="A102" s="74" t="s">
        <v>58</v>
      </c>
      <c r="B102" s="75" t="s">
        <v>160</v>
      </c>
      <c r="C102" s="52"/>
      <c r="D102" s="76"/>
      <c r="E102" s="76"/>
      <c r="F102" s="76"/>
      <c r="G102" s="76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76"/>
      <c r="S102" s="52"/>
      <c r="T102" s="76"/>
      <c r="U102" s="76"/>
      <c r="V102" s="52"/>
      <c r="W102" s="76"/>
      <c r="X102" s="52"/>
      <c r="Y102" s="76"/>
      <c r="Z102" s="52"/>
      <c r="AA102" s="76"/>
      <c r="AB102" s="76"/>
      <c r="AC102" s="52"/>
      <c r="AD102" s="76"/>
      <c r="AE102" s="67"/>
      <c r="AF102" s="77">
        <f t="shared" si="8"/>
        <v>0</v>
      </c>
      <c r="AG102" s="98" t="e">
        <f ca="1">IF(A102="O", (VALUE(_xludf.IFS(AF102=0,"0",AF102=1,"150",AF102=2,"300",AF102=3,"450",AF102=4,"600",AF102=5,"750",AF102&gt;=6,"800"))),(VALUE(_xludf.IFS(AF102=0,"0",AF102=1,"150",AF102=2,"300",AF102=3,"450",AF102=4,"600",AF102=5,"750",AF102=6,"900",AF102&gt;=7,"1,000"))))</f>
        <v>#NAME?</v>
      </c>
      <c r="AH102" s="79" t="str">
        <f t="shared" si="7"/>
        <v>小妹</v>
      </c>
      <c r="AI102" s="81"/>
    </row>
    <row r="103" spans="1:35" ht="18" customHeight="1">
      <c r="A103" s="74" t="s">
        <v>58</v>
      </c>
      <c r="B103" s="75" t="s">
        <v>101</v>
      </c>
      <c r="C103" s="52"/>
      <c r="D103" s="76"/>
      <c r="E103" s="76"/>
      <c r="F103" s="76"/>
      <c r="G103" s="76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76"/>
      <c r="S103" s="52"/>
      <c r="T103" s="76"/>
      <c r="U103" s="76"/>
      <c r="V103" s="52"/>
      <c r="W103" s="76"/>
      <c r="X103" s="52"/>
      <c r="Y103" s="76"/>
      <c r="Z103" s="52"/>
      <c r="AA103" s="76"/>
      <c r="AB103" s="76"/>
      <c r="AC103" s="52"/>
      <c r="AD103" s="76"/>
      <c r="AE103" s="67"/>
      <c r="AF103" s="77">
        <f t="shared" si="8"/>
        <v>0</v>
      </c>
      <c r="AG103" s="98" t="e">
        <f ca="1">IF(A103="O", (VALUE(_xludf.IFS(AF103=0,"0",AF103=1,"150",AF103=2,"300",AF103=3,"450",AF103=4,"600",AF103=5,"750",AF103&gt;=6,"800"))),(VALUE(_xludf.IFS(AF103=0,"0",AF103=1,"150",AF103=2,"300",AF103=3,"450",AF103=4,"600",AF103=5,"750",AF103=6,"900",AF103&gt;=7,"1,000"))))</f>
        <v>#NAME?</v>
      </c>
      <c r="AH103" s="79" t="str">
        <f t="shared" si="7"/>
        <v>文媛</v>
      </c>
      <c r="AI103" s="81"/>
    </row>
    <row r="104" spans="1:35" ht="18" customHeight="1">
      <c r="A104" s="74" t="s">
        <v>58</v>
      </c>
      <c r="B104" s="75" t="s">
        <v>161</v>
      </c>
      <c r="C104" s="52"/>
      <c r="D104" s="76"/>
      <c r="E104" s="76"/>
      <c r="F104" s="76"/>
      <c r="G104" s="76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76"/>
      <c r="S104" s="52"/>
      <c r="T104" s="76"/>
      <c r="U104" s="76"/>
      <c r="V104" s="52"/>
      <c r="W104" s="76"/>
      <c r="X104" s="52"/>
      <c r="Y104" s="76"/>
      <c r="Z104" s="52"/>
      <c r="AA104" s="76"/>
      <c r="AB104" s="76"/>
      <c r="AC104" s="52"/>
      <c r="AD104" s="76"/>
      <c r="AE104" s="67"/>
      <c r="AF104" s="77">
        <f t="shared" si="8"/>
        <v>0</v>
      </c>
      <c r="AG104" s="98" t="e">
        <f ca="1">IF(A104="O", (VALUE(_xludf.IFS(AF104=0,"0",AF104=1,"150",AF104=2,"300",AF104=3,"450",AF104=4,"600",AF104=5,"750",AF104&gt;=6,"800"))),(VALUE(_xludf.IFS(AF104=0,"0",AF104=1,"150",AF104=2,"300",AF104=3,"450",AF104=4,"600",AF104=5,"750",AF104=6,"900",AF104&gt;=7,"1,000"))))</f>
        <v>#NAME?</v>
      </c>
      <c r="AH104" s="79" t="str">
        <f t="shared" si="7"/>
        <v>佩鈺</v>
      </c>
      <c r="AI104" s="81"/>
    </row>
    <row r="105" spans="1:35" ht="18" customHeight="1">
      <c r="A105" s="74" t="s">
        <v>58</v>
      </c>
      <c r="B105" s="75" t="s">
        <v>162</v>
      </c>
      <c r="C105" s="52"/>
      <c r="D105" s="76"/>
      <c r="E105" s="76"/>
      <c r="F105" s="76"/>
      <c r="G105" s="76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76"/>
      <c r="S105" s="52"/>
      <c r="T105" s="76"/>
      <c r="U105" s="76"/>
      <c r="V105" s="52"/>
      <c r="W105" s="76"/>
      <c r="X105" s="52"/>
      <c r="Y105" s="76"/>
      <c r="Z105" s="52"/>
      <c r="AA105" s="76"/>
      <c r="AB105" s="76"/>
      <c r="AC105" s="52"/>
      <c r="AD105" s="76"/>
      <c r="AE105" s="67"/>
      <c r="AF105" s="77">
        <f t="shared" si="8"/>
        <v>0</v>
      </c>
      <c r="AG105" s="98" t="e">
        <f ca="1">IF(A105="O", (VALUE(_xludf.IFS(AF105=0,"0",AF105=1,"150",AF105=2,"300",AF105=3,"450",AF105=4,"600",AF105=5,"750",AF105&gt;=6,"800"))),(VALUE(_xludf.IFS(AF105=0,"0",AF105=1,"150",AF105=2,"300",AF105=3,"450",AF105=4,"600",AF105=5,"750",AF105=6,"900",AF105&gt;=7,"1,000"))))</f>
        <v>#NAME?</v>
      </c>
      <c r="AH105" s="79" t="str">
        <f t="shared" si="7"/>
        <v>阿布</v>
      </c>
      <c r="AI105" s="81"/>
    </row>
    <row r="106" spans="1:35" ht="18" customHeight="1">
      <c r="A106" s="74" t="s">
        <v>58</v>
      </c>
      <c r="B106" s="75" t="s">
        <v>100</v>
      </c>
      <c r="C106" s="52"/>
      <c r="D106" s="76"/>
      <c r="E106" s="76"/>
      <c r="F106" s="76"/>
      <c r="G106" s="76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76"/>
      <c r="S106" s="52"/>
      <c r="T106" s="76"/>
      <c r="U106" s="76"/>
      <c r="V106" s="52"/>
      <c r="W106" s="76"/>
      <c r="X106" s="52"/>
      <c r="Y106" s="76"/>
      <c r="Z106" s="52"/>
      <c r="AA106" s="76"/>
      <c r="AB106" s="76"/>
      <c r="AC106" s="52"/>
      <c r="AD106" s="76"/>
      <c r="AE106" s="67"/>
      <c r="AF106" s="77">
        <f t="shared" si="8"/>
        <v>0</v>
      </c>
      <c r="AG106" s="98" t="e">
        <f ca="1">IF(A106="O", (VALUE(_xludf.IFS(AF106=0,"0",AF106=1,"150",AF106=2,"300",AF106=3,"450",AF106=4,"600",AF106=5,"750",AF106&gt;=6,"800"))),(VALUE(_xludf.IFS(AF106=0,"0",AF106=1,"150",AF106=2,"300",AF106=3,"450",AF106=4,"600",AF106=5,"750",AF106=6,"900",AF106&gt;=7,"1,000"))))</f>
        <v>#NAME?</v>
      </c>
      <c r="AH106" s="79" t="str">
        <f t="shared" si="7"/>
        <v>餅餅</v>
      </c>
      <c r="AI106" s="81"/>
    </row>
    <row r="107" spans="1:35" ht="18" customHeight="1">
      <c r="A107" s="74" t="s">
        <v>58</v>
      </c>
      <c r="B107" s="75" t="s">
        <v>163</v>
      </c>
      <c r="C107" s="52"/>
      <c r="D107" s="76"/>
      <c r="E107" s="76"/>
      <c r="F107" s="76"/>
      <c r="G107" s="76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76"/>
      <c r="S107" s="52"/>
      <c r="T107" s="76"/>
      <c r="U107" s="76"/>
      <c r="V107" s="52"/>
      <c r="W107" s="76"/>
      <c r="X107" s="52"/>
      <c r="Y107" s="76"/>
      <c r="Z107" s="52"/>
      <c r="AA107" s="76"/>
      <c r="AB107" s="76"/>
      <c r="AC107" s="52"/>
      <c r="AD107" s="76"/>
      <c r="AE107" s="67"/>
      <c r="AF107" s="77">
        <f t="shared" si="8"/>
        <v>0</v>
      </c>
      <c r="AG107" s="98" t="e">
        <f ca="1">IF(A107="O", (VALUE(_xludf.IFS(AF107=0,"0",AF107=1,"150",AF107=2,"300",AF107=3,"450",AF107=4,"600",AF107=5,"750",AF107&gt;=6,"800"))),(VALUE(_xludf.IFS(AF107=0,"0",AF107=1,"150",AF107=2,"300",AF107=3,"450",AF107=4,"600",AF107=5,"750",AF107=6,"900",AF107&gt;=7,"1,000"))))</f>
        <v>#NAME?</v>
      </c>
      <c r="AH107" s="79" t="str">
        <f t="shared" si="7"/>
        <v>小個</v>
      </c>
      <c r="AI107" s="81"/>
    </row>
    <row r="108" spans="1:35" ht="18" customHeight="1">
      <c r="A108" s="83" t="s">
        <v>58</v>
      </c>
      <c r="B108" s="84" t="s">
        <v>104</v>
      </c>
      <c r="C108" s="52"/>
      <c r="D108" s="85"/>
      <c r="E108" s="85"/>
      <c r="F108" s="85"/>
      <c r="G108" s="85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85">
        <v>1</v>
      </c>
      <c r="S108" s="52"/>
      <c r="T108" s="85">
        <v>1</v>
      </c>
      <c r="U108" s="85">
        <v>1</v>
      </c>
      <c r="V108" s="52"/>
      <c r="W108" s="85">
        <v>1</v>
      </c>
      <c r="X108" s="52"/>
      <c r="Y108" s="85"/>
      <c r="Z108" s="52"/>
      <c r="AA108" s="85"/>
      <c r="AB108" s="85">
        <v>1</v>
      </c>
      <c r="AC108" s="52"/>
      <c r="AD108" s="85">
        <v>1</v>
      </c>
      <c r="AE108" s="67"/>
      <c r="AF108" s="86">
        <f t="shared" si="8"/>
        <v>6</v>
      </c>
      <c r="AG108" s="103" t="e">
        <f ca="1">IF(A108="O", (VALUE(_xludf.IFS(AF108=0,"0",AF108=1,"150",AF108=2,"300",AF108=3,"450",AF108=4,"600",AF108=5,"750",AF108&gt;=6,"800"))),(VALUE(_xludf.IFS(AF108=0,"0",AF108=1,"150",AF108=2,"300",AF108=3,"450",AF108=4,"600",AF108=5,"750",AF108=6,"900",AF108&gt;=7,"1,000"))))</f>
        <v>#NAME?</v>
      </c>
      <c r="AH108" s="88" t="str">
        <f t="shared" si="7"/>
        <v>卡丘</v>
      </c>
      <c r="AI108" s="89"/>
    </row>
    <row r="109" spans="1:35" ht="18" customHeight="1">
      <c r="A109" s="83" t="s">
        <v>58</v>
      </c>
      <c r="B109" s="84" t="s">
        <v>124</v>
      </c>
      <c r="C109" s="52"/>
      <c r="D109" s="85"/>
      <c r="E109" s="85"/>
      <c r="F109" s="85"/>
      <c r="G109" s="85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85"/>
      <c r="S109" s="52"/>
      <c r="T109" s="85"/>
      <c r="U109" s="85"/>
      <c r="V109" s="52"/>
      <c r="W109" s="85"/>
      <c r="X109" s="52"/>
      <c r="Y109" s="85"/>
      <c r="Z109" s="52"/>
      <c r="AA109" s="85"/>
      <c r="AB109" s="85"/>
      <c r="AC109" s="52"/>
      <c r="AD109" s="85"/>
      <c r="AE109" s="67"/>
      <c r="AF109" s="86">
        <f t="shared" si="8"/>
        <v>0</v>
      </c>
      <c r="AG109" s="103" t="e">
        <f ca="1">IF(A109="O", (VALUE(_xludf.IFS(AF109=0,"0",AF109=1,"150",AF109=2,"300",AF109=3,"450",AF109=4,"600",AF109=5,"750",AF109&gt;=6,"800"))),(VALUE(_xludf.IFS(AF109=0,"0",AF109=1,"150",AF109=2,"300",AF109=3,"450",AF109=4,"600",AF109=5,"750",AF109=6,"900",AF109&gt;=7,"1,000"))))</f>
        <v>#NAME?</v>
      </c>
      <c r="AH109" s="88" t="str">
        <f t="shared" si="7"/>
        <v>玉蕙</v>
      </c>
      <c r="AI109" s="89"/>
    </row>
    <row r="110" spans="1:35" ht="18" customHeight="1">
      <c r="A110" s="83" t="s">
        <v>58</v>
      </c>
      <c r="B110" s="84" t="s">
        <v>125</v>
      </c>
      <c r="C110" s="52"/>
      <c r="D110" s="85"/>
      <c r="E110" s="85"/>
      <c r="F110" s="85"/>
      <c r="G110" s="85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85"/>
      <c r="S110" s="52"/>
      <c r="T110" s="85"/>
      <c r="U110" s="85"/>
      <c r="V110" s="52"/>
      <c r="W110" s="85"/>
      <c r="X110" s="52"/>
      <c r="Y110" s="85"/>
      <c r="Z110" s="52"/>
      <c r="AA110" s="85"/>
      <c r="AB110" s="85"/>
      <c r="AC110" s="52"/>
      <c r="AD110" s="85"/>
      <c r="AE110" s="67"/>
      <c r="AF110" s="86">
        <f t="shared" si="8"/>
        <v>0</v>
      </c>
      <c r="AG110" s="103" t="e">
        <f ca="1">IF(A110="O", (VALUE(_xludf.IFS(AF110=0,"0",AF110=1,"150",AF110=2,"300",AF110=3,"450",AF110=4,"600",AF110=5,"750",AF110&gt;=6,"800"))),(VALUE(_xludf.IFS(AF110=0,"0",AF110=1,"150",AF110=2,"300",AF110=3,"450",AF110=4,"600",AF110=5,"750",AF110=6,"900",AF110&gt;=7,"1,000"))))</f>
        <v>#NAME?</v>
      </c>
      <c r="AH110" s="88" t="str">
        <f t="shared" si="7"/>
        <v>沛緁</v>
      </c>
      <c r="AI110" s="89"/>
    </row>
    <row r="111" spans="1:35" ht="18" customHeight="1">
      <c r="A111" s="83" t="s">
        <v>58</v>
      </c>
      <c r="B111" s="84" t="s">
        <v>126</v>
      </c>
      <c r="C111" s="52"/>
      <c r="D111" s="85"/>
      <c r="E111" s="85"/>
      <c r="F111" s="85"/>
      <c r="G111" s="85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85"/>
      <c r="S111" s="52"/>
      <c r="T111" s="85"/>
      <c r="U111" s="85"/>
      <c r="V111" s="52"/>
      <c r="W111" s="85">
        <v>1</v>
      </c>
      <c r="X111" s="52"/>
      <c r="Y111" s="85"/>
      <c r="Z111" s="52"/>
      <c r="AA111" s="85"/>
      <c r="AB111" s="85"/>
      <c r="AC111" s="52"/>
      <c r="AD111" s="85"/>
      <c r="AE111" s="67"/>
      <c r="AF111" s="86">
        <f t="shared" si="8"/>
        <v>1</v>
      </c>
      <c r="AG111" s="103" t="e">
        <f ca="1">IF(A111="O", (VALUE(_xludf.IFS(AF111=0,"0",AF111=1,"150",AF111=2,"300",AF111=3,"450",AF111=4,"600",AF111=5,"750",AF111&gt;=6,"800"))),(VALUE(_xludf.IFS(AF111=0,"0",AF111=1,"150",AF111=2,"300",AF111=3,"450",AF111=4,"600",AF111=5,"750",AF111=6,"900",AF111&gt;=7,"1,000"))))</f>
        <v>#NAME?</v>
      </c>
      <c r="AH111" s="88" t="str">
        <f t="shared" si="7"/>
        <v>妹妹</v>
      </c>
      <c r="AI111" s="89"/>
    </row>
    <row r="112" spans="1:35" ht="18" customHeight="1">
      <c r="A112" s="83" t="s">
        <v>58</v>
      </c>
      <c r="B112" s="84" t="s">
        <v>127</v>
      </c>
      <c r="C112" s="52"/>
      <c r="D112" s="85">
        <v>1</v>
      </c>
      <c r="E112" s="85"/>
      <c r="F112" s="85"/>
      <c r="G112" s="85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85">
        <v>1</v>
      </c>
      <c r="S112" s="52"/>
      <c r="T112" s="85">
        <v>1</v>
      </c>
      <c r="U112" s="85"/>
      <c r="V112" s="52"/>
      <c r="W112" s="85"/>
      <c r="X112" s="52"/>
      <c r="Y112" s="85"/>
      <c r="Z112" s="52"/>
      <c r="AA112" s="85"/>
      <c r="AB112" s="85"/>
      <c r="AC112" s="52"/>
      <c r="AD112" s="85">
        <v>1</v>
      </c>
      <c r="AE112" s="67"/>
      <c r="AF112" s="86">
        <f t="shared" si="8"/>
        <v>4</v>
      </c>
      <c r="AG112" s="103" t="e">
        <f ca="1">IF(A112="O", (VALUE(_xludf.IFS(AF112=0,"0",AF112=1,"150",AF112=2,"300",AF112=3,"450",AF112=4,"600",AF112=5,"750",AF112&gt;=6,"800"))),(VALUE(_xludf.IFS(AF112=0,"0",AF112=1,"150",AF112=2,"300",AF112=3,"450",AF112=4,"600",AF112=5,"750",AF112=6,"900",AF112&gt;=7,"1,000"))))</f>
        <v>#NAME?</v>
      </c>
      <c r="AH112" s="88" t="str">
        <f t="shared" si="7"/>
        <v>小雞</v>
      </c>
      <c r="AI112" s="89"/>
    </row>
    <row r="113" spans="1:35" ht="18" customHeight="1">
      <c r="A113" s="83" t="s">
        <v>58</v>
      </c>
      <c r="B113" s="84" t="s">
        <v>128</v>
      </c>
      <c r="C113" s="52"/>
      <c r="D113" s="85"/>
      <c r="E113" s="85"/>
      <c r="F113" s="85"/>
      <c r="G113" s="85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85"/>
      <c r="S113" s="52"/>
      <c r="T113" s="85"/>
      <c r="U113" s="85"/>
      <c r="V113" s="52"/>
      <c r="W113" s="85"/>
      <c r="X113" s="52"/>
      <c r="Y113" s="85"/>
      <c r="Z113" s="52"/>
      <c r="AA113" s="85"/>
      <c r="AB113" s="85"/>
      <c r="AC113" s="52"/>
      <c r="AD113" s="85"/>
      <c r="AE113" s="67"/>
      <c r="AF113" s="86">
        <f t="shared" si="8"/>
        <v>0</v>
      </c>
      <c r="AG113" s="103" t="e">
        <f ca="1">IF(A113="O", (VALUE(_xludf.IFS(AF113=0,"0",AF113=1,"150",AF113=2,"300",AF113=3,"450",AF113=4,"600",AF113=5,"750",AF113&gt;=6,"800"))),(VALUE(_xludf.IFS(AF113=0,"0",AF113=1,"150",AF113=2,"300",AF113=3,"450",AF113=4,"600",AF113=5,"750",AF113=6,"900",AF113&gt;=7,"1,000"))))</f>
        <v>#NAME?</v>
      </c>
      <c r="AH113" s="88" t="str">
        <f t="shared" si="7"/>
        <v>雨昕</v>
      </c>
      <c r="AI113" s="89"/>
    </row>
    <row r="114" spans="1:35" ht="18" customHeight="1">
      <c r="A114" s="83" t="s">
        <v>58</v>
      </c>
      <c r="B114" s="84" t="s">
        <v>129</v>
      </c>
      <c r="C114" s="52"/>
      <c r="D114" s="85"/>
      <c r="E114" s="85"/>
      <c r="F114" s="85"/>
      <c r="G114" s="85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85"/>
      <c r="S114" s="52"/>
      <c r="T114" s="85"/>
      <c r="U114" s="85"/>
      <c r="V114" s="52"/>
      <c r="W114" s="85"/>
      <c r="X114" s="52"/>
      <c r="Y114" s="85"/>
      <c r="Z114" s="52"/>
      <c r="AA114" s="85"/>
      <c r="AB114" s="85"/>
      <c r="AC114" s="52"/>
      <c r="AD114" s="85"/>
      <c r="AE114" s="67"/>
      <c r="AF114" s="86">
        <f t="shared" si="8"/>
        <v>0</v>
      </c>
      <c r="AG114" s="103" t="e">
        <f ca="1">IF(A114="O", (VALUE(_xludf.IFS(AF114=0,"0",AF114=1,"150",AF114=2,"300",AF114=3,"450",AF114=4,"600",AF114=5,"750",AF114&gt;=6,"800"))),(VALUE(_xludf.IFS(AF114=0,"0",AF114=1,"150",AF114=2,"300",AF114=3,"450",AF114=4,"600",AF114=5,"750",AF114=6,"900",AF114&gt;=7,"1,000"))))</f>
        <v>#NAME?</v>
      </c>
      <c r="AH114" s="88" t="str">
        <f t="shared" si="7"/>
        <v>矮矮</v>
      </c>
      <c r="AI114" s="89"/>
    </row>
    <row r="115" spans="1:35" ht="18" customHeight="1">
      <c r="A115" s="83" t="s">
        <v>58</v>
      </c>
      <c r="B115" s="84" t="s">
        <v>130</v>
      </c>
      <c r="C115" s="52"/>
      <c r="D115" s="85"/>
      <c r="E115" s="85"/>
      <c r="F115" s="85"/>
      <c r="G115" s="85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85"/>
      <c r="S115" s="52"/>
      <c r="T115" s="85"/>
      <c r="U115" s="85"/>
      <c r="V115" s="52"/>
      <c r="W115" s="85"/>
      <c r="X115" s="52"/>
      <c r="Y115" s="85"/>
      <c r="Z115" s="52"/>
      <c r="AA115" s="85"/>
      <c r="AB115" s="85"/>
      <c r="AC115" s="52"/>
      <c r="AD115" s="85"/>
      <c r="AE115" s="67"/>
      <c r="AF115" s="86">
        <f t="shared" si="8"/>
        <v>0</v>
      </c>
      <c r="AG115" s="103" t="e">
        <f ca="1">IF(A115="O", (VALUE(_xludf.IFS(AF115=0,"0",AF115=1,"150",AF115=2,"300",AF115=3,"450",AF115=4,"600",AF115=5,"750",AF115&gt;=6,"800"))),(VALUE(_xludf.IFS(AF115=0,"0",AF115=1,"150",AF115=2,"300",AF115=3,"450",AF115=4,"600",AF115=5,"750",AF115=6,"900",AF115&gt;=7,"1,000"))))</f>
        <v>#NAME?</v>
      </c>
      <c r="AH115" s="88" t="str">
        <f t="shared" si="7"/>
        <v>猛女</v>
      </c>
      <c r="AI115" s="89"/>
    </row>
    <row r="116" spans="1:35" ht="18" customHeight="1">
      <c r="A116" s="83" t="s">
        <v>58</v>
      </c>
      <c r="B116" s="84" t="s">
        <v>131</v>
      </c>
      <c r="C116" s="52"/>
      <c r="D116" s="85"/>
      <c r="E116" s="85"/>
      <c r="F116" s="85"/>
      <c r="G116" s="85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85"/>
      <c r="S116" s="52"/>
      <c r="T116" s="85"/>
      <c r="U116" s="85"/>
      <c r="V116" s="52"/>
      <c r="W116" s="85"/>
      <c r="X116" s="52"/>
      <c r="Y116" s="85"/>
      <c r="Z116" s="52"/>
      <c r="AA116" s="85"/>
      <c r="AB116" s="85"/>
      <c r="AC116" s="52"/>
      <c r="AD116" s="85"/>
      <c r="AE116" s="67"/>
      <c r="AF116" s="86">
        <f t="shared" si="8"/>
        <v>0</v>
      </c>
      <c r="AG116" s="103" t="e">
        <f ca="1">IF(A116="O", (VALUE(_xludf.IFS(AF116=0,"0",AF116=1,"150",AF116=2,"300",AF116=3,"450",AF116=4,"600",AF116=5,"750",AF116&gt;=6,"800"))),(VALUE(_xludf.IFS(AF116=0,"0",AF116=1,"150",AF116=2,"300",AF116=3,"450",AF116=4,"600",AF116=5,"750",AF116=6,"900",AF116&gt;=7,"1,000"))))</f>
        <v>#NAME?</v>
      </c>
      <c r="AH116" s="88" t="str">
        <f t="shared" si="7"/>
        <v>欣容</v>
      </c>
      <c r="AI116" s="89"/>
    </row>
    <row r="117" spans="1:35" ht="18" customHeight="1">
      <c r="A117" s="83" t="s">
        <v>58</v>
      </c>
      <c r="B117" s="84" t="s">
        <v>132</v>
      </c>
      <c r="C117" s="52"/>
      <c r="D117" s="85"/>
      <c r="E117" s="85"/>
      <c r="F117" s="85"/>
      <c r="G117" s="85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85"/>
      <c r="S117" s="52"/>
      <c r="T117" s="85"/>
      <c r="U117" s="85"/>
      <c r="V117" s="52"/>
      <c r="W117" s="85"/>
      <c r="X117" s="52"/>
      <c r="Y117" s="85"/>
      <c r="Z117" s="52"/>
      <c r="AA117" s="85"/>
      <c r="AB117" s="85"/>
      <c r="AC117" s="52"/>
      <c r="AD117" s="85"/>
      <c r="AE117" s="67"/>
      <c r="AF117" s="86">
        <f t="shared" si="8"/>
        <v>0</v>
      </c>
      <c r="AG117" s="103" t="e">
        <f ca="1">IF(A117="O", (VALUE(_xludf.IFS(AF117=0,"0",AF117=1,"150",AF117=2,"300",AF117=3,"450",AF117=4,"600",AF117=5,"750",AF117&gt;=6,"800"))),(VALUE(_xludf.IFS(AF117=0,"0",AF117=1,"150",AF117=2,"300",AF117=3,"450",AF117=4,"600",AF117=5,"750",AF117=6,"900",AF117&gt;=7,"1,000"))))</f>
        <v>#NAME?</v>
      </c>
      <c r="AH117" s="88" t="str">
        <f t="shared" si="7"/>
        <v>萁萁</v>
      </c>
      <c r="AI117" s="89"/>
    </row>
    <row r="118" spans="1:35" ht="18" customHeight="1">
      <c r="A118" s="83" t="s">
        <v>58</v>
      </c>
      <c r="B118" s="84" t="s">
        <v>133</v>
      </c>
      <c r="C118" s="52"/>
      <c r="D118" s="85"/>
      <c r="E118" s="85"/>
      <c r="F118" s="85"/>
      <c r="G118" s="85">
        <v>1</v>
      </c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85"/>
      <c r="S118" s="52"/>
      <c r="T118" s="85"/>
      <c r="U118" s="85"/>
      <c r="V118" s="52"/>
      <c r="W118" s="85"/>
      <c r="X118" s="52"/>
      <c r="Y118" s="85"/>
      <c r="Z118" s="52"/>
      <c r="AA118" s="85"/>
      <c r="AB118" s="85"/>
      <c r="AC118" s="52"/>
      <c r="AD118" s="85"/>
      <c r="AE118" s="67"/>
      <c r="AF118" s="86">
        <f t="shared" si="8"/>
        <v>1</v>
      </c>
      <c r="AG118" s="103" t="e">
        <f ca="1">IF(A118="O", (VALUE(_xludf.IFS(AF118=0,"0",AF118=1,"150",AF118=2,"300",AF118=3,"450",AF118=4,"600",AF118=5,"750",AF118&gt;=6,"800"))),(VALUE(_xludf.IFS(AF118=0,"0",AF118=1,"150",AF118=2,"300",AF118=3,"450",AF118=4,"600",AF118=5,"750",AF118=6,"900",AF118&gt;=7,"1,000"))))</f>
        <v>#NAME?</v>
      </c>
      <c r="AH118" s="88" t="str">
        <f t="shared" si="7"/>
        <v>萱</v>
      </c>
      <c r="AI118" s="89"/>
    </row>
    <row r="119" spans="1:35" ht="18" customHeight="1">
      <c r="A119" s="83" t="s">
        <v>58</v>
      </c>
      <c r="B119" s="84" t="s">
        <v>134</v>
      </c>
      <c r="C119" s="52"/>
      <c r="D119" s="85"/>
      <c r="E119" s="85"/>
      <c r="F119" s="85"/>
      <c r="G119" s="85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85"/>
      <c r="S119" s="52"/>
      <c r="T119" s="85"/>
      <c r="U119" s="85"/>
      <c r="V119" s="52"/>
      <c r="W119" s="85"/>
      <c r="X119" s="52"/>
      <c r="Y119" s="85"/>
      <c r="Z119" s="52"/>
      <c r="AA119" s="85"/>
      <c r="AB119" s="85"/>
      <c r="AC119" s="52"/>
      <c r="AD119" s="85"/>
      <c r="AE119" s="67"/>
      <c r="AF119" s="86">
        <f t="shared" si="8"/>
        <v>0</v>
      </c>
      <c r="AG119" s="103" t="e">
        <f ca="1">IF(A119="O", (VALUE(_xludf.IFS(AF119=0,"0",AF119=1,"150",AF119=2,"300",AF119=3,"450",AF119=4,"600",AF119=5,"750",AF119&gt;=6,"800"))),(VALUE(_xludf.IFS(AF119=0,"0",AF119=1,"150",AF119=2,"300",AF119=3,"450",AF119=4,"600",AF119=5,"750",AF119=6,"900",AF119&gt;=7,"1,000"))))</f>
        <v>#NAME?</v>
      </c>
      <c r="AH119" s="88" t="str">
        <f t="shared" si="7"/>
        <v>Mei</v>
      </c>
      <c r="AI119" s="89"/>
    </row>
    <row r="120" spans="1:35" ht="18" customHeight="1">
      <c r="A120" s="83" t="s">
        <v>58</v>
      </c>
      <c r="B120" s="84" t="s">
        <v>135</v>
      </c>
      <c r="C120" s="52"/>
      <c r="D120" s="85"/>
      <c r="E120" s="85"/>
      <c r="F120" s="85"/>
      <c r="G120" s="85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85"/>
      <c r="S120" s="52"/>
      <c r="T120" s="85"/>
      <c r="U120" s="85"/>
      <c r="V120" s="52"/>
      <c r="W120" s="85"/>
      <c r="X120" s="52"/>
      <c r="Y120" s="85"/>
      <c r="Z120" s="52"/>
      <c r="AA120" s="85"/>
      <c r="AB120" s="85"/>
      <c r="AC120" s="52"/>
      <c r="AD120" s="85"/>
      <c r="AE120" s="67"/>
      <c r="AF120" s="86">
        <f t="shared" si="8"/>
        <v>0</v>
      </c>
      <c r="AG120" s="103" t="e">
        <f ca="1">IF(A120="O", (VALUE(_xludf.IFS(AF120=0,"0",AF120=1,"150",AF120=2,"300",AF120=3,"450",AF120=4,"600",AF120=5,"750",AF120&gt;=6,"800"))),(VALUE(_xludf.IFS(AF120=0,"0",AF120=1,"150",AF120=2,"300",AF120=3,"450",AF120=4,"600",AF120=5,"750",AF120=6,"900",AF120&gt;=7,"1,000"))))</f>
        <v>#NAME?</v>
      </c>
      <c r="AH120" s="88" t="str">
        <f t="shared" si="7"/>
        <v>屁屁</v>
      </c>
      <c r="AI120" s="89"/>
    </row>
    <row r="121" spans="1:35" ht="18" customHeight="1">
      <c r="A121" s="83" t="s">
        <v>58</v>
      </c>
      <c r="B121" s="84" t="s">
        <v>136</v>
      </c>
      <c r="C121" s="52"/>
      <c r="D121" s="85"/>
      <c r="E121" s="85"/>
      <c r="F121" s="85"/>
      <c r="G121" s="85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85"/>
      <c r="S121" s="52"/>
      <c r="T121" s="85"/>
      <c r="U121" s="85"/>
      <c r="V121" s="52"/>
      <c r="W121" s="85"/>
      <c r="X121" s="52"/>
      <c r="Y121" s="85"/>
      <c r="Z121" s="52"/>
      <c r="AA121" s="85"/>
      <c r="AB121" s="85"/>
      <c r="AC121" s="52"/>
      <c r="AD121" s="85"/>
      <c r="AE121" s="67"/>
      <c r="AF121" s="86">
        <f t="shared" si="8"/>
        <v>0</v>
      </c>
      <c r="AG121" s="103" t="e">
        <f ca="1">IF(A121="O", (VALUE(_xludf.IFS(AF121=0,"0",AF121=1,"150",AF121=2,"300",AF121=3,"450",AF121=4,"600",AF121=5,"750",AF121&gt;=6,"800"))),(VALUE(_xludf.IFS(AF121=0,"0",AF121=1,"150",AF121=2,"300",AF121=3,"450",AF121=4,"600",AF121=5,"750",AF121=6,"900",AF121&gt;=7,"1,000"))))</f>
        <v>#NAME?</v>
      </c>
      <c r="AH121" s="88" t="str">
        <f t="shared" si="7"/>
        <v>泡泡</v>
      </c>
      <c r="AI121" s="89"/>
    </row>
    <row r="122" spans="1:35" ht="18" customHeight="1">
      <c r="A122" s="83" t="s">
        <v>58</v>
      </c>
      <c r="B122" s="84" t="s">
        <v>137</v>
      </c>
      <c r="C122" s="52"/>
      <c r="D122" s="85"/>
      <c r="E122" s="85"/>
      <c r="F122" s="85"/>
      <c r="G122" s="85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85"/>
      <c r="S122" s="52"/>
      <c r="T122" s="85"/>
      <c r="U122" s="85"/>
      <c r="V122" s="52"/>
      <c r="W122" s="85"/>
      <c r="X122" s="52"/>
      <c r="Y122" s="85"/>
      <c r="Z122" s="52"/>
      <c r="AA122" s="85"/>
      <c r="AB122" s="85"/>
      <c r="AC122" s="52"/>
      <c r="AD122" s="85"/>
      <c r="AE122" s="67"/>
      <c r="AF122" s="86">
        <f t="shared" si="8"/>
        <v>0</v>
      </c>
      <c r="AG122" s="103" t="e">
        <f ca="1">IF(A122="O", (VALUE(_xludf.IFS(AF122=0,"0",AF122=1,"150",AF122=2,"300",AF122=3,"450",AF122=4,"600",AF122=5,"750",AF122&gt;=6,"800"))),(VALUE(_xludf.IFS(AF122=0,"0",AF122=1,"150",AF122=2,"300",AF122=3,"450",AF122=4,"600",AF122=5,"750",AF122=6,"900",AF122&gt;=7,"1,000"))))</f>
        <v>#NAME?</v>
      </c>
      <c r="AH122" s="88" t="str">
        <f t="shared" si="7"/>
        <v>姚</v>
      </c>
      <c r="AI122" s="89"/>
    </row>
    <row r="123" spans="1:35" ht="18" customHeight="1">
      <c r="A123" s="83" t="s">
        <v>58</v>
      </c>
      <c r="B123" s="84" t="s">
        <v>138</v>
      </c>
      <c r="C123" s="52"/>
      <c r="D123" s="85"/>
      <c r="E123" s="85"/>
      <c r="F123" s="85"/>
      <c r="G123" s="85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85"/>
      <c r="S123" s="52"/>
      <c r="T123" s="85"/>
      <c r="U123" s="85"/>
      <c r="V123" s="52"/>
      <c r="W123" s="85"/>
      <c r="X123" s="52"/>
      <c r="Y123" s="85"/>
      <c r="Z123" s="52"/>
      <c r="AA123" s="85"/>
      <c r="AB123" s="85"/>
      <c r="AC123" s="52"/>
      <c r="AD123" s="85"/>
      <c r="AE123" s="67"/>
      <c r="AF123" s="86">
        <f t="shared" si="8"/>
        <v>0</v>
      </c>
      <c r="AG123" s="103" t="e">
        <f ca="1">IF(A123="O", (VALUE(_xludf.IFS(AF123=0,"0",AF123=1,"150",AF123=2,"300",AF123=3,"450",AF123=4,"600",AF123=5,"750",AF123&gt;=6,"800"))),(VALUE(_xludf.IFS(AF123=0,"0",AF123=1,"150",AF123=2,"300",AF123=3,"450",AF123=4,"600",AF123=5,"750",AF123=6,"900",AF123&gt;=7,"1,000"))))</f>
        <v>#NAME?</v>
      </c>
      <c r="AH123" s="88" t="str">
        <f t="shared" si="7"/>
        <v>奜茜</v>
      </c>
      <c r="AI123" s="89"/>
    </row>
    <row r="124" spans="1:35" ht="18" customHeight="1">
      <c r="A124" s="83" t="s">
        <v>58</v>
      </c>
      <c r="B124" s="84" t="s">
        <v>121</v>
      </c>
      <c r="C124" s="52"/>
      <c r="D124" s="85">
        <v>1</v>
      </c>
      <c r="E124" s="85">
        <v>1</v>
      </c>
      <c r="F124" s="85">
        <v>1</v>
      </c>
      <c r="G124" s="85">
        <v>1</v>
      </c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85"/>
      <c r="S124" s="52"/>
      <c r="T124" s="85"/>
      <c r="U124" s="85"/>
      <c r="V124" s="52"/>
      <c r="W124" s="85"/>
      <c r="X124" s="52"/>
      <c r="Y124" s="85"/>
      <c r="Z124" s="52"/>
      <c r="AA124" s="85"/>
      <c r="AB124" s="85"/>
      <c r="AC124" s="52"/>
      <c r="AD124" s="85"/>
      <c r="AE124" s="67"/>
      <c r="AF124" s="86">
        <f t="shared" si="8"/>
        <v>4</v>
      </c>
      <c r="AG124" s="103" t="e">
        <f ca="1">IF(A124="O", (VALUE(_xludf.IFS(AF124=0,"0",AF124=1,"150",AF124=2,"300",AF124=3,"450",AF124=4,"600",AF124=5,"750",AF124&gt;=6,"800"))),(VALUE(_xludf.IFS(AF124=0,"0",AF124=1,"150",AF124=2,"300",AF124=3,"450",AF124=4,"600",AF124=5,"750",AF124=6,"900",AF124&gt;=7,"1,000"))))</f>
        <v>#NAME?</v>
      </c>
      <c r="AH124" s="88" t="str">
        <f t="shared" si="7"/>
        <v>冰沙</v>
      </c>
      <c r="AI124" s="89"/>
    </row>
    <row r="125" spans="1:35" ht="18" customHeight="1">
      <c r="A125" s="83" t="s">
        <v>58</v>
      </c>
      <c r="B125" s="84" t="s">
        <v>139</v>
      </c>
      <c r="C125" s="52"/>
      <c r="D125" s="85"/>
      <c r="E125" s="85"/>
      <c r="F125" s="85"/>
      <c r="G125" s="85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85"/>
      <c r="S125" s="52"/>
      <c r="T125" s="85"/>
      <c r="U125" s="85"/>
      <c r="V125" s="52"/>
      <c r="W125" s="85"/>
      <c r="X125" s="52"/>
      <c r="Y125" s="85"/>
      <c r="Z125" s="52"/>
      <c r="AA125" s="85"/>
      <c r="AB125" s="85"/>
      <c r="AC125" s="52"/>
      <c r="AD125" s="85"/>
      <c r="AE125" s="67"/>
      <c r="AF125" s="86">
        <f t="shared" si="8"/>
        <v>0</v>
      </c>
      <c r="AG125" s="103" t="e">
        <f ca="1">IF(A125="O", (VALUE(_xludf.IFS(AF125=0,"0",AF125=1,"150",AF125=2,"300",AF125=3,"450",AF125=4,"600",AF125=5,"750",AF125&gt;=6,"800"))),(VALUE(_xludf.IFS(AF125=0,"0",AF125=1,"150",AF125=2,"300",AF125=3,"450",AF125=4,"600",AF125=5,"750",AF125=6,"900",AF125&gt;=7,"1,000"))))</f>
        <v>#NAME?</v>
      </c>
      <c r="AH125" s="88" t="str">
        <f t="shared" si="7"/>
        <v>Tina</v>
      </c>
      <c r="AI125" s="89"/>
    </row>
    <row r="126" spans="1:35" ht="18" customHeight="1">
      <c r="A126" s="83" t="s">
        <v>58</v>
      </c>
      <c r="B126" s="84" t="s">
        <v>113</v>
      </c>
      <c r="C126" s="52"/>
      <c r="D126" s="85"/>
      <c r="E126" s="85"/>
      <c r="F126" s="85"/>
      <c r="G126" s="85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85"/>
      <c r="S126" s="52"/>
      <c r="T126" s="85"/>
      <c r="U126" s="85"/>
      <c r="V126" s="52"/>
      <c r="W126" s="85"/>
      <c r="X126" s="52"/>
      <c r="Y126" s="85"/>
      <c r="Z126" s="52"/>
      <c r="AA126" s="85"/>
      <c r="AB126" s="85"/>
      <c r="AC126" s="52"/>
      <c r="AD126" s="85"/>
      <c r="AE126" s="67"/>
      <c r="AF126" s="86">
        <f t="shared" si="8"/>
        <v>0</v>
      </c>
      <c r="AG126" s="103" t="e">
        <f ca="1">IF(A126="O", (VALUE(_xludf.IFS(AF126=0,"0",AF126=1,"150",AF126=2,"300",AF126=3,"450",AF126=4,"600",AF126=5,"750",AF126&gt;=6,"800"))),(VALUE(_xludf.IFS(AF126=0,"0",AF126=1,"150",AF126=2,"300",AF126=3,"450",AF126=4,"600",AF126=5,"750",AF126=6,"900",AF126&gt;=7,"1,000"))))</f>
        <v>#NAME?</v>
      </c>
      <c r="AH126" s="88" t="str">
        <f t="shared" si="7"/>
        <v>容容</v>
      </c>
      <c r="AI126" s="89"/>
    </row>
    <row r="127" spans="1:35" ht="18" customHeight="1">
      <c r="A127" s="83" t="s">
        <v>58</v>
      </c>
      <c r="B127" s="84" t="s">
        <v>117</v>
      </c>
      <c r="C127" s="52"/>
      <c r="D127" s="85"/>
      <c r="E127" s="85"/>
      <c r="F127" s="85"/>
      <c r="G127" s="85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85"/>
      <c r="S127" s="52"/>
      <c r="T127" s="85"/>
      <c r="U127" s="85"/>
      <c r="V127" s="52"/>
      <c r="W127" s="85"/>
      <c r="X127" s="52"/>
      <c r="Y127" s="85"/>
      <c r="Z127" s="52"/>
      <c r="AA127" s="85"/>
      <c r="AB127" s="85"/>
      <c r="AC127" s="52"/>
      <c r="AD127" s="85"/>
      <c r="AE127" s="67"/>
      <c r="AF127" s="86">
        <f t="shared" si="8"/>
        <v>0</v>
      </c>
      <c r="AG127" s="103" t="e">
        <f ca="1">IF(A127="O", (VALUE(_xludf.IFS(AF127=0,"0",AF127=1,"150",AF127=2,"300",AF127=3,"450",AF127=4,"600",AF127=5,"750",AF127&gt;=6,"800"))),(VALUE(_xludf.IFS(AF127=0,"0",AF127=1,"150",AF127=2,"300",AF127=3,"450",AF127=4,"600",AF127=5,"750",AF127=6,"900",AF127&gt;=7,"1,000"))))</f>
        <v>#NAME?</v>
      </c>
      <c r="AH127" s="88" t="str">
        <f t="shared" si="7"/>
        <v>依凡</v>
      </c>
      <c r="AI127" s="89"/>
    </row>
    <row r="128" spans="1:35" ht="18" customHeight="1">
      <c r="A128" s="83" t="s">
        <v>58</v>
      </c>
      <c r="B128" s="84" t="s">
        <v>122</v>
      </c>
      <c r="C128" s="52"/>
      <c r="D128" s="85"/>
      <c r="E128" s="85"/>
      <c r="F128" s="85">
        <v>1</v>
      </c>
      <c r="G128" s="85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85"/>
      <c r="S128" s="52"/>
      <c r="T128" s="85"/>
      <c r="U128" s="85"/>
      <c r="V128" s="52"/>
      <c r="W128" s="85"/>
      <c r="X128" s="52"/>
      <c r="Y128" s="85"/>
      <c r="Z128" s="52"/>
      <c r="AA128" s="85"/>
      <c r="AB128" s="85"/>
      <c r="AC128" s="52"/>
      <c r="AD128" s="85"/>
      <c r="AE128" s="67"/>
      <c r="AF128" s="86">
        <f t="shared" si="8"/>
        <v>1</v>
      </c>
      <c r="AG128" s="103" t="e">
        <f ca="1">IF(A128="O", (VALUE(_xludf.IFS(AF128=0,"0",AF128=1,"150",AF128=2,"300",AF128=3,"450",AF128=4,"600",AF128=5,"750",AF128&gt;=6,"800"))),(VALUE(_xludf.IFS(AF128=0,"0",AF128=1,"150",AF128=2,"300",AF128=3,"450",AF128=4,"600",AF128=5,"750",AF128=6,"900",AF128&gt;=7,"1,000"))))</f>
        <v>#NAME?</v>
      </c>
      <c r="AH128" s="88" t="str">
        <f t="shared" si="7"/>
        <v>幸恩</v>
      </c>
      <c r="AI128" s="89"/>
    </row>
    <row r="129" spans="1:35" ht="18" customHeight="1">
      <c r="A129" s="83" t="s">
        <v>58</v>
      </c>
      <c r="B129" s="84" t="s">
        <v>140</v>
      </c>
      <c r="C129" s="52"/>
      <c r="D129" s="85"/>
      <c r="E129" s="85"/>
      <c r="F129" s="85"/>
      <c r="G129" s="85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85"/>
      <c r="S129" s="52"/>
      <c r="T129" s="85"/>
      <c r="U129" s="85"/>
      <c r="V129" s="52"/>
      <c r="W129" s="85"/>
      <c r="X129" s="52"/>
      <c r="Y129" s="85"/>
      <c r="Z129" s="52"/>
      <c r="AA129" s="85"/>
      <c r="AB129" s="85"/>
      <c r="AC129" s="52"/>
      <c r="AD129" s="85"/>
      <c r="AE129" s="67"/>
      <c r="AF129" s="86">
        <f t="shared" si="8"/>
        <v>0</v>
      </c>
      <c r="AG129" s="103" t="e">
        <f ca="1">IF(A129="O", (VALUE(_xludf.IFS(AF129=0,"0",AF129=1,"150",AF129=2,"300",AF129=3,"450",AF129=4,"600",AF129=5,"750",AF129&gt;=6,"800"))),(VALUE(_xludf.IFS(AF129=0,"0",AF129=1,"150",AF129=2,"300",AF129=3,"450",AF129=4,"600",AF129=5,"750",AF129=6,"900",AF129&gt;=7,"1,000"))))</f>
        <v>#NAME?</v>
      </c>
      <c r="AH129" s="88" t="str">
        <f t="shared" si="7"/>
        <v>芷琦</v>
      </c>
      <c r="AI129" s="89"/>
    </row>
    <row r="130" spans="1:35" ht="18" customHeight="1">
      <c r="A130" s="83" t="s">
        <v>58</v>
      </c>
      <c r="B130" s="84" t="s">
        <v>106</v>
      </c>
      <c r="C130" s="52"/>
      <c r="D130" s="85"/>
      <c r="E130" s="85"/>
      <c r="F130" s="85"/>
      <c r="G130" s="85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85"/>
      <c r="S130" s="52"/>
      <c r="T130" s="85">
        <v>1</v>
      </c>
      <c r="U130" s="85"/>
      <c r="V130" s="52"/>
      <c r="W130" s="85"/>
      <c r="X130" s="52"/>
      <c r="Y130" s="85"/>
      <c r="Z130" s="52"/>
      <c r="AA130" s="85"/>
      <c r="AB130" s="85"/>
      <c r="AC130" s="52"/>
      <c r="AD130" s="85"/>
      <c r="AE130" s="67"/>
      <c r="AF130" s="86">
        <f t="shared" si="8"/>
        <v>1</v>
      </c>
      <c r="AG130" s="103" t="e">
        <f ca="1">IF(A130="O", (VALUE(_xludf.IFS(AF130=0,"0",AF130=1,"150",AF130=2,"300",AF130=3,"450",AF130=4,"600",AF130=5,"750",AF130&gt;=6,"800"))),(VALUE(_xludf.IFS(AF130=0,"0",AF130=1,"150",AF130=2,"300",AF130=3,"450",AF130=4,"600",AF130=5,"750",AF130=6,"900",AF130&gt;=7,"1,000"))))</f>
        <v>#NAME?</v>
      </c>
      <c r="AH130" s="88" t="str">
        <f t="shared" si="7"/>
        <v>Nina</v>
      </c>
      <c r="AI130" s="89"/>
    </row>
    <row r="131" spans="1:35" ht="18" customHeight="1">
      <c r="A131" s="83" t="s">
        <v>58</v>
      </c>
      <c r="B131" s="84" t="s">
        <v>205</v>
      </c>
      <c r="C131" s="52"/>
      <c r="D131" s="85"/>
      <c r="E131" s="85"/>
      <c r="F131" s="85"/>
      <c r="G131" s="85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85"/>
      <c r="S131" s="52"/>
      <c r="T131" s="85"/>
      <c r="U131" s="85"/>
      <c r="V131" s="52"/>
      <c r="W131" s="85"/>
      <c r="X131" s="52"/>
      <c r="Y131" s="85"/>
      <c r="Z131" s="52"/>
      <c r="AA131" s="85"/>
      <c r="AB131" s="85"/>
      <c r="AC131" s="52"/>
      <c r="AD131" s="85"/>
      <c r="AE131" s="67"/>
      <c r="AF131" s="86">
        <f t="shared" si="8"/>
        <v>0</v>
      </c>
      <c r="AG131" s="103" t="e">
        <f ca="1">IF(A131="O", (VALUE(_xludf.IFS(AF131=0,"0",AF131=1,"150",AF131=2,"300",AF131=3,"450",AF131=4,"600",AF131=5,"750",AF131&gt;=6,"800"))),(VALUE(_xludf.IFS(AF131=0,"0",AF131=1,"150",AF131=2,"300",AF131=3,"450",AF131=4,"600",AF131=5,"750",AF131=6,"900",AF131&gt;=7,"1,000"))))</f>
        <v>#NAME?</v>
      </c>
      <c r="AH131" s="88" t="str">
        <f t="shared" si="7"/>
        <v>琬琬</v>
      </c>
      <c r="AI131" s="89"/>
    </row>
    <row r="132" spans="1:35" ht="18" customHeight="1">
      <c r="A132" s="104" t="s">
        <v>58</v>
      </c>
      <c r="B132" s="105" t="s">
        <v>41</v>
      </c>
      <c r="C132" s="52"/>
      <c r="D132" s="106"/>
      <c r="E132" s="106"/>
      <c r="F132" s="106"/>
      <c r="G132" s="106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106"/>
      <c r="S132" s="52"/>
      <c r="T132" s="106"/>
      <c r="U132" s="106"/>
      <c r="V132" s="52"/>
      <c r="W132" s="106"/>
      <c r="X132" s="52"/>
      <c r="Y132" s="106"/>
      <c r="Z132" s="52"/>
      <c r="AA132" s="106"/>
      <c r="AB132" s="106"/>
      <c r="AC132" s="52"/>
      <c r="AD132" s="106"/>
      <c r="AE132" s="67"/>
      <c r="AF132" s="107">
        <f t="shared" si="8"/>
        <v>0</v>
      </c>
      <c r="AG132" s="108" t="e">
        <f ca="1">IF(A132="O", (VALUE(_xludf.IFS(AF132=0,"0",AF132=1,"150",AF132=2,"300",AF132=3,"450",AF132=4,"600",AF132=5,"750",AF132&gt;=6,"800"))),(VALUE(_xludf.IFS(AF132=0,"0",AF132=1,"150",AF132=2,"300",AF132=3,"450",AF132=4,"600",AF132=5,"750",AF132=6,"900",AF132&gt;=7,"1,000"))))</f>
        <v>#NAME?</v>
      </c>
      <c r="AH132" s="109" t="str">
        <f t="shared" si="7"/>
        <v>軟軟</v>
      </c>
      <c r="AI132" s="110"/>
    </row>
    <row r="133" spans="1:35" ht="18" customHeight="1">
      <c r="A133" s="104" t="s">
        <v>58</v>
      </c>
      <c r="B133" s="105" t="s">
        <v>38</v>
      </c>
      <c r="C133" s="52"/>
      <c r="D133" s="106"/>
      <c r="E133" s="106"/>
      <c r="F133" s="106"/>
      <c r="G133" s="106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106"/>
      <c r="S133" s="52"/>
      <c r="T133" s="106"/>
      <c r="U133" s="106"/>
      <c r="V133" s="52"/>
      <c r="W133" s="106"/>
      <c r="X133" s="52"/>
      <c r="Y133" s="106">
        <v>1</v>
      </c>
      <c r="Z133" s="52"/>
      <c r="AA133" s="106"/>
      <c r="AB133" s="106"/>
      <c r="AC133" s="52"/>
      <c r="AD133" s="106">
        <v>1</v>
      </c>
      <c r="AE133" s="67"/>
      <c r="AF133" s="107">
        <f t="shared" si="8"/>
        <v>2</v>
      </c>
      <c r="AG133" s="108" t="e">
        <f ca="1">IF(A133="O", (VALUE(_xludf.IFS(AF133=0,"0",AF133=1,"150",AF133=2,"300",AF133=3,"450",AF133=4,"600",AF133=5,"750",AF133&gt;=6,"800"))),(VALUE(_xludf.IFS(AF133=0,"0",AF133=1,"150",AF133=2,"300",AF133=3,"450",AF133=4,"600",AF133=5,"750",AF133=6,"900",AF133&gt;=7,"1,000"))))</f>
        <v>#NAME?</v>
      </c>
      <c r="AH133" s="109" t="str">
        <f t="shared" si="7"/>
        <v>阿龍</v>
      </c>
      <c r="AI133" s="110"/>
    </row>
    <row r="134" spans="1:35" ht="18" customHeight="1">
      <c r="A134" s="104" t="s">
        <v>58</v>
      </c>
      <c r="B134" s="105" t="s">
        <v>42</v>
      </c>
      <c r="C134" s="52"/>
      <c r="D134" s="106"/>
      <c r="E134" s="106"/>
      <c r="F134" s="106"/>
      <c r="G134" s="106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106"/>
      <c r="S134" s="52"/>
      <c r="T134" s="106"/>
      <c r="U134" s="106"/>
      <c r="V134" s="52"/>
      <c r="W134" s="106"/>
      <c r="X134" s="52"/>
      <c r="Y134" s="106"/>
      <c r="Z134" s="52"/>
      <c r="AA134" s="106"/>
      <c r="AB134" s="106"/>
      <c r="AC134" s="52"/>
      <c r="AD134" s="106"/>
      <c r="AE134" s="67"/>
      <c r="AF134" s="107">
        <f t="shared" si="8"/>
        <v>0</v>
      </c>
      <c r="AG134" s="108" t="e">
        <f ca="1">IF(A134="O", (VALUE(_xludf.IFS(AF134=0,"0",AF134=1,"150",AF134=2,"300",AF134=3,"450",AF134=4,"600",AF134=5,"750",AF134&gt;=6,"800"))),(VALUE(_xludf.IFS(AF134=0,"0",AF134=1,"150",AF134=2,"300",AF134=3,"450",AF134=4,"600",AF134=5,"750",AF134=6,"900",AF134&gt;=7,"1,000"))))</f>
        <v>#NAME?</v>
      </c>
      <c r="AH134" s="109" t="str">
        <f t="shared" si="7"/>
        <v>屎蛋</v>
      </c>
      <c r="AI134" s="110"/>
    </row>
  </sheetData>
  <mergeCells count="5">
    <mergeCell ref="AF1:AF3"/>
    <mergeCell ref="AH1:AH3"/>
    <mergeCell ref="A1:B1"/>
    <mergeCell ref="AG1:AG3"/>
    <mergeCell ref="AI1:AI2"/>
  </mergeCells>
  <phoneticPr fontId="12" type="noConversion"/>
  <printOptions horizontalCentered="1" gridLines="1"/>
  <pageMargins left="0.7" right="0.7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A9999"/>
    <outlinePr summaryBelow="0" summaryRight="0"/>
  </sheetPr>
  <dimension ref="A1:AK13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3" width="4.81640625" customWidth="1"/>
    <col min="34" max="34" width="4.453125" customWidth="1"/>
    <col min="35" max="35" width="6" customWidth="1"/>
    <col min="36" max="36" width="6.1796875" customWidth="1"/>
    <col min="37" max="37" width="13.26953125" customWidth="1"/>
  </cols>
  <sheetData>
    <row r="1" spans="1:37" ht="18" customHeight="1">
      <c r="A1" s="287" t="s">
        <v>0</v>
      </c>
      <c r="B1" s="280"/>
      <c r="C1" s="51" t="s">
        <v>184</v>
      </c>
      <c r="D1" s="51" t="s">
        <v>207</v>
      </c>
      <c r="E1" s="51" t="s">
        <v>186</v>
      </c>
      <c r="F1" s="51" t="s">
        <v>182</v>
      </c>
      <c r="G1" s="52"/>
      <c r="H1" s="51" t="s">
        <v>183</v>
      </c>
      <c r="I1" s="52"/>
      <c r="J1" s="51"/>
      <c r="K1" s="51" t="s">
        <v>207</v>
      </c>
      <c r="L1" s="51" t="s">
        <v>186</v>
      </c>
      <c r="M1" s="51" t="s">
        <v>182</v>
      </c>
      <c r="N1" s="52"/>
      <c r="O1" s="51" t="s">
        <v>183</v>
      </c>
      <c r="P1" s="52"/>
      <c r="Q1" s="51" t="s">
        <v>184</v>
      </c>
      <c r="R1" s="51" t="s">
        <v>207</v>
      </c>
      <c r="S1" s="51" t="s">
        <v>186</v>
      </c>
      <c r="T1" s="51" t="s">
        <v>182</v>
      </c>
      <c r="U1" s="52"/>
      <c r="V1" s="51" t="s">
        <v>183</v>
      </c>
      <c r="W1" s="52"/>
      <c r="X1" s="51" t="s">
        <v>184</v>
      </c>
      <c r="Y1" s="51" t="s">
        <v>207</v>
      </c>
      <c r="Z1" s="51" t="s">
        <v>214</v>
      </c>
      <c r="AA1" s="51" t="s">
        <v>182</v>
      </c>
      <c r="AB1" s="52"/>
      <c r="AC1" s="51" t="s">
        <v>183</v>
      </c>
      <c r="AD1" s="52"/>
      <c r="AE1" s="51" t="s">
        <v>184</v>
      </c>
      <c r="AF1" s="51" t="s">
        <v>207</v>
      </c>
      <c r="AG1" s="51" t="s">
        <v>186</v>
      </c>
      <c r="AH1" s="286" t="s">
        <v>6</v>
      </c>
      <c r="AI1" s="284" t="s">
        <v>7</v>
      </c>
      <c r="AJ1" s="285" t="s">
        <v>172</v>
      </c>
      <c r="AK1" s="288" t="s">
        <v>1</v>
      </c>
    </row>
    <row r="2" spans="1:37" ht="18" customHeight="1">
      <c r="A2" s="53" t="s">
        <v>2</v>
      </c>
      <c r="B2" s="54" t="s">
        <v>3</v>
      </c>
      <c r="C2" s="55">
        <v>45352</v>
      </c>
      <c r="D2" s="55">
        <v>45353</v>
      </c>
      <c r="E2" s="55">
        <v>45354</v>
      </c>
      <c r="F2" s="55">
        <v>45355</v>
      </c>
      <c r="G2" s="56">
        <v>45356</v>
      </c>
      <c r="H2" s="55">
        <v>45357</v>
      </c>
      <c r="I2" s="56">
        <v>45358</v>
      </c>
      <c r="J2" s="55">
        <v>45359</v>
      </c>
      <c r="K2" s="55">
        <v>45360</v>
      </c>
      <c r="L2" s="55">
        <v>45361</v>
      </c>
      <c r="M2" s="55">
        <v>45362</v>
      </c>
      <c r="N2" s="56">
        <v>45363</v>
      </c>
      <c r="O2" s="55">
        <v>45364</v>
      </c>
      <c r="P2" s="56">
        <v>45365</v>
      </c>
      <c r="Q2" s="55">
        <v>45366</v>
      </c>
      <c r="R2" s="55">
        <v>45367</v>
      </c>
      <c r="S2" s="55">
        <v>45368</v>
      </c>
      <c r="T2" s="55">
        <v>45369</v>
      </c>
      <c r="U2" s="56">
        <v>45370</v>
      </c>
      <c r="V2" s="55">
        <v>45371</v>
      </c>
      <c r="W2" s="56">
        <v>45372</v>
      </c>
      <c r="X2" s="55">
        <v>45373</v>
      </c>
      <c r="Y2" s="55">
        <v>45374</v>
      </c>
      <c r="Z2" s="55">
        <v>45375</v>
      </c>
      <c r="AA2" s="55">
        <v>45376</v>
      </c>
      <c r="AB2" s="56">
        <v>45377</v>
      </c>
      <c r="AC2" s="55">
        <v>45378</v>
      </c>
      <c r="AD2" s="56">
        <v>45379</v>
      </c>
      <c r="AE2" s="55">
        <v>45380</v>
      </c>
      <c r="AF2" s="55">
        <v>45381</v>
      </c>
      <c r="AG2" s="55">
        <v>45382</v>
      </c>
      <c r="AH2" s="282"/>
      <c r="AI2" s="277"/>
      <c r="AJ2" s="272"/>
      <c r="AK2" s="275"/>
    </row>
    <row r="3" spans="1:37" ht="18" customHeight="1">
      <c r="A3" s="53" t="s">
        <v>4</v>
      </c>
      <c r="B3" s="54" t="s">
        <v>5</v>
      </c>
      <c r="C3" s="51">
        <f t="shared" ref="C3:AG3" si="0">WEEKDAY(C2-1)</f>
        <v>5</v>
      </c>
      <c r="D3" s="51">
        <f t="shared" si="0"/>
        <v>6</v>
      </c>
      <c r="E3" s="51">
        <f t="shared" si="0"/>
        <v>7</v>
      </c>
      <c r="F3" s="51">
        <f t="shared" si="0"/>
        <v>1</v>
      </c>
      <c r="G3" s="52">
        <f t="shared" si="0"/>
        <v>2</v>
      </c>
      <c r="H3" s="51">
        <f t="shared" si="0"/>
        <v>3</v>
      </c>
      <c r="I3" s="52">
        <f t="shared" si="0"/>
        <v>4</v>
      </c>
      <c r="J3" s="51">
        <f t="shared" si="0"/>
        <v>5</v>
      </c>
      <c r="K3" s="51">
        <f t="shared" si="0"/>
        <v>6</v>
      </c>
      <c r="L3" s="51">
        <f t="shared" si="0"/>
        <v>7</v>
      </c>
      <c r="M3" s="51">
        <f t="shared" si="0"/>
        <v>1</v>
      </c>
      <c r="N3" s="52">
        <f t="shared" si="0"/>
        <v>2</v>
      </c>
      <c r="O3" s="51">
        <f t="shared" si="0"/>
        <v>3</v>
      </c>
      <c r="P3" s="52">
        <f t="shared" si="0"/>
        <v>4</v>
      </c>
      <c r="Q3" s="51">
        <f t="shared" si="0"/>
        <v>5</v>
      </c>
      <c r="R3" s="51">
        <f t="shared" si="0"/>
        <v>6</v>
      </c>
      <c r="S3" s="51">
        <f t="shared" si="0"/>
        <v>7</v>
      </c>
      <c r="T3" s="51">
        <f t="shared" si="0"/>
        <v>1</v>
      </c>
      <c r="U3" s="52">
        <f t="shared" si="0"/>
        <v>2</v>
      </c>
      <c r="V3" s="51">
        <f t="shared" si="0"/>
        <v>3</v>
      </c>
      <c r="W3" s="52">
        <f t="shared" si="0"/>
        <v>4</v>
      </c>
      <c r="X3" s="51">
        <f t="shared" si="0"/>
        <v>5</v>
      </c>
      <c r="Y3" s="51">
        <f t="shared" si="0"/>
        <v>6</v>
      </c>
      <c r="Z3" s="51">
        <f t="shared" si="0"/>
        <v>7</v>
      </c>
      <c r="AA3" s="51">
        <f t="shared" si="0"/>
        <v>1</v>
      </c>
      <c r="AB3" s="52">
        <f t="shared" si="0"/>
        <v>2</v>
      </c>
      <c r="AC3" s="51">
        <f t="shared" si="0"/>
        <v>3</v>
      </c>
      <c r="AD3" s="52">
        <f t="shared" si="0"/>
        <v>4</v>
      </c>
      <c r="AE3" s="51">
        <f t="shared" si="0"/>
        <v>5</v>
      </c>
      <c r="AF3" s="51">
        <f t="shared" si="0"/>
        <v>6</v>
      </c>
      <c r="AG3" s="51">
        <f t="shared" si="0"/>
        <v>7</v>
      </c>
      <c r="AH3" s="283"/>
      <c r="AI3" s="278"/>
      <c r="AJ3" s="273"/>
      <c r="AK3" s="62" t="e">
        <f ca="1">SUM(AI4:AI135)</f>
        <v>#NAME?</v>
      </c>
    </row>
    <row r="4" spans="1:37" ht="18" customHeight="1">
      <c r="A4" s="63" t="s">
        <v>174</v>
      </c>
      <c r="B4" s="64" t="s">
        <v>10</v>
      </c>
      <c r="C4" s="65"/>
      <c r="D4" s="65"/>
      <c r="E4" s="65"/>
      <c r="F4" s="65"/>
      <c r="G4" s="52"/>
      <c r="H4" s="65">
        <v>1</v>
      </c>
      <c r="I4" s="52"/>
      <c r="J4" s="65">
        <v>1</v>
      </c>
      <c r="K4" s="65">
        <v>1</v>
      </c>
      <c r="L4" s="65"/>
      <c r="M4" s="65">
        <v>1</v>
      </c>
      <c r="N4" s="52"/>
      <c r="O4" s="65">
        <v>1</v>
      </c>
      <c r="P4" s="52"/>
      <c r="Q4" s="65">
        <v>1</v>
      </c>
      <c r="R4" s="65"/>
      <c r="S4" s="65">
        <v>1</v>
      </c>
      <c r="T4" s="65">
        <v>1</v>
      </c>
      <c r="U4" s="52"/>
      <c r="V4" s="65"/>
      <c r="W4" s="52"/>
      <c r="X4" s="65">
        <v>1</v>
      </c>
      <c r="Y4" s="65"/>
      <c r="Z4" s="65"/>
      <c r="AA4" s="65">
        <v>1</v>
      </c>
      <c r="AB4" s="52"/>
      <c r="AC4" s="65">
        <v>1</v>
      </c>
      <c r="AD4" s="52"/>
      <c r="AE4" s="65">
        <v>1</v>
      </c>
      <c r="AF4" s="65"/>
      <c r="AG4" s="65"/>
      <c r="AH4" s="66">
        <f t="shared" ref="AH4:AH35" si="1">COUNTA(C4:AG4)</f>
        <v>12</v>
      </c>
      <c r="AI4" s="68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69" t="str">
        <f t="shared" ref="AJ4:AJ35" si="2">B4</f>
        <v>阿發</v>
      </c>
      <c r="AK4" s="70" t="s">
        <v>215</v>
      </c>
    </row>
    <row r="5" spans="1:37" ht="18" customHeight="1">
      <c r="A5" s="63" t="s">
        <v>174</v>
      </c>
      <c r="B5" s="64" t="s">
        <v>13</v>
      </c>
      <c r="C5" s="65"/>
      <c r="D5" s="65"/>
      <c r="E5" s="65"/>
      <c r="F5" s="65">
        <v>1</v>
      </c>
      <c r="G5" s="52"/>
      <c r="H5" s="65">
        <v>1</v>
      </c>
      <c r="I5" s="52"/>
      <c r="J5" s="65"/>
      <c r="K5" s="65">
        <v>1</v>
      </c>
      <c r="L5" s="65"/>
      <c r="M5" s="65">
        <v>1</v>
      </c>
      <c r="N5" s="52"/>
      <c r="O5" s="65">
        <v>1</v>
      </c>
      <c r="P5" s="52"/>
      <c r="Q5" s="65"/>
      <c r="R5" s="65"/>
      <c r="S5" s="65"/>
      <c r="T5" s="65">
        <v>1</v>
      </c>
      <c r="U5" s="52"/>
      <c r="V5" s="65">
        <v>1</v>
      </c>
      <c r="W5" s="52"/>
      <c r="X5" s="65"/>
      <c r="Y5" s="65"/>
      <c r="Z5" s="65"/>
      <c r="AA5" s="65">
        <v>1</v>
      </c>
      <c r="AB5" s="52"/>
      <c r="AC5" s="65">
        <v>1</v>
      </c>
      <c r="AD5" s="52"/>
      <c r="AE5" s="65"/>
      <c r="AF5" s="65"/>
      <c r="AG5" s="65"/>
      <c r="AH5" s="66">
        <f t="shared" si="1"/>
        <v>9</v>
      </c>
      <c r="AI5" s="68" t="e">
        <f ca="1">IF(A5="O", (VALUE(_xludf.IFS(AH5=0,"0",AH5=1,"150",AH5=2,"300",AH5=3,"450",AH5=4,"600",AH5=5,"750",AH5&gt;=6,"800"))),(VALUE(_xludf.IFS(AH5=0,"0",AH5=1,"150",AH5=2,"300",AH5=3,"450",AH5=4,"600",AH5=5,"750",AH5=6,"900",AH5&gt;=7,"1,000"))))/2</f>
        <v>#NAME?</v>
      </c>
      <c r="AJ5" s="71" t="str">
        <f t="shared" si="2"/>
        <v>李洋</v>
      </c>
      <c r="AK5" s="70" t="s">
        <v>215</v>
      </c>
    </row>
    <row r="6" spans="1:37" ht="18" customHeight="1">
      <c r="A6" s="63" t="s">
        <v>174</v>
      </c>
      <c r="B6" s="64" t="s">
        <v>11</v>
      </c>
      <c r="C6" s="65">
        <v>1</v>
      </c>
      <c r="D6" s="65"/>
      <c r="E6" s="65"/>
      <c r="F6" s="65">
        <v>1</v>
      </c>
      <c r="G6" s="52"/>
      <c r="H6" s="65">
        <v>1</v>
      </c>
      <c r="I6" s="52"/>
      <c r="J6" s="65">
        <v>1</v>
      </c>
      <c r="K6" s="65">
        <v>1</v>
      </c>
      <c r="L6" s="65"/>
      <c r="M6" s="65">
        <v>1</v>
      </c>
      <c r="N6" s="52"/>
      <c r="O6" s="65">
        <v>1</v>
      </c>
      <c r="P6" s="52"/>
      <c r="Q6" s="65">
        <v>1</v>
      </c>
      <c r="R6" s="65"/>
      <c r="S6" s="65"/>
      <c r="T6" s="65">
        <v>1</v>
      </c>
      <c r="U6" s="52"/>
      <c r="V6" s="65">
        <v>1</v>
      </c>
      <c r="W6" s="52"/>
      <c r="X6" s="65">
        <v>1</v>
      </c>
      <c r="Y6" s="65">
        <v>1</v>
      </c>
      <c r="Z6" s="65"/>
      <c r="AA6" s="65">
        <v>1</v>
      </c>
      <c r="AB6" s="52"/>
      <c r="AC6" s="65">
        <v>1</v>
      </c>
      <c r="AD6" s="52"/>
      <c r="AE6" s="65">
        <v>1</v>
      </c>
      <c r="AF6" s="65">
        <v>1</v>
      </c>
      <c r="AG6" s="65"/>
      <c r="AH6" s="66">
        <f t="shared" si="1"/>
        <v>16</v>
      </c>
      <c r="AI6" s="68" t="e">
        <f ca="1">IF(A6="O", (VALUE(_xludf.IFS(AH6=0,"0",AH6=1,"150",AH6=2,"300",AH6=3,"450",AH6=4,"600",AH6=5,"750",AH6&gt;=6,"800"))),(VALUE(_xludf.IFS(AH6=0,"0",AH6=1,"150",AH6=2,"300",AH6=3,"450",AH6=4,"600",AH6=5,"750",AH6=6,"900",AH6&gt;=7,"1,000"))))/2</f>
        <v>#NAME?</v>
      </c>
      <c r="AJ6" s="71" t="str">
        <f t="shared" si="2"/>
        <v>捷升</v>
      </c>
      <c r="AK6" s="70" t="s">
        <v>215</v>
      </c>
    </row>
    <row r="7" spans="1:37" ht="18" customHeight="1">
      <c r="A7" s="63" t="s">
        <v>174</v>
      </c>
      <c r="B7" s="64" t="s">
        <v>19</v>
      </c>
      <c r="C7" s="65">
        <v>1</v>
      </c>
      <c r="D7" s="65"/>
      <c r="E7" s="65">
        <v>1</v>
      </c>
      <c r="F7" s="65">
        <v>1</v>
      </c>
      <c r="G7" s="52"/>
      <c r="H7" s="65">
        <v>1</v>
      </c>
      <c r="I7" s="52"/>
      <c r="J7" s="65">
        <v>1</v>
      </c>
      <c r="K7" s="65"/>
      <c r="L7" s="65"/>
      <c r="M7" s="65">
        <v>1</v>
      </c>
      <c r="N7" s="52"/>
      <c r="O7" s="65">
        <v>1</v>
      </c>
      <c r="P7" s="52"/>
      <c r="Q7" s="65"/>
      <c r="R7" s="65"/>
      <c r="S7" s="65"/>
      <c r="T7" s="65">
        <v>1</v>
      </c>
      <c r="U7" s="52"/>
      <c r="V7" s="65">
        <v>1</v>
      </c>
      <c r="W7" s="52"/>
      <c r="X7" s="65"/>
      <c r="Y7" s="65"/>
      <c r="Z7" s="65"/>
      <c r="AA7" s="65">
        <v>1</v>
      </c>
      <c r="AB7" s="52"/>
      <c r="AC7" s="65">
        <v>1</v>
      </c>
      <c r="AD7" s="52"/>
      <c r="AE7" s="65"/>
      <c r="AF7" s="65"/>
      <c r="AG7" s="65"/>
      <c r="AH7" s="66">
        <f t="shared" si="1"/>
        <v>11</v>
      </c>
      <c r="AI7" s="68" t="e">
        <f ca="1">IF(A7="O", (VALUE(_xludf.IFS(AH7=0,"0",AH7=1,"150",AH7=2,"300",AH7=3,"450",AH7=4,"600",AH7=5,"750",AH7&gt;=6,"800"))),(VALUE(_xludf.IFS(AH7=0,"0",AH7=1,"150",AH7=2,"300",AH7=3,"450",AH7=4,"600",AH7=5,"750",AH7=6,"900",AH7&gt;=7,"1,000"))))/2</f>
        <v>#NAME?</v>
      </c>
      <c r="AJ7" s="71" t="str">
        <f t="shared" si="2"/>
        <v>青蛙</v>
      </c>
      <c r="AK7" s="70"/>
    </row>
    <row r="8" spans="1:37" ht="18" customHeight="1">
      <c r="A8" s="63" t="s">
        <v>174</v>
      </c>
      <c r="B8" s="64" t="s">
        <v>14</v>
      </c>
      <c r="C8" s="65"/>
      <c r="D8" s="65"/>
      <c r="E8" s="65"/>
      <c r="F8" s="65">
        <v>1</v>
      </c>
      <c r="G8" s="52"/>
      <c r="H8" s="65">
        <v>1</v>
      </c>
      <c r="I8" s="52"/>
      <c r="J8" s="65"/>
      <c r="K8" s="65"/>
      <c r="L8" s="65"/>
      <c r="M8" s="65">
        <v>1</v>
      </c>
      <c r="N8" s="52"/>
      <c r="O8" s="65">
        <v>1</v>
      </c>
      <c r="P8" s="52"/>
      <c r="Q8" s="65"/>
      <c r="R8" s="65"/>
      <c r="S8" s="65"/>
      <c r="T8" s="65">
        <v>1</v>
      </c>
      <c r="U8" s="52"/>
      <c r="V8" s="65">
        <v>1</v>
      </c>
      <c r="W8" s="52"/>
      <c r="X8" s="65"/>
      <c r="Y8" s="65"/>
      <c r="Z8" s="65"/>
      <c r="AA8" s="65">
        <v>1</v>
      </c>
      <c r="AB8" s="52"/>
      <c r="AC8" s="65">
        <v>1</v>
      </c>
      <c r="AD8" s="52"/>
      <c r="AE8" s="65"/>
      <c r="AF8" s="65"/>
      <c r="AG8" s="65"/>
      <c r="AH8" s="66">
        <f t="shared" si="1"/>
        <v>8</v>
      </c>
      <c r="AI8" s="68" t="e">
        <f ca="1">IF(A8="O", (VALUE(_xludf.IFS(AH8=0,"0",AH8=1,"150",AH8=2,"300",AH8=3,"450",AH8=4,"600",AH8=5,"750",AH8&gt;=6,"800"))),(VALUE(_xludf.IFS(AH8=0,"0",AH8=1,"150",AH8=2,"300",AH8=3,"450",AH8=4,"600",AH8=5,"750",AH8=6,"900",AH8&gt;=7,"1,000"))))/2</f>
        <v>#NAME?</v>
      </c>
      <c r="AJ8" s="71" t="str">
        <f t="shared" si="2"/>
        <v>曉明</v>
      </c>
      <c r="AK8" s="70"/>
    </row>
    <row r="9" spans="1:37" ht="18" customHeight="1">
      <c r="A9" s="63" t="s">
        <v>174</v>
      </c>
      <c r="B9" s="64" t="s">
        <v>18</v>
      </c>
      <c r="C9" s="65">
        <v>1</v>
      </c>
      <c r="D9" s="65">
        <v>1</v>
      </c>
      <c r="E9" s="65">
        <v>1</v>
      </c>
      <c r="F9" s="65">
        <v>1</v>
      </c>
      <c r="G9" s="52"/>
      <c r="H9" s="65">
        <v>1</v>
      </c>
      <c r="I9" s="52"/>
      <c r="J9" s="65">
        <v>1</v>
      </c>
      <c r="K9" s="65">
        <v>1</v>
      </c>
      <c r="L9" s="65"/>
      <c r="M9" s="65">
        <v>1</v>
      </c>
      <c r="N9" s="52"/>
      <c r="O9" s="65">
        <v>1</v>
      </c>
      <c r="P9" s="52"/>
      <c r="Q9" s="65">
        <v>1</v>
      </c>
      <c r="R9" s="65"/>
      <c r="S9" s="65"/>
      <c r="T9" s="65">
        <v>1</v>
      </c>
      <c r="U9" s="52"/>
      <c r="V9" s="65">
        <v>1</v>
      </c>
      <c r="W9" s="52"/>
      <c r="X9" s="65"/>
      <c r="Y9" s="65">
        <v>1</v>
      </c>
      <c r="Z9" s="65">
        <v>1</v>
      </c>
      <c r="AA9" s="65">
        <v>1</v>
      </c>
      <c r="AB9" s="52"/>
      <c r="AC9" s="65">
        <v>1</v>
      </c>
      <c r="AD9" s="52"/>
      <c r="AE9" s="65">
        <v>1</v>
      </c>
      <c r="AF9" s="65"/>
      <c r="AG9" s="65"/>
      <c r="AH9" s="66">
        <f t="shared" si="1"/>
        <v>17</v>
      </c>
      <c r="AI9" s="68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69" t="str">
        <f t="shared" si="2"/>
        <v>皓元</v>
      </c>
      <c r="AK9" s="70" t="s">
        <v>215</v>
      </c>
    </row>
    <row r="10" spans="1:37" ht="18" customHeight="1">
      <c r="A10" s="63" t="s">
        <v>174</v>
      </c>
      <c r="B10" s="64" t="s">
        <v>21</v>
      </c>
      <c r="C10" s="65"/>
      <c r="D10" s="65"/>
      <c r="E10" s="65"/>
      <c r="F10" s="65"/>
      <c r="G10" s="52"/>
      <c r="H10" s="65"/>
      <c r="I10" s="52"/>
      <c r="J10" s="65">
        <v>1</v>
      </c>
      <c r="K10" s="65">
        <v>1</v>
      </c>
      <c r="L10" s="65"/>
      <c r="M10" s="65">
        <v>1</v>
      </c>
      <c r="N10" s="52"/>
      <c r="O10" s="65">
        <v>1</v>
      </c>
      <c r="P10" s="52"/>
      <c r="Q10" s="65">
        <v>1</v>
      </c>
      <c r="R10" s="65"/>
      <c r="S10" s="65"/>
      <c r="T10" s="65"/>
      <c r="U10" s="52"/>
      <c r="V10" s="65"/>
      <c r="W10" s="52"/>
      <c r="X10" s="65"/>
      <c r="Y10" s="65"/>
      <c r="Z10" s="65">
        <v>1</v>
      </c>
      <c r="AA10" s="65">
        <v>1</v>
      </c>
      <c r="AB10" s="52"/>
      <c r="AC10" s="65">
        <v>1</v>
      </c>
      <c r="AD10" s="52"/>
      <c r="AE10" s="65"/>
      <c r="AF10" s="65"/>
      <c r="AG10" s="65"/>
      <c r="AH10" s="66">
        <f t="shared" si="1"/>
        <v>8</v>
      </c>
      <c r="AI10" s="68" t="e">
        <f ca="1">IF(A10="O", (VALUE(_xludf.IFS(AH10=0,"0",AH10=1,"150",AH10=2,"300",AH10=3,"450",AH10=4,"600",AH10=5,"750",AH10&gt;=6,"800"))),(VALUE(_xludf.IFS(AH10=0,"0",AH10=1,"150",AH10=2,"300",AH10=3,"450",AH10=4,"600",AH10=5,"750",AH10=6,"900",AH10&gt;=7,"1,000"))))</f>
        <v>#NAME?</v>
      </c>
      <c r="AJ10" s="69" t="str">
        <f t="shared" si="2"/>
        <v>晧全</v>
      </c>
      <c r="AK10" s="70" t="s">
        <v>215</v>
      </c>
    </row>
    <row r="11" spans="1:37" ht="18" customHeight="1">
      <c r="A11" s="63" t="s">
        <v>174</v>
      </c>
      <c r="B11" s="64" t="s">
        <v>72</v>
      </c>
      <c r="C11" s="65"/>
      <c r="D11" s="65"/>
      <c r="E11" s="65"/>
      <c r="F11" s="65"/>
      <c r="G11" s="52"/>
      <c r="H11" s="65"/>
      <c r="I11" s="52"/>
      <c r="J11" s="65"/>
      <c r="K11" s="65"/>
      <c r="L11" s="65"/>
      <c r="M11" s="65"/>
      <c r="N11" s="52"/>
      <c r="O11" s="65"/>
      <c r="P11" s="52"/>
      <c r="Q11" s="65"/>
      <c r="R11" s="65"/>
      <c r="S11" s="65"/>
      <c r="T11" s="65"/>
      <c r="U11" s="52"/>
      <c r="V11" s="65"/>
      <c r="W11" s="52"/>
      <c r="X11" s="65"/>
      <c r="Y11" s="65"/>
      <c r="Z11" s="65">
        <v>1</v>
      </c>
      <c r="AA11" s="65"/>
      <c r="AB11" s="52"/>
      <c r="AC11" s="65"/>
      <c r="AD11" s="52"/>
      <c r="AE11" s="65">
        <v>1</v>
      </c>
      <c r="AF11" s="65"/>
      <c r="AG11" s="65"/>
      <c r="AH11" s="66">
        <f t="shared" si="1"/>
        <v>2</v>
      </c>
      <c r="AI11" s="68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69" t="str">
        <f t="shared" si="2"/>
        <v>八卦</v>
      </c>
      <c r="AK11" s="70"/>
    </row>
    <row r="12" spans="1:37" ht="18" customHeight="1">
      <c r="A12" s="63" t="s">
        <v>174</v>
      </c>
      <c r="B12" s="64" t="s">
        <v>175</v>
      </c>
      <c r="C12" s="65"/>
      <c r="D12" s="65"/>
      <c r="E12" s="65"/>
      <c r="F12" s="65"/>
      <c r="G12" s="52"/>
      <c r="H12" s="65"/>
      <c r="I12" s="52"/>
      <c r="J12" s="65">
        <v>1</v>
      </c>
      <c r="K12" s="65"/>
      <c r="L12" s="65"/>
      <c r="M12" s="65">
        <v>1</v>
      </c>
      <c r="N12" s="52"/>
      <c r="O12" s="65">
        <v>1</v>
      </c>
      <c r="P12" s="52"/>
      <c r="Q12" s="65"/>
      <c r="R12" s="65"/>
      <c r="S12" s="65"/>
      <c r="T12" s="65">
        <v>1</v>
      </c>
      <c r="U12" s="52"/>
      <c r="V12" s="65"/>
      <c r="W12" s="52"/>
      <c r="X12" s="65"/>
      <c r="Y12" s="65"/>
      <c r="Z12" s="65"/>
      <c r="AA12" s="65">
        <v>1</v>
      </c>
      <c r="AB12" s="52"/>
      <c r="AC12" s="65">
        <v>1</v>
      </c>
      <c r="AD12" s="52"/>
      <c r="AE12" s="65"/>
      <c r="AF12" s="65"/>
      <c r="AG12" s="65"/>
      <c r="AH12" s="66">
        <f t="shared" si="1"/>
        <v>6</v>
      </c>
      <c r="AI12" s="68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69" t="str">
        <f t="shared" si="2"/>
        <v>咪咪</v>
      </c>
      <c r="AK12" s="70"/>
    </row>
    <row r="13" spans="1:37" ht="18" customHeight="1">
      <c r="A13" s="63" t="s">
        <v>174</v>
      </c>
      <c r="B13" s="64" t="s">
        <v>17</v>
      </c>
      <c r="C13" s="65"/>
      <c r="D13" s="65"/>
      <c r="E13" s="65"/>
      <c r="F13" s="65"/>
      <c r="G13" s="52"/>
      <c r="H13" s="65"/>
      <c r="I13" s="52"/>
      <c r="J13" s="65"/>
      <c r="K13" s="65"/>
      <c r="L13" s="65"/>
      <c r="M13" s="65">
        <v>1</v>
      </c>
      <c r="N13" s="52"/>
      <c r="O13" s="65">
        <v>1</v>
      </c>
      <c r="P13" s="52"/>
      <c r="Q13" s="65"/>
      <c r="R13" s="65"/>
      <c r="S13" s="65">
        <v>1</v>
      </c>
      <c r="T13" s="65">
        <v>1</v>
      </c>
      <c r="U13" s="52"/>
      <c r="V13" s="65"/>
      <c r="W13" s="52"/>
      <c r="X13" s="65">
        <v>1</v>
      </c>
      <c r="Y13" s="65"/>
      <c r="Z13" s="65"/>
      <c r="AA13" s="65">
        <v>1</v>
      </c>
      <c r="AB13" s="52"/>
      <c r="AC13" s="65">
        <v>1</v>
      </c>
      <c r="AD13" s="52"/>
      <c r="AE13" s="65"/>
      <c r="AF13" s="65"/>
      <c r="AG13" s="65"/>
      <c r="AH13" s="66">
        <f t="shared" si="1"/>
        <v>7</v>
      </c>
      <c r="AI13" s="68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69" t="str">
        <f t="shared" si="2"/>
        <v>光曜</v>
      </c>
      <c r="AK13" s="70" t="s">
        <v>215</v>
      </c>
    </row>
    <row r="14" spans="1:37" ht="18" customHeight="1">
      <c r="A14" s="63" t="s">
        <v>174</v>
      </c>
      <c r="B14" s="64" t="s">
        <v>15</v>
      </c>
      <c r="C14" s="65"/>
      <c r="D14" s="65"/>
      <c r="E14" s="65"/>
      <c r="F14" s="65"/>
      <c r="G14" s="52"/>
      <c r="H14" s="65">
        <v>1</v>
      </c>
      <c r="I14" s="52"/>
      <c r="J14" s="65"/>
      <c r="K14" s="65"/>
      <c r="L14" s="65"/>
      <c r="M14" s="65">
        <v>1</v>
      </c>
      <c r="N14" s="52"/>
      <c r="O14" s="65">
        <v>1</v>
      </c>
      <c r="P14" s="52"/>
      <c r="Q14" s="65">
        <v>1</v>
      </c>
      <c r="R14" s="65"/>
      <c r="S14" s="65"/>
      <c r="T14" s="65">
        <v>1</v>
      </c>
      <c r="U14" s="52"/>
      <c r="V14" s="65"/>
      <c r="W14" s="52"/>
      <c r="X14" s="65"/>
      <c r="Y14" s="65"/>
      <c r="Z14" s="65">
        <v>1</v>
      </c>
      <c r="AA14" s="65">
        <v>1</v>
      </c>
      <c r="AB14" s="52"/>
      <c r="AC14" s="65">
        <v>1</v>
      </c>
      <c r="AD14" s="52"/>
      <c r="AE14" s="65">
        <v>1</v>
      </c>
      <c r="AF14" s="65"/>
      <c r="AG14" s="65"/>
      <c r="AH14" s="66">
        <f t="shared" si="1"/>
        <v>9</v>
      </c>
      <c r="AI14" s="68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69" t="str">
        <f t="shared" si="2"/>
        <v>大支</v>
      </c>
      <c r="AK14" s="70" t="s">
        <v>215</v>
      </c>
    </row>
    <row r="15" spans="1:37" ht="18" customHeight="1">
      <c r="A15" s="63" t="s">
        <v>174</v>
      </c>
      <c r="B15" s="64" t="s">
        <v>61</v>
      </c>
      <c r="C15" s="65"/>
      <c r="D15" s="65"/>
      <c r="E15" s="65"/>
      <c r="F15" s="65"/>
      <c r="G15" s="52"/>
      <c r="H15" s="65">
        <v>1</v>
      </c>
      <c r="I15" s="52"/>
      <c r="J15" s="65">
        <v>1</v>
      </c>
      <c r="K15" s="65"/>
      <c r="L15" s="65"/>
      <c r="M15" s="65">
        <v>1</v>
      </c>
      <c r="N15" s="52"/>
      <c r="O15" s="65">
        <v>1</v>
      </c>
      <c r="P15" s="52"/>
      <c r="Q15" s="65">
        <v>1</v>
      </c>
      <c r="R15" s="65"/>
      <c r="S15" s="65"/>
      <c r="T15" s="65">
        <v>1</v>
      </c>
      <c r="U15" s="52"/>
      <c r="V15" s="65">
        <v>1</v>
      </c>
      <c r="W15" s="52"/>
      <c r="X15" s="65">
        <v>1</v>
      </c>
      <c r="Y15" s="65"/>
      <c r="Z15" s="65"/>
      <c r="AA15" s="65">
        <v>1</v>
      </c>
      <c r="AB15" s="52"/>
      <c r="AC15" s="65">
        <v>1</v>
      </c>
      <c r="AD15" s="52"/>
      <c r="AE15" s="65"/>
      <c r="AF15" s="65"/>
      <c r="AG15" s="65"/>
      <c r="AH15" s="66">
        <f t="shared" si="1"/>
        <v>10</v>
      </c>
      <c r="AI15" s="68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69" t="str">
        <f t="shared" si="2"/>
        <v>韋融</v>
      </c>
      <c r="AK15" s="72"/>
    </row>
    <row r="16" spans="1:37" ht="18" customHeight="1">
      <c r="A16" s="63" t="s">
        <v>174</v>
      </c>
      <c r="B16" s="64" t="s">
        <v>20</v>
      </c>
      <c r="C16" s="65"/>
      <c r="D16" s="65"/>
      <c r="E16" s="65"/>
      <c r="F16" s="65"/>
      <c r="G16" s="52"/>
      <c r="H16" s="65">
        <v>1</v>
      </c>
      <c r="I16" s="52"/>
      <c r="J16" s="65">
        <v>1</v>
      </c>
      <c r="K16" s="65">
        <v>1</v>
      </c>
      <c r="L16" s="65"/>
      <c r="M16" s="65">
        <v>1</v>
      </c>
      <c r="N16" s="52"/>
      <c r="O16" s="65">
        <v>1</v>
      </c>
      <c r="P16" s="52"/>
      <c r="Q16" s="65"/>
      <c r="R16" s="65"/>
      <c r="S16" s="65"/>
      <c r="T16" s="65">
        <v>1</v>
      </c>
      <c r="U16" s="52"/>
      <c r="V16" s="65"/>
      <c r="W16" s="52"/>
      <c r="X16" s="65"/>
      <c r="Y16" s="65"/>
      <c r="Z16" s="65"/>
      <c r="AA16" s="65">
        <v>1</v>
      </c>
      <c r="AB16" s="52"/>
      <c r="AC16" s="65">
        <v>1</v>
      </c>
      <c r="AD16" s="52"/>
      <c r="AE16" s="65"/>
      <c r="AF16" s="65"/>
      <c r="AG16" s="65"/>
      <c r="AH16" s="66">
        <f t="shared" si="1"/>
        <v>8</v>
      </c>
      <c r="AI16" s="68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69" t="str">
        <f t="shared" si="2"/>
        <v>港弟</v>
      </c>
      <c r="AK16" s="70" t="s">
        <v>215</v>
      </c>
    </row>
    <row r="17" spans="1:37" ht="18" customHeight="1">
      <c r="A17" s="63" t="s">
        <v>174</v>
      </c>
      <c r="B17" s="64" t="s">
        <v>16</v>
      </c>
      <c r="C17" s="65">
        <v>1</v>
      </c>
      <c r="D17" s="65"/>
      <c r="E17" s="65"/>
      <c r="F17" s="65">
        <v>1</v>
      </c>
      <c r="G17" s="52"/>
      <c r="H17" s="65">
        <v>1</v>
      </c>
      <c r="I17" s="52"/>
      <c r="J17" s="65"/>
      <c r="K17" s="65"/>
      <c r="L17" s="65"/>
      <c r="M17" s="65">
        <v>1</v>
      </c>
      <c r="N17" s="52"/>
      <c r="O17" s="65">
        <v>1</v>
      </c>
      <c r="P17" s="52"/>
      <c r="Q17" s="65"/>
      <c r="R17" s="65"/>
      <c r="S17" s="65"/>
      <c r="T17" s="65">
        <v>1</v>
      </c>
      <c r="U17" s="52"/>
      <c r="V17" s="65">
        <v>1</v>
      </c>
      <c r="W17" s="52"/>
      <c r="X17" s="65"/>
      <c r="Y17" s="65"/>
      <c r="Z17" s="65"/>
      <c r="AA17" s="65">
        <v>1</v>
      </c>
      <c r="AB17" s="52"/>
      <c r="AC17" s="65">
        <v>1</v>
      </c>
      <c r="AD17" s="52"/>
      <c r="AE17" s="65"/>
      <c r="AF17" s="65"/>
      <c r="AG17" s="65"/>
      <c r="AH17" s="66">
        <f t="shared" si="1"/>
        <v>9</v>
      </c>
      <c r="AI17" s="68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69" t="str">
        <f t="shared" si="2"/>
        <v>弼善</v>
      </c>
      <c r="AK17" s="70"/>
    </row>
    <row r="18" spans="1:37" ht="18" customHeight="1">
      <c r="A18" s="63" t="s">
        <v>174</v>
      </c>
      <c r="B18" s="64" t="s">
        <v>62</v>
      </c>
      <c r="C18" s="65"/>
      <c r="D18" s="65"/>
      <c r="E18" s="65"/>
      <c r="F18" s="65"/>
      <c r="G18" s="52"/>
      <c r="H18" s="65"/>
      <c r="I18" s="52"/>
      <c r="J18" s="65"/>
      <c r="K18" s="65">
        <v>1</v>
      </c>
      <c r="L18" s="65"/>
      <c r="M18" s="65"/>
      <c r="N18" s="52"/>
      <c r="O18" s="65"/>
      <c r="P18" s="52"/>
      <c r="Q18" s="65"/>
      <c r="R18" s="65">
        <v>1</v>
      </c>
      <c r="S18" s="65">
        <v>1</v>
      </c>
      <c r="T18" s="65"/>
      <c r="U18" s="52"/>
      <c r="V18" s="65"/>
      <c r="W18" s="52"/>
      <c r="X18" s="65"/>
      <c r="Y18" s="65"/>
      <c r="Z18" s="65"/>
      <c r="AA18" s="65">
        <v>1</v>
      </c>
      <c r="AB18" s="52"/>
      <c r="AC18" s="65"/>
      <c r="AD18" s="52"/>
      <c r="AE18" s="65">
        <v>1</v>
      </c>
      <c r="AF18" s="65"/>
      <c r="AG18" s="65"/>
      <c r="AH18" s="66">
        <f t="shared" si="1"/>
        <v>5</v>
      </c>
      <c r="AI18" s="68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69" t="str">
        <f t="shared" si="2"/>
        <v>國源</v>
      </c>
      <c r="AK18" s="73"/>
    </row>
    <row r="19" spans="1:37" ht="18" customHeight="1">
      <c r="A19" s="74" t="s">
        <v>174</v>
      </c>
      <c r="B19" s="75" t="s">
        <v>89</v>
      </c>
      <c r="C19" s="76"/>
      <c r="D19" s="76"/>
      <c r="E19" s="76"/>
      <c r="F19" s="76">
        <v>1</v>
      </c>
      <c r="G19" s="52"/>
      <c r="H19" s="76">
        <v>1</v>
      </c>
      <c r="I19" s="52"/>
      <c r="J19" s="76"/>
      <c r="K19" s="76"/>
      <c r="L19" s="76"/>
      <c r="M19" s="76">
        <v>1</v>
      </c>
      <c r="N19" s="52"/>
      <c r="O19" s="76">
        <v>1</v>
      </c>
      <c r="P19" s="52"/>
      <c r="Q19" s="76">
        <v>1</v>
      </c>
      <c r="R19" s="76"/>
      <c r="S19" s="76"/>
      <c r="T19" s="76">
        <v>1</v>
      </c>
      <c r="U19" s="52"/>
      <c r="V19" s="76"/>
      <c r="W19" s="52"/>
      <c r="X19" s="76">
        <v>1</v>
      </c>
      <c r="Y19" s="76"/>
      <c r="Z19" s="76"/>
      <c r="AA19" s="76">
        <v>1</v>
      </c>
      <c r="AB19" s="52"/>
      <c r="AC19" s="76"/>
      <c r="AD19" s="52"/>
      <c r="AE19" s="76"/>
      <c r="AF19" s="76"/>
      <c r="AG19" s="76"/>
      <c r="AH19" s="77">
        <f t="shared" si="1"/>
        <v>8</v>
      </c>
      <c r="AI19" s="78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79" t="str">
        <f t="shared" si="2"/>
        <v>泡芙</v>
      </c>
      <c r="AK19" s="80" t="s">
        <v>215</v>
      </c>
    </row>
    <row r="20" spans="1:37" ht="18" customHeight="1">
      <c r="A20" s="74" t="s">
        <v>174</v>
      </c>
      <c r="B20" s="75" t="s">
        <v>90</v>
      </c>
      <c r="C20" s="76"/>
      <c r="D20" s="76"/>
      <c r="E20" s="76"/>
      <c r="F20" s="76"/>
      <c r="G20" s="52"/>
      <c r="H20" s="76">
        <v>1</v>
      </c>
      <c r="I20" s="52"/>
      <c r="J20" s="76"/>
      <c r="K20" s="76"/>
      <c r="L20" s="76"/>
      <c r="M20" s="76"/>
      <c r="N20" s="52"/>
      <c r="O20" s="76"/>
      <c r="P20" s="52"/>
      <c r="Q20" s="76"/>
      <c r="R20" s="76"/>
      <c r="S20" s="76"/>
      <c r="T20" s="76"/>
      <c r="U20" s="52"/>
      <c r="V20" s="76">
        <v>1</v>
      </c>
      <c r="W20" s="52"/>
      <c r="X20" s="76"/>
      <c r="Y20" s="76"/>
      <c r="Z20" s="76"/>
      <c r="AA20" s="76"/>
      <c r="AB20" s="52"/>
      <c r="AC20" s="76">
        <v>1</v>
      </c>
      <c r="AD20" s="52"/>
      <c r="AE20" s="76"/>
      <c r="AF20" s="76"/>
      <c r="AG20" s="76"/>
      <c r="AH20" s="77">
        <f t="shared" si="1"/>
        <v>3</v>
      </c>
      <c r="AI20" s="78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79" t="str">
        <f t="shared" si="2"/>
        <v>蓓蓓</v>
      </c>
      <c r="AK20" s="80"/>
    </row>
    <row r="21" spans="1:37" ht="18" customHeight="1">
      <c r="A21" s="74" t="s">
        <v>174</v>
      </c>
      <c r="B21" s="75" t="s">
        <v>150</v>
      </c>
      <c r="C21" s="76"/>
      <c r="D21" s="76"/>
      <c r="E21" s="76"/>
      <c r="F21" s="76"/>
      <c r="G21" s="52"/>
      <c r="H21" s="76">
        <v>1</v>
      </c>
      <c r="I21" s="52"/>
      <c r="J21" s="76">
        <v>1</v>
      </c>
      <c r="K21" s="76">
        <v>1</v>
      </c>
      <c r="L21" s="76"/>
      <c r="M21" s="76">
        <v>1</v>
      </c>
      <c r="N21" s="52"/>
      <c r="O21" s="76">
        <v>1</v>
      </c>
      <c r="P21" s="52"/>
      <c r="Q21" s="76"/>
      <c r="R21" s="76"/>
      <c r="S21" s="76"/>
      <c r="T21" s="76">
        <v>1</v>
      </c>
      <c r="U21" s="52"/>
      <c r="V21" s="76"/>
      <c r="W21" s="52"/>
      <c r="X21" s="76"/>
      <c r="Y21" s="76"/>
      <c r="Z21" s="76"/>
      <c r="AA21" s="76">
        <v>1</v>
      </c>
      <c r="AB21" s="52"/>
      <c r="AC21" s="76"/>
      <c r="AD21" s="52"/>
      <c r="AE21" s="76"/>
      <c r="AF21" s="76"/>
      <c r="AG21" s="76"/>
      <c r="AH21" s="77">
        <f t="shared" si="1"/>
        <v>7</v>
      </c>
      <c r="AI21" s="78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79" t="str">
        <f t="shared" si="2"/>
        <v>高麗菜</v>
      </c>
      <c r="AK21" s="80" t="s">
        <v>215</v>
      </c>
    </row>
    <row r="22" spans="1:37" ht="18" customHeight="1">
      <c r="A22" s="74" t="s">
        <v>174</v>
      </c>
      <c r="B22" s="75" t="s">
        <v>164</v>
      </c>
      <c r="C22" s="76"/>
      <c r="D22" s="76"/>
      <c r="E22" s="76"/>
      <c r="F22" s="76"/>
      <c r="G22" s="52"/>
      <c r="H22" s="76"/>
      <c r="I22" s="52"/>
      <c r="J22" s="76"/>
      <c r="K22" s="76"/>
      <c r="L22" s="76"/>
      <c r="M22" s="76"/>
      <c r="N22" s="52"/>
      <c r="O22" s="76"/>
      <c r="P22" s="52"/>
      <c r="Q22" s="76"/>
      <c r="R22" s="76"/>
      <c r="S22" s="76"/>
      <c r="T22" s="76"/>
      <c r="U22" s="52"/>
      <c r="V22" s="76"/>
      <c r="W22" s="52"/>
      <c r="X22" s="76"/>
      <c r="Y22" s="76"/>
      <c r="Z22" s="76"/>
      <c r="AA22" s="76"/>
      <c r="AB22" s="52"/>
      <c r="AC22" s="76"/>
      <c r="AD22" s="52"/>
      <c r="AE22" s="76"/>
      <c r="AF22" s="76"/>
      <c r="AG22" s="76"/>
      <c r="AH22" s="77">
        <f t="shared" si="1"/>
        <v>0</v>
      </c>
      <c r="AI22" s="78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79" t="str">
        <f t="shared" si="2"/>
        <v>小菜</v>
      </c>
      <c r="AK22" s="81"/>
    </row>
    <row r="23" spans="1:37" ht="18" customHeight="1">
      <c r="A23" s="74" t="s">
        <v>174</v>
      </c>
      <c r="B23" s="75" t="s">
        <v>94</v>
      </c>
      <c r="C23" s="76"/>
      <c r="D23" s="76"/>
      <c r="E23" s="76"/>
      <c r="F23" s="76"/>
      <c r="G23" s="52"/>
      <c r="H23" s="76">
        <v>1</v>
      </c>
      <c r="I23" s="52"/>
      <c r="J23" s="76">
        <v>1</v>
      </c>
      <c r="K23" s="76">
        <v>1</v>
      </c>
      <c r="L23" s="76"/>
      <c r="M23" s="76">
        <v>1</v>
      </c>
      <c r="N23" s="52"/>
      <c r="O23" s="76">
        <v>1</v>
      </c>
      <c r="P23" s="52"/>
      <c r="Q23" s="76"/>
      <c r="R23" s="76"/>
      <c r="S23" s="76"/>
      <c r="T23" s="76">
        <v>1</v>
      </c>
      <c r="U23" s="52"/>
      <c r="V23" s="76">
        <v>1</v>
      </c>
      <c r="W23" s="52"/>
      <c r="X23" s="76"/>
      <c r="Y23" s="76"/>
      <c r="Z23" s="76"/>
      <c r="AA23" s="76">
        <v>1</v>
      </c>
      <c r="AB23" s="52"/>
      <c r="AC23" s="76">
        <v>1</v>
      </c>
      <c r="AD23" s="52"/>
      <c r="AE23" s="76"/>
      <c r="AF23" s="76"/>
      <c r="AG23" s="76"/>
      <c r="AH23" s="77">
        <f t="shared" si="1"/>
        <v>9</v>
      </c>
      <c r="AI23" s="78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79" t="str">
        <f t="shared" si="2"/>
        <v>小花</v>
      </c>
      <c r="AK23" s="82" t="s">
        <v>215</v>
      </c>
    </row>
    <row r="24" spans="1:37" ht="18" customHeight="1">
      <c r="A24" s="74" t="s">
        <v>174</v>
      </c>
      <c r="B24" s="75" t="s">
        <v>102</v>
      </c>
      <c r="C24" s="76"/>
      <c r="D24" s="76"/>
      <c r="E24" s="76"/>
      <c r="F24" s="76"/>
      <c r="G24" s="52"/>
      <c r="H24" s="76"/>
      <c r="I24" s="52"/>
      <c r="J24" s="76"/>
      <c r="K24" s="76">
        <v>1</v>
      </c>
      <c r="L24" s="76"/>
      <c r="M24" s="76"/>
      <c r="N24" s="52"/>
      <c r="O24" s="76"/>
      <c r="P24" s="52"/>
      <c r="Q24" s="76"/>
      <c r="R24" s="76"/>
      <c r="S24" s="76">
        <v>1</v>
      </c>
      <c r="T24" s="76"/>
      <c r="U24" s="52"/>
      <c r="V24" s="76"/>
      <c r="W24" s="52"/>
      <c r="X24" s="76"/>
      <c r="Y24" s="76"/>
      <c r="Z24" s="76"/>
      <c r="AA24" s="76"/>
      <c r="AB24" s="52"/>
      <c r="AC24" s="76"/>
      <c r="AD24" s="52"/>
      <c r="AE24" s="76">
        <v>1</v>
      </c>
      <c r="AF24" s="76"/>
      <c r="AG24" s="76"/>
      <c r="AH24" s="77">
        <f t="shared" si="1"/>
        <v>3</v>
      </c>
      <c r="AI24" s="78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79" t="str">
        <f t="shared" si="2"/>
        <v>妮妮</v>
      </c>
      <c r="AK24" s="80"/>
    </row>
    <row r="25" spans="1:37" ht="18" customHeight="1">
      <c r="A25" s="74" t="s">
        <v>174</v>
      </c>
      <c r="B25" s="75" t="s">
        <v>165</v>
      </c>
      <c r="C25" s="76"/>
      <c r="D25" s="76"/>
      <c r="E25" s="76"/>
      <c r="F25" s="76"/>
      <c r="G25" s="52"/>
      <c r="H25" s="76"/>
      <c r="I25" s="52"/>
      <c r="J25" s="76"/>
      <c r="K25" s="76"/>
      <c r="L25" s="76"/>
      <c r="M25" s="76"/>
      <c r="N25" s="52"/>
      <c r="O25" s="76"/>
      <c r="P25" s="52"/>
      <c r="Q25" s="76"/>
      <c r="R25" s="76"/>
      <c r="S25" s="76"/>
      <c r="T25" s="76"/>
      <c r="U25" s="52"/>
      <c r="V25" s="76"/>
      <c r="W25" s="52"/>
      <c r="X25" s="76"/>
      <c r="Y25" s="76"/>
      <c r="Z25" s="76"/>
      <c r="AA25" s="76"/>
      <c r="AB25" s="52"/>
      <c r="AC25" s="76"/>
      <c r="AD25" s="52"/>
      <c r="AE25" s="76">
        <v>1</v>
      </c>
      <c r="AF25" s="76"/>
      <c r="AG25" s="76"/>
      <c r="AH25" s="77">
        <f t="shared" si="1"/>
        <v>1</v>
      </c>
      <c r="AI25" s="78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79" t="str">
        <f t="shared" si="2"/>
        <v>小貓</v>
      </c>
      <c r="AK25" s="82"/>
    </row>
    <row r="26" spans="1:37" ht="18" customHeight="1">
      <c r="A26" s="74" t="s">
        <v>174</v>
      </c>
      <c r="B26" s="75" t="s">
        <v>166</v>
      </c>
      <c r="C26" s="76"/>
      <c r="D26" s="76"/>
      <c r="E26" s="76"/>
      <c r="F26" s="76"/>
      <c r="G26" s="52"/>
      <c r="H26" s="76"/>
      <c r="I26" s="52"/>
      <c r="J26" s="76"/>
      <c r="K26" s="76"/>
      <c r="L26" s="76"/>
      <c r="M26" s="76"/>
      <c r="N26" s="52"/>
      <c r="O26" s="76"/>
      <c r="P26" s="52"/>
      <c r="Q26" s="76"/>
      <c r="R26" s="76"/>
      <c r="S26" s="76"/>
      <c r="T26" s="76"/>
      <c r="U26" s="52"/>
      <c r="V26" s="76"/>
      <c r="W26" s="52"/>
      <c r="X26" s="76"/>
      <c r="Y26" s="76"/>
      <c r="Z26" s="76"/>
      <c r="AA26" s="76"/>
      <c r="AB26" s="52"/>
      <c r="AC26" s="76"/>
      <c r="AD26" s="52"/>
      <c r="AE26" s="76"/>
      <c r="AF26" s="76"/>
      <c r="AG26" s="76"/>
      <c r="AH26" s="77">
        <f t="shared" si="1"/>
        <v>0</v>
      </c>
      <c r="AI26" s="78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79" t="str">
        <f t="shared" si="2"/>
        <v>哈比</v>
      </c>
      <c r="AK26" s="80"/>
    </row>
    <row r="27" spans="1:37" ht="18" customHeight="1">
      <c r="A27" s="74" t="s">
        <v>174</v>
      </c>
      <c r="B27" s="75" t="s">
        <v>91</v>
      </c>
      <c r="C27" s="76"/>
      <c r="D27" s="76"/>
      <c r="E27" s="76"/>
      <c r="F27" s="76">
        <v>1</v>
      </c>
      <c r="G27" s="52"/>
      <c r="H27" s="76"/>
      <c r="I27" s="52"/>
      <c r="J27" s="76">
        <v>1</v>
      </c>
      <c r="K27" s="76">
        <v>1</v>
      </c>
      <c r="L27" s="76"/>
      <c r="M27" s="76">
        <v>1</v>
      </c>
      <c r="N27" s="52"/>
      <c r="O27" s="76">
        <v>1</v>
      </c>
      <c r="P27" s="52"/>
      <c r="Q27" s="76">
        <v>1</v>
      </c>
      <c r="R27" s="76"/>
      <c r="S27" s="76">
        <v>1</v>
      </c>
      <c r="T27" s="76">
        <v>1</v>
      </c>
      <c r="U27" s="52"/>
      <c r="V27" s="76"/>
      <c r="W27" s="52"/>
      <c r="X27" s="76"/>
      <c r="Y27" s="76"/>
      <c r="Z27" s="76"/>
      <c r="AA27" s="76">
        <v>1</v>
      </c>
      <c r="AB27" s="52"/>
      <c r="AC27" s="76">
        <v>1</v>
      </c>
      <c r="AD27" s="52"/>
      <c r="AE27" s="76"/>
      <c r="AF27" s="76"/>
      <c r="AG27" s="76"/>
      <c r="AH27" s="77">
        <f t="shared" si="1"/>
        <v>10</v>
      </c>
      <c r="AI27" s="78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79" t="str">
        <f t="shared" si="2"/>
        <v>柔柔</v>
      </c>
      <c r="AK27" s="80" t="s">
        <v>215</v>
      </c>
    </row>
    <row r="28" spans="1:37" ht="18" customHeight="1">
      <c r="A28" s="74" t="s">
        <v>174</v>
      </c>
      <c r="B28" s="75" t="s">
        <v>176</v>
      </c>
      <c r="C28" s="76"/>
      <c r="D28" s="76"/>
      <c r="E28" s="76"/>
      <c r="F28" s="76"/>
      <c r="G28" s="52"/>
      <c r="H28" s="76"/>
      <c r="I28" s="52"/>
      <c r="J28" s="76"/>
      <c r="K28" s="76"/>
      <c r="L28" s="76"/>
      <c r="M28" s="76"/>
      <c r="N28" s="52"/>
      <c r="O28" s="76"/>
      <c r="P28" s="52"/>
      <c r="Q28" s="76"/>
      <c r="R28" s="76"/>
      <c r="S28" s="76"/>
      <c r="T28" s="76"/>
      <c r="U28" s="52"/>
      <c r="V28" s="76"/>
      <c r="W28" s="52"/>
      <c r="X28" s="76"/>
      <c r="Y28" s="76"/>
      <c r="Z28" s="76"/>
      <c r="AA28" s="76"/>
      <c r="AB28" s="52"/>
      <c r="AC28" s="76"/>
      <c r="AD28" s="52"/>
      <c r="AE28" s="76"/>
      <c r="AF28" s="76"/>
      <c r="AG28" s="76"/>
      <c r="AH28" s="77">
        <f t="shared" si="1"/>
        <v>0</v>
      </c>
      <c r="AI28" s="78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79" t="str">
        <f t="shared" si="2"/>
        <v>芮芮</v>
      </c>
      <c r="AK28" s="81"/>
    </row>
    <row r="29" spans="1:37" ht="18" customHeight="1">
      <c r="A29" s="74" t="s">
        <v>174</v>
      </c>
      <c r="B29" s="75" t="s">
        <v>123</v>
      </c>
      <c r="C29" s="76"/>
      <c r="D29" s="76"/>
      <c r="E29" s="76"/>
      <c r="F29" s="76"/>
      <c r="G29" s="52"/>
      <c r="H29" s="76"/>
      <c r="I29" s="52"/>
      <c r="J29" s="76"/>
      <c r="K29" s="76"/>
      <c r="L29" s="76"/>
      <c r="M29" s="76">
        <v>1</v>
      </c>
      <c r="N29" s="52"/>
      <c r="O29" s="76">
        <v>1</v>
      </c>
      <c r="P29" s="52"/>
      <c r="Q29" s="76"/>
      <c r="R29" s="76"/>
      <c r="S29" s="76"/>
      <c r="T29" s="76"/>
      <c r="U29" s="52"/>
      <c r="V29" s="76"/>
      <c r="W29" s="52"/>
      <c r="X29" s="76"/>
      <c r="Y29" s="76">
        <v>1</v>
      </c>
      <c r="Z29" s="76"/>
      <c r="AA29" s="76"/>
      <c r="AB29" s="52"/>
      <c r="AC29" s="76">
        <v>1</v>
      </c>
      <c r="AD29" s="52"/>
      <c r="AE29" s="76"/>
      <c r="AF29" s="76"/>
      <c r="AG29" s="76"/>
      <c r="AH29" s="77">
        <f t="shared" si="1"/>
        <v>4</v>
      </c>
      <c r="AI29" s="78">
        <v>800</v>
      </c>
      <c r="AJ29" s="79" t="str">
        <f t="shared" si="2"/>
        <v>瑤瑤</v>
      </c>
      <c r="AK29" s="80" t="s">
        <v>215</v>
      </c>
    </row>
    <row r="30" spans="1:37" ht="18" customHeight="1">
      <c r="A30" s="74" t="s">
        <v>174</v>
      </c>
      <c r="B30" s="75" t="s">
        <v>147</v>
      </c>
      <c r="C30" s="76">
        <v>1</v>
      </c>
      <c r="D30" s="76"/>
      <c r="E30" s="76"/>
      <c r="F30" s="76"/>
      <c r="G30" s="52"/>
      <c r="H30" s="76"/>
      <c r="I30" s="52"/>
      <c r="J30" s="76">
        <v>1</v>
      </c>
      <c r="K30" s="76"/>
      <c r="L30" s="76"/>
      <c r="M30" s="76">
        <v>1</v>
      </c>
      <c r="N30" s="52"/>
      <c r="O30" s="76">
        <v>1</v>
      </c>
      <c r="P30" s="52"/>
      <c r="Q30" s="76">
        <v>1</v>
      </c>
      <c r="R30" s="76"/>
      <c r="S30" s="76"/>
      <c r="T30" s="76">
        <v>1</v>
      </c>
      <c r="U30" s="52"/>
      <c r="V30" s="76"/>
      <c r="W30" s="52"/>
      <c r="X30" s="76"/>
      <c r="Y30" s="76"/>
      <c r="Z30" s="76"/>
      <c r="AA30" s="76">
        <v>1</v>
      </c>
      <c r="AB30" s="52"/>
      <c r="AC30" s="76">
        <v>1</v>
      </c>
      <c r="AD30" s="52"/>
      <c r="AE30" s="76"/>
      <c r="AF30" s="76"/>
      <c r="AG30" s="76"/>
      <c r="AH30" s="77">
        <f t="shared" si="1"/>
        <v>8</v>
      </c>
      <c r="AI30" s="78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79" t="str">
        <f t="shared" si="2"/>
        <v>湘苡</v>
      </c>
      <c r="AK30" s="82" t="s">
        <v>215</v>
      </c>
    </row>
    <row r="31" spans="1:37" ht="18" customHeight="1">
      <c r="A31" s="74" t="s">
        <v>174</v>
      </c>
      <c r="B31" s="75" t="s">
        <v>93</v>
      </c>
      <c r="C31" s="76"/>
      <c r="D31" s="76"/>
      <c r="E31" s="76"/>
      <c r="F31" s="76"/>
      <c r="G31" s="52"/>
      <c r="H31" s="76">
        <v>1</v>
      </c>
      <c r="I31" s="52"/>
      <c r="J31" s="76"/>
      <c r="K31" s="76"/>
      <c r="L31" s="76"/>
      <c r="M31" s="76">
        <v>1</v>
      </c>
      <c r="N31" s="52"/>
      <c r="O31" s="76"/>
      <c r="P31" s="52"/>
      <c r="Q31" s="76"/>
      <c r="R31" s="76"/>
      <c r="S31" s="76"/>
      <c r="T31" s="76">
        <v>1</v>
      </c>
      <c r="U31" s="52"/>
      <c r="V31" s="76"/>
      <c r="W31" s="52"/>
      <c r="X31" s="76"/>
      <c r="Y31" s="76"/>
      <c r="Z31" s="76"/>
      <c r="AA31" s="76">
        <v>1</v>
      </c>
      <c r="AB31" s="52"/>
      <c r="AC31" s="76">
        <v>1</v>
      </c>
      <c r="AD31" s="52"/>
      <c r="AE31" s="76"/>
      <c r="AF31" s="76"/>
      <c r="AG31" s="76"/>
      <c r="AH31" s="77">
        <f t="shared" si="1"/>
        <v>5</v>
      </c>
      <c r="AI31" s="78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79" t="str">
        <f t="shared" si="2"/>
        <v>冠婷</v>
      </c>
      <c r="AK31" s="80"/>
    </row>
    <row r="32" spans="1:37" ht="18" customHeight="1">
      <c r="A32" s="74" t="s">
        <v>174</v>
      </c>
      <c r="B32" s="75" t="s">
        <v>149</v>
      </c>
      <c r="C32" s="76"/>
      <c r="D32" s="76"/>
      <c r="E32" s="76"/>
      <c r="F32" s="76"/>
      <c r="G32" s="52"/>
      <c r="H32" s="76"/>
      <c r="I32" s="52"/>
      <c r="J32" s="76"/>
      <c r="K32" s="76"/>
      <c r="L32" s="76"/>
      <c r="M32" s="76"/>
      <c r="N32" s="52"/>
      <c r="O32" s="76">
        <v>1</v>
      </c>
      <c r="P32" s="52"/>
      <c r="Q32" s="76"/>
      <c r="R32" s="76"/>
      <c r="S32" s="76"/>
      <c r="T32" s="76"/>
      <c r="U32" s="52"/>
      <c r="V32" s="76">
        <v>1</v>
      </c>
      <c r="W32" s="52"/>
      <c r="X32" s="76"/>
      <c r="Y32" s="76"/>
      <c r="Z32" s="76"/>
      <c r="AA32" s="76">
        <v>1</v>
      </c>
      <c r="AB32" s="52"/>
      <c r="AC32" s="76">
        <v>1</v>
      </c>
      <c r="AD32" s="52"/>
      <c r="AE32" s="76"/>
      <c r="AF32" s="76"/>
      <c r="AG32" s="76"/>
      <c r="AH32" s="77">
        <f t="shared" si="1"/>
        <v>4</v>
      </c>
      <c r="AI32" s="78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79" t="str">
        <f t="shared" si="2"/>
        <v>晏寧</v>
      </c>
      <c r="AK32" s="80"/>
    </row>
    <row r="33" spans="1:37" ht="18" customHeight="1">
      <c r="A33" s="74" t="s">
        <v>174</v>
      </c>
      <c r="B33" s="75" t="s">
        <v>146</v>
      </c>
      <c r="C33" s="76"/>
      <c r="D33" s="76"/>
      <c r="E33" s="76"/>
      <c r="F33" s="76"/>
      <c r="G33" s="52"/>
      <c r="H33" s="76"/>
      <c r="I33" s="52"/>
      <c r="J33" s="76"/>
      <c r="K33" s="76"/>
      <c r="L33" s="76"/>
      <c r="M33" s="76"/>
      <c r="N33" s="52"/>
      <c r="O33" s="76"/>
      <c r="P33" s="52"/>
      <c r="Q33" s="76"/>
      <c r="R33" s="76"/>
      <c r="S33" s="76"/>
      <c r="T33" s="76">
        <v>1</v>
      </c>
      <c r="U33" s="52"/>
      <c r="V33" s="76"/>
      <c r="W33" s="52"/>
      <c r="X33" s="76">
        <v>1</v>
      </c>
      <c r="Y33" s="76"/>
      <c r="Z33" s="76">
        <v>1</v>
      </c>
      <c r="AA33" s="76">
        <v>1</v>
      </c>
      <c r="AB33" s="52"/>
      <c r="AC33" s="76"/>
      <c r="AD33" s="52"/>
      <c r="AE33" s="76"/>
      <c r="AF33" s="76"/>
      <c r="AG33" s="76"/>
      <c r="AH33" s="77">
        <f t="shared" si="1"/>
        <v>4</v>
      </c>
      <c r="AI33" s="78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79" t="str">
        <f t="shared" si="2"/>
        <v>飛飛</v>
      </c>
      <c r="AK33" s="80"/>
    </row>
    <row r="34" spans="1:37" ht="18" customHeight="1">
      <c r="A34" s="83" t="s">
        <v>174</v>
      </c>
      <c r="B34" s="84" t="s">
        <v>116</v>
      </c>
      <c r="C34" s="85"/>
      <c r="D34" s="85">
        <v>1</v>
      </c>
      <c r="E34" s="85"/>
      <c r="F34" s="85"/>
      <c r="G34" s="52"/>
      <c r="H34" s="85"/>
      <c r="I34" s="52"/>
      <c r="J34" s="85">
        <v>1</v>
      </c>
      <c r="K34" s="85"/>
      <c r="L34" s="85"/>
      <c r="M34" s="85"/>
      <c r="N34" s="52"/>
      <c r="O34" s="85">
        <v>1</v>
      </c>
      <c r="P34" s="52"/>
      <c r="Q34" s="85"/>
      <c r="R34" s="85">
        <v>1</v>
      </c>
      <c r="S34" s="85"/>
      <c r="T34" s="85"/>
      <c r="U34" s="52"/>
      <c r="V34" s="85"/>
      <c r="W34" s="52"/>
      <c r="X34" s="85"/>
      <c r="Y34" s="85">
        <v>1</v>
      </c>
      <c r="Z34" s="85"/>
      <c r="AA34" s="85"/>
      <c r="AB34" s="52"/>
      <c r="AC34" s="85">
        <v>1</v>
      </c>
      <c r="AD34" s="52"/>
      <c r="AE34" s="85"/>
      <c r="AF34" s="85"/>
      <c r="AG34" s="85"/>
      <c r="AH34" s="86">
        <f t="shared" si="1"/>
        <v>6</v>
      </c>
      <c r="AI34" s="87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88" t="str">
        <f t="shared" si="2"/>
        <v>大汪</v>
      </c>
      <c r="AK34" s="89"/>
    </row>
    <row r="35" spans="1:37" ht="18" customHeight="1">
      <c r="A35" s="83" t="s">
        <v>174</v>
      </c>
      <c r="B35" s="84" t="s">
        <v>118</v>
      </c>
      <c r="C35" s="85"/>
      <c r="D35" s="85"/>
      <c r="E35" s="85"/>
      <c r="F35" s="85"/>
      <c r="G35" s="52"/>
      <c r="H35" s="85"/>
      <c r="I35" s="52"/>
      <c r="J35" s="85"/>
      <c r="K35" s="85"/>
      <c r="L35" s="85"/>
      <c r="M35" s="85"/>
      <c r="N35" s="52"/>
      <c r="O35" s="85">
        <v>1</v>
      </c>
      <c r="P35" s="52"/>
      <c r="Q35" s="85"/>
      <c r="R35" s="85"/>
      <c r="S35" s="85"/>
      <c r="T35" s="85"/>
      <c r="U35" s="52"/>
      <c r="V35" s="85"/>
      <c r="W35" s="52"/>
      <c r="X35" s="85"/>
      <c r="Y35" s="85">
        <v>1</v>
      </c>
      <c r="Z35" s="85"/>
      <c r="AA35" s="85"/>
      <c r="AB35" s="52"/>
      <c r="AC35" s="85">
        <v>1</v>
      </c>
      <c r="AD35" s="52"/>
      <c r="AE35" s="85"/>
      <c r="AF35" s="85"/>
      <c r="AG35" s="85"/>
      <c r="AH35" s="86">
        <f t="shared" si="1"/>
        <v>3</v>
      </c>
      <c r="AI35" s="87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88" t="str">
        <f t="shared" si="2"/>
        <v>雅筑</v>
      </c>
      <c r="AK35" s="89"/>
    </row>
    <row r="36" spans="1:37" ht="18" customHeight="1">
      <c r="A36" s="83" t="s">
        <v>174</v>
      </c>
      <c r="B36" s="84" t="s">
        <v>141</v>
      </c>
      <c r="C36" s="85"/>
      <c r="D36" s="85"/>
      <c r="E36" s="85"/>
      <c r="F36" s="85"/>
      <c r="G36" s="52"/>
      <c r="H36" s="85"/>
      <c r="I36" s="52"/>
      <c r="J36" s="85"/>
      <c r="K36" s="85"/>
      <c r="L36" s="85"/>
      <c r="M36" s="85"/>
      <c r="N36" s="52"/>
      <c r="O36" s="85"/>
      <c r="P36" s="52"/>
      <c r="Q36" s="85"/>
      <c r="R36" s="85"/>
      <c r="S36" s="85"/>
      <c r="T36" s="85"/>
      <c r="U36" s="52"/>
      <c r="V36" s="85"/>
      <c r="W36" s="52"/>
      <c r="X36" s="85"/>
      <c r="Y36" s="85"/>
      <c r="Z36" s="85"/>
      <c r="AA36" s="85"/>
      <c r="AB36" s="52"/>
      <c r="AC36" s="85"/>
      <c r="AD36" s="52"/>
      <c r="AE36" s="85"/>
      <c r="AF36" s="85"/>
      <c r="AG36" s="85"/>
      <c r="AH36" s="86">
        <f t="shared" ref="AH36:AH67" si="3">COUNTA(C36:AG36)</f>
        <v>0</v>
      </c>
      <c r="AI36" s="87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88" t="str">
        <f t="shared" ref="AJ36:AJ67" si="4">B36</f>
        <v>Cindy</v>
      </c>
      <c r="AK36" s="89"/>
    </row>
    <row r="37" spans="1:37" ht="18" customHeight="1">
      <c r="A37" s="83" t="s">
        <v>174</v>
      </c>
      <c r="B37" s="84" t="s">
        <v>103</v>
      </c>
      <c r="C37" s="85">
        <v>1</v>
      </c>
      <c r="D37" s="85">
        <v>1</v>
      </c>
      <c r="E37" s="85"/>
      <c r="F37" s="85"/>
      <c r="G37" s="52"/>
      <c r="H37" s="85"/>
      <c r="I37" s="52"/>
      <c r="J37" s="85"/>
      <c r="K37" s="85"/>
      <c r="L37" s="85"/>
      <c r="M37" s="85"/>
      <c r="N37" s="52"/>
      <c r="O37" s="85">
        <v>1</v>
      </c>
      <c r="P37" s="52"/>
      <c r="Q37" s="85">
        <v>1</v>
      </c>
      <c r="R37" s="85"/>
      <c r="S37" s="85">
        <v>1</v>
      </c>
      <c r="T37" s="85"/>
      <c r="U37" s="52"/>
      <c r="V37" s="85">
        <v>1</v>
      </c>
      <c r="W37" s="52"/>
      <c r="X37" s="85">
        <v>1</v>
      </c>
      <c r="Y37" s="85">
        <v>1</v>
      </c>
      <c r="Z37" s="85"/>
      <c r="AA37" s="85">
        <v>1</v>
      </c>
      <c r="AB37" s="52"/>
      <c r="AC37" s="85">
        <v>1</v>
      </c>
      <c r="AD37" s="52"/>
      <c r="AE37" s="85">
        <v>1</v>
      </c>
      <c r="AF37" s="85"/>
      <c r="AG37" s="85"/>
      <c r="AH37" s="86">
        <f t="shared" si="3"/>
        <v>11</v>
      </c>
      <c r="AI37" s="87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88" t="str">
        <f t="shared" si="4"/>
        <v>圈圈</v>
      </c>
      <c r="AK37" s="90"/>
    </row>
    <row r="38" spans="1:37" ht="18" customHeight="1">
      <c r="A38" s="83" t="s">
        <v>174</v>
      </c>
      <c r="B38" s="84" t="s">
        <v>120</v>
      </c>
      <c r="C38" s="85"/>
      <c r="D38" s="85"/>
      <c r="E38" s="85"/>
      <c r="F38" s="85"/>
      <c r="G38" s="52"/>
      <c r="H38" s="85"/>
      <c r="I38" s="52"/>
      <c r="J38" s="85">
        <v>1</v>
      </c>
      <c r="K38" s="85"/>
      <c r="L38" s="85"/>
      <c r="M38" s="85"/>
      <c r="N38" s="52"/>
      <c r="O38" s="85"/>
      <c r="P38" s="52"/>
      <c r="Q38" s="85"/>
      <c r="R38" s="85"/>
      <c r="S38" s="85"/>
      <c r="T38" s="85"/>
      <c r="U38" s="52"/>
      <c r="V38" s="85"/>
      <c r="W38" s="52"/>
      <c r="X38" s="85"/>
      <c r="Y38" s="85">
        <v>1</v>
      </c>
      <c r="Z38" s="85"/>
      <c r="AA38" s="85"/>
      <c r="AB38" s="52"/>
      <c r="AC38" s="85"/>
      <c r="AD38" s="52"/>
      <c r="AE38" s="85"/>
      <c r="AF38" s="85"/>
      <c r="AG38" s="85"/>
      <c r="AH38" s="86">
        <f t="shared" si="3"/>
        <v>2</v>
      </c>
      <c r="AI38" s="87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88" t="str">
        <f t="shared" si="4"/>
        <v>品君</v>
      </c>
      <c r="AK38" s="90"/>
    </row>
    <row r="39" spans="1:37" ht="18" customHeight="1">
      <c r="A39" s="83" t="s">
        <v>174</v>
      </c>
      <c r="B39" s="84" t="s">
        <v>142</v>
      </c>
      <c r="C39" s="85"/>
      <c r="D39" s="85"/>
      <c r="E39" s="85"/>
      <c r="F39" s="85"/>
      <c r="G39" s="52"/>
      <c r="H39" s="85"/>
      <c r="I39" s="52"/>
      <c r="J39" s="85"/>
      <c r="K39" s="85"/>
      <c r="L39" s="85"/>
      <c r="M39" s="85"/>
      <c r="N39" s="52"/>
      <c r="O39" s="85"/>
      <c r="P39" s="52"/>
      <c r="Q39" s="85"/>
      <c r="R39" s="85"/>
      <c r="S39" s="85"/>
      <c r="T39" s="85"/>
      <c r="U39" s="52"/>
      <c r="V39" s="85"/>
      <c r="W39" s="52"/>
      <c r="X39" s="85"/>
      <c r="Y39" s="85"/>
      <c r="Z39" s="85"/>
      <c r="AA39" s="85"/>
      <c r="AB39" s="52"/>
      <c r="AC39" s="85"/>
      <c r="AD39" s="52"/>
      <c r="AE39" s="85"/>
      <c r="AF39" s="85"/>
      <c r="AG39" s="85"/>
      <c r="AH39" s="86">
        <f t="shared" si="3"/>
        <v>0</v>
      </c>
      <c r="AI39" s="87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88" t="str">
        <f t="shared" si="4"/>
        <v>如靜</v>
      </c>
      <c r="AK39" s="90"/>
    </row>
    <row r="40" spans="1:37" ht="18" customHeight="1">
      <c r="A40" s="83" t="s">
        <v>174</v>
      </c>
      <c r="B40" s="84" t="s">
        <v>143</v>
      </c>
      <c r="C40" s="85"/>
      <c r="D40" s="85"/>
      <c r="E40" s="85"/>
      <c r="F40" s="85"/>
      <c r="G40" s="52"/>
      <c r="H40" s="85"/>
      <c r="I40" s="52"/>
      <c r="J40" s="85"/>
      <c r="K40" s="85"/>
      <c r="L40" s="85"/>
      <c r="M40" s="85"/>
      <c r="N40" s="52"/>
      <c r="O40" s="85"/>
      <c r="P40" s="52"/>
      <c r="Q40" s="85"/>
      <c r="R40" s="85"/>
      <c r="S40" s="85"/>
      <c r="T40" s="85"/>
      <c r="U40" s="52"/>
      <c r="V40" s="85"/>
      <c r="W40" s="52"/>
      <c r="X40" s="85"/>
      <c r="Y40" s="85"/>
      <c r="Z40" s="85"/>
      <c r="AA40" s="85"/>
      <c r="AB40" s="52"/>
      <c r="AC40" s="85"/>
      <c r="AD40" s="52"/>
      <c r="AE40" s="85"/>
      <c r="AF40" s="85"/>
      <c r="AG40" s="85"/>
      <c r="AH40" s="86">
        <f t="shared" si="3"/>
        <v>0</v>
      </c>
      <c r="AI40" s="87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88" t="str">
        <f t="shared" si="4"/>
        <v>毓玫</v>
      </c>
      <c r="AK40" s="90"/>
    </row>
    <row r="41" spans="1:37" ht="18" customHeight="1">
      <c r="A41" s="83" t="s">
        <v>174</v>
      </c>
      <c r="B41" s="84" t="s">
        <v>144</v>
      </c>
      <c r="C41" s="85"/>
      <c r="D41" s="85"/>
      <c r="E41" s="85"/>
      <c r="F41" s="85"/>
      <c r="G41" s="52"/>
      <c r="H41" s="85"/>
      <c r="I41" s="52"/>
      <c r="J41" s="85"/>
      <c r="K41" s="85"/>
      <c r="L41" s="85"/>
      <c r="M41" s="85"/>
      <c r="N41" s="52"/>
      <c r="O41" s="85"/>
      <c r="P41" s="52"/>
      <c r="Q41" s="85"/>
      <c r="R41" s="85"/>
      <c r="S41" s="85"/>
      <c r="T41" s="85"/>
      <c r="U41" s="52"/>
      <c r="V41" s="85"/>
      <c r="W41" s="52"/>
      <c r="X41" s="85"/>
      <c r="Y41" s="85"/>
      <c r="Z41" s="85"/>
      <c r="AA41" s="85"/>
      <c r="AB41" s="52"/>
      <c r="AC41" s="85"/>
      <c r="AD41" s="52"/>
      <c r="AE41" s="85"/>
      <c r="AF41" s="85"/>
      <c r="AG41" s="85"/>
      <c r="AH41" s="86">
        <f t="shared" si="3"/>
        <v>0</v>
      </c>
      <c r="AI41" s="87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88" t="str">
        <f t="shared" si="4"/>
        <v>美枝</v>
      </c>
      <c r="AK41" s="89"/>
    </row>
    <row r="42" spans="1:37" ht="18" customHeight="1">
      <c r="A42" s="83" t="s">
        <v>174</v>
      </c>
      <c r="B42" s="84" t="s">
        <v>145</v>
      </c>
      <c r="C42" s="85"/>
      <c r="D42" s="85"/>
      <c r="E42" s="85"/>
      <c r="F42" s="85"/>
      <c r="G42" s="52"/>
      <c r="H42" s="85"/>
      <c r="I42" s="52"/>
      <c r="J42" s="85"/>
      <c r="K42" s="85"/>
      <c r="L42" s="85"/>
      <c r="M42" s="85"/>
      <c r="N42" s="52"/>
      <c r="O42" s="85"/>
      <c r="P42" s="52"/>
      <c r="Q42" s="85"/>
      <c r="R42" s="85"/>
      <c r="S42" s="85"/>
      <c r="T42" s="85"/>
      <c r="U42" s="52"/>
      <c r="V42" s="85"/>
      <c r="W42" s="52"/>
      <c r="X42" s="85"/>
      <c r="Y42" s="85"/>
      <c r="Z42" s="85"/>
      <c r="AA42" s="85"/>
      <c r="AB42" s="52"/>
      <c r="AC42" s="85"/>
      <c r="AD42" s="52"/>
      <c r="AE42" s="85"/>
      <c r="AF42" s="85"/>
      <c r="AG42" s="85"/>
      <c r="AH42" s="86">
        <f t="shared" si="3"/>
        <v>0</v>
      </c>
      <c r="AI42" s="87" t="e">
        <f ca="1">IF(A42="O", (VALUE(_xludf.IFS(AH42=0,"0",AH42=1,"150",AH42=2,"300",AH42=3,"450",AH42=4,"600",AH42=5,"750",AH42&gt;=6,"800"))),(VALUE(_xludf.IFS(AH42=0,"0",AH42=1,"150",AH42=2,"300",AH42=3,"450",AH42=4,"600",AH42=5,"750",AH42=6,"900",AH42&gt;=7,"1,000"))))</f>
        <v>#NAME?</v>
      </c>
      <c r="AJ42" s="88" t="str">
        <f t="shared" si="4"/>
        <v>魯魯咪</v>
      </c>
      <c r="AK42" s="91"/>
    </row>
    <row r="43" spans="1:37" ht="18" customHeight="1">
      <c r="A43" s="63" t="s">
        <v>58</v>
      </c>
      <c r="B43" s="64" t="s">
        <v>23</v>
      </c>
      <c r="C43" s="65"/>
      <c r="D43" s="65"/>
      <c r="E43" s="65">
        <v>1</v>
      </c>
      <c r="F43" s="65"/>
      <c r="G43" s="52"/>
      <c r="H43" s="65"/>
      <c r="I43" s="52"/>
      <c r="J43" s="65"/>
      <c r="K43" s="65">
        <v>1</v>
      </c>
      <c r="L43" s="65">
        <v>1</v>
      </c>
      <c r="M43" s="65">
        <v>1</v>
      </c>
      <c r="N43" s="52"/>
      <c r="O43" s="65">
        <v>1</v>
      </c>
      <c r="P43" s="52"/>
      <c r="Q43" s="65">
        <v>1</v>
      </c>
      <c r="R43" s="65">
        <v>1</v>
      </c>
      <c r="S43" s="65">
        <v>1</v>
      </c>
      <c r="T43" s="65"/>
      <c r="U43" s="52"/>
      <c r="V43" s="65"/>
      <c r="W43" s="52"/>
      <c r="X43" s="65"/>
      <c r="Y43" s="65"/>
      <c r="Z43" s="65"/>
      <c r="AA43" s="65"/>
      <c r="AB43" s="52"/>
      <c r="AC43" s="65"/>
      <c r="AD43" s="52"/>
      <c r="AE43" s="65"/>
      <c r="AF43" s="65"/>
      <c r="AG43" s="65"/>
      <c r="AH43" s="66">
        <f t="shared" si="3"/>
        <v>8</v>
      </c>
      <c r="AI43" s="68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(VALUE(_xludf.IFS(AH43=0,"0",AH43=1,"150",AH43=2,"300",AH43=3,"450",AH43=4,"600",AH43=5,"750",AH43&gt;=6,"800"))),(VALUE(_xludf.IFS(AH43=0,"0",AH43=1,"150",AH43=2,"300",AH43=3,"450",AH43=4,"600",AH43=5,"750",AH43=6,"900",AH43&gt;=7,"1,000"))))/2</f>
        <v>#NAME?</v>
      </c>
      <c r="AJ43" s="71" t="str">
        <f t="shared" si="4"/>
        <v>ㄈㄈ</v>
      </c>
      <c r="AK43" s="73"/>
    </row>
    <row r="44" spans="1:37" ht="18" customHeight="1">
      <c r="A44" s="63" t="s">
        <v>58</v>
      </c>
      <c r="B44" s="64" t="s">
        <v>24</v>
      </c>
      <c r="C44" s="65"/>
      <c r="D44" s="65">
        <v>1</v>
      </c>
      <c r="E44" s="65">
        <v>1</v>
      </c>
      <c r="F44" s="65"/>
      <c r="G44" s="52"/>
      <c r="H44" s="65"/>
      <c r="I44" s="52"/>
      <c r="J44" s="65"/>
      <c r="K44" s="65"/>
      <c r="L44" s="65"/>
      <c r="M44" s="65"/>
      <c r="N44" s="52"/>
      <c r="O44" s="65"/>
      <c r="P44" s="52"/>
      <c r="Q44" s="65"/>
      <c r="R44" s="65"/>
      <c r="S44" s="65"/>
      <c r="T44" s="65"/>
      <c r="U44" s="52"/>
      <c r="V44" s="65"/>
      <c r="W44" s="52"/>
      <c r="X44" s="65"/>
      <c r="Y44" s="65"/>
      <c r="Z44" s="65"/>
      <c r="AA44" s="65"/>
      <c r="AB44" s="52"/>
      <c r="AC44" s="65"/>
      <c r="AD44" s="52"/>
      <c r="AE44" s="65"/>
      <c r="AF44" s="65"/>
      <c r="AG44" s="65"/>
      <c r="AH44" s="66">
        <f t="shared" si="3"/>
        <v>2</v>
      </c>
      <c r="AI44" s="68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69" t="str">
        <f t="shared" si="4"/>
        <v>大熊</v>
      </c>
      <c r="AK44" s="73"/>
    </row>
    <row r="45" spans="1:37" ht="18" customHeight="1">
      <c r="A45" s="63" t="s">
        <v>58</v>
      </c>
      <c r="B45" s="64" t="s">
        <v>64</v>
      </c>
      <c r="C45" s="65"/>
      <c r="D45" s="65"/>
      <c r="E45" s="65"/>
      <c r="F45" s="65"/>
      <c r="G45" s="52"/>
      <c r="H45" s="65">
        <v>1</v>
      </c>
      <c r="I45" s="52"/>
      <c r="J45" s="65"/>
      <c r="K45" s="65"/>
      <c r="L45" s="65"/>
      <c r="M45" s="65"/>
      <c r="N45" s="52"/>
      <c r="O45" s="65"/>
      <c r="P45" s="52"/>
      <c r="Q45" s="65"/>
      <c r="R45" s="65"/>
      <c r="S45" s="65"/>
      <c r="T45" s="65"/>
      <c r="U45" s="52"/>
      <c r="V45" s="65">
        <v>1</v>
      </c>
      <c r="W45" s="52"/>
      <c r="X45" s="65"/>
      <c r="Y45" s="65"/>
      <c r="Z45" s="65"/>
      <c r="AA45" s="65">
        <v>1</v>
      </c>
      <c r="AB45" s="52"/>
      <c r="AC45" s="65"/>
      <c r="AD45" s="52"/>
      <c r="AE45" s="65"/>
      <c r="AF45" s="65"/>
      <c r="AG45" s="65"/>
      <c r="AH45" s="66">
        <f t="shared" si="3"/>
        <v>3</v>
      </c>
      <c r="AI45" s="68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69" t="str">
        <f t="shared" si="4"/>
        <v>園棠</v>
      </c>
      <c r="AK45" s="73"/>
    </row>
    <row r="46" spans="1:37" ht="18" customHeight="1">
      <c r="A46" s="63" t="s">
        <v>58</v>
      </c>
      <c r="B46" s="64" t="s">
        <v>178</v>
      </c>
      <c r="C46" s="65"/>
      <c r="D46" s="65"/>
      <c r="E46" s="65"/>
      <c r="F46" s="65"/>
      <c r="G46" s="52"/>
      <c r="H46" s="65"/>
      <c r="I46" s="52"/>
      <c r="J46" s="65"/>
      <c r="K46" s="65">
        <v>1</v>
      </c>
      <c r="L46" s="65"/>
      <c r="M46" s="65">
        <v>1</v>
      </c>
      <c r="N46" s="52"/>
      <c r="O46" s="65">
        <v>1</v>
      </c>
      <c r="P46" s="52"/>
      <c r="Q46" s="65"/>
      <c r="R46" s="65"/>
      <c r="S46" s="65"/>
      <c r="T46" s="65">
        <v>1</v>
      </c>
      <c r="U46" s="52"/>
      <c r="V46" s="65"/>
      <c r="W46" s="52"/>
      <c r="X46" s="65">
        <v>1</v>
      </c>
      <c r="Y46" s="65"/>
      <c r="Z46" s="65">
        <v>1</v>
      </c>
      <c r="AA46" s="65">
        <v>1</v>
      </c>
      <c r="AB46" s="52"/>
      <c r="AC46" s="65"/>
      <c r="AD46" s="52"/>
      <c r="AE46" s="65">
        <v>1</v>
      </c>
      <c r="AF46" s="65">
        <v>1</v>
      </c>
      <c r="AG46" s="65"/>
      <c r="AH46" s="66">
        <f t="shared" si="3"/>
        <v>9</v>
      </c>
      <c r="AI46" s="68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69" t="str">
        <f t="shared" si="4"/>
        <v>Fish</v>
      </c>
      <c r="AK46" s="73"/>
    </row>
    <row r="47" spans="1:37" ht="18" customHeight="1">
      <c r="A47" s="63" t="s">
        <v>58</v>
      </c>
      <c r="B47" s="64" t="s">
        <v>25</v>
      </c>
      <c r="C47" s="65"/>
      <c r="D47" s="65"/>
      <c r="E47" s="65"/>
      <c r="F47" s="65"/>
      <c r="G47" s="52"/>
      <c r="H47" s="65"/>
      <c r="I47" s="52"/>
      <c r="J47" s="65"/>
      <c r="K47" s="65"/>
      <c r="L47" s="65">
        <v>1</v>
      </c>
      <c r="M47" s="65"/>
      <c r="N47" s="52"/>
      <c r="O47" s="65"/>
      <c r="P47" s="52"/>
      <c r="Q47" s="65"/>
      <c r="R47" s="65"/>
      <c r="S47" s="65"/>
      <c r="T47" s="65"/>
      <c r="U47" s="52"/>
      <c r="V47" s="65"/>
      <c r="W47" s="52"/>
      <c r="X47" s="65"/>
      <c r="Y47" s="65"/>
      <c r="Z47" s="65"/>
      <c r="AA47" s="65">
        <v>1</v>
      </c>
      <c r="AB47" s="52"/>
      <c r="AC47" s="65"/>
      <c r="AD47" s="52"/>
      <c r="AE47" s="65"/>
      <c r="AF47" s="65"/>
      <c r="AG47" s="65"/>
      <c r="AH47" s="66">
        <f t="shared" si="3"/>
        <v>2</v>
      </c>
      <c r="AI47" s="68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69" t="str">
        <f t="shared" si="4"/>
        <v>潘潘</v>
      </c>
      <c r="AK47" s="73"/>
    </row>
    <row r="48" spans="1:37" ht="18" customHeight="1">
      <c r="A48" s="63" t="s">
        <v>58</v>
      </c>
      <c r="B48" s="64" t="s">
        <v>63</v>
      </c>
      <c r="C48" s="65"/>
      <c r="D48" s="65"/>
      <c r="E48" s="65"/>
      <c r="F48" s="65"/>
      <c r="G48" s="52"/>
      <c r="H48" s="65"/>
      <c r="I48" s="52"/>
      <c r="J48" s="65"/>
      <c r="K48" s="65"/>
      <c r="L48" s="65"/>
      <c r="M48" s="65"/>
      <c r="N48" s="52"/>
      <c r="O48" s="65"/>
      <c r="P48" s="52"/>
      <c r="Q48" s="65"/>
      <c r="R48" s="65"/>
      <c r="S48" s="65"/>
      <c r="T48" s="65"/>
      <c r="U48" s="52"/>
      <c r="V48" s="65"/>
      <c r="W48" s="52"/>
      <c r="X48" s="65"/>
      <c r="Y48" s="65"/>
      <c r="Z48" s="65"/>
      <c r="AA48" s="65"/>
      <c r="AB48" s="52"/>
      <c r="AC48" s="65"/>
      <c r="AD48" s="52"/>
      <c r="AE48" s="65"/>
      <c r="AF48" s="65"/>
      <c r="AG48" s="65"/>
      <c r="AH48" s="66">
        <f t="shared" si="3"/>
        <v>0</v>
      </c>
      <c r="AI48" s="68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69" t="str">
        <f t="shared" si="4"/>
        <v>芒果</v>
      </c>
      <c r="AK48" s="73"/>
    </row>
    <row r="49" spans="1:37" ht="18" customHeight="1">
      <c r="A49" s="63" t="s">
        <v>58</v>
      </c>
      <c r="B49" s="64" t="s">
        <v>22</v>
      </c>
      <c r="C49" s="65"/>
      <c r="D49" s="65">
        <v>1</v>
      </c>
      <c r="E49" s="65">
        <v>1</v>
      </c>
      <c r="F49" s="65"/>
      <c r="G49" s="52"/>
      <c r="H49" s="65"/>
      <c r="I49" s="52"/>
      <c r="J49" s="65"/>
      <c r="K49" s="65">
        <v>1</v>
      </c>
      <c r="L49" s="65"/>
      <c r="M49" s="65"/>
      <c r="N49" s="52"/>
      <c r="O49" s="65"/>
      <c r="P49" s="52"/>
      <c r="Q49" s="65"/>
      <c r="R49" s="65">
        <v>1</v>
      </c>
      <c r="S49" s="65"/>
      <c r="T49" s="65"/>
      <c r="U49" s="52"/>
      <c r="V49" s="65"/>
      <c r="W49" s="52"/>
      <c r="X49" s="65"/>
      <c r="Y49" s="65">
        <v>1</v>
      </c>
      <c r="Z49" s="65"/>
      <c r="AA49" s="65"/>
      <c r="AB49" s="52"/>
      <c r="AC49" s="65"/>
      <c r="AD49" s="52"/>
      <c r="AE49" s="65"/>
      <c r="AF49" s="65">
        <v>1</v>
      </c>
      <c r="AG49" s="65"/>
      <c r="AH49" s="66">
        <f t="shared" si="3"/>
        <v>6</v>
      </c>
      <c r="AI49" s="68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69" t="str">
        <f t="shared" si="4"/>
        <v>Mars</v>
      </c>
      <c r="AK49" s="73"/>
    </row>
    <row r="50" spans="1:37" ht="18" customHeight="1">
      <c r="A50" s="63" t="s">
        <v>58</v>
      </c>
      <c r="B50" s="64" t="s">
        <v>59</v>
      </c>
      <c r="C50" s="65"/>
      <c r="D50" s="65"/>
      <c r="E50" s="65"/>
      <c r="F50" s="65"/>
      <c r="G50" s="52"/>
      <c r="H50" s="65"/>
      <c r="I50" s="52"/>
      <c r="J50" s="65"/>
      <c r="K50" s="65"/>
      <c r="L50" s="65"/>
      <c r="M50" s="65"/>
      <c r="N50" s="52"/>
      <c r="O50" s="65"/>
      <c r="P50" s="52"/>
      <c r="Q50" s="65"/>
      <c r="R50" s="65"/>
      <c r="S50" s="65"/>
      <c r="T50" s="65"/>
      <c r="U50" s="52"/>
      <c r="V50" s="65"/>
      <c r="W50" s="52"/>
      <c r="X50" s="65"/>
      <c r="Y50" s="65"/>
      <c r="Z50" s="65"/>
      <c r="AA50" s="65"/>
      <c r="AB50" s="52"/>
      <c r="AC50" s="65"/>
      <c r="AD50" s="52"/>
      <c r="AE50" s="65"/>
      <c r="AF50" s="65"/>
      <c r="AG50" s="65"/>
      <c r="AH50" s="66">
        <f t="shared" si="3"/>
        <v>0</v>
      </c>
      <c r="AI50" s="68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69" t="str">
        <f t="shared" si="4"/>
        <v>阿幹</v>
      </c>
      <c r="AK50" s="73"/>
    </row>
    <row r="51" spans="1:37" ht="18" customHeight="1">
      <c r="A51" s="63" t="s">
        <v>58</v>
      </c>
      <c r="B51" s="64" t="s">
        <v>27</v>
      </c>
      <c r="C51" s="65"/>
      <c r="D51" s="65"/>
      <c r="E51" s="65"/>
      <c r="F51" s="65"/>
      <c r="G51" s="52"/>
      <c r="H51" s="65"/>
      <c r="I51" s="52"/>
      <c r="J51" s="65"/>
      <c r="K51" s="65"/>
      <c r="L51" s="65"/>
      <c r="M51" s="65"/>
      <c r="N51" s="52"/>
      <c r="O51" s="65">
        <v>1</v>
      </c>
      <c r="P51" s="52"/>
      <c r="Q51" s="65"/>
      <c r="R51" s="65"/>
      <c r="S51" s="65"/>
      <c r="T51" s="65"/>
      <c r="U51" s="52"/>
      <c r="V51" s="65"/>
      <c r="W51" s="52"/>
      <c r="X51" s="65"/>
      <c r="Y51" s="65"/>
      <c r="Z51" s="65"/>
      <c r="AA51" s="65"/>
      <c r="AB51" s="52"/>
      <c r="AC51" s="65"/>
      <c r="AD51" s="52"/>
      <c r="AE51" s="65"/>
      <c r="AF51" s="65"/>
      <c r="AG51" s="65"/>
      <c r="AH51" s="66">
        <f t="shared" si="3"/>
        <v>1</v>
      </c>
      <c r="AI51" s="68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69" t="str">
        <f t="shared" si="4"/>
        <v>芋圓</v>
      </c>
      <c r="AK51" s="73"/>
    </row>
    <row r="52" spans="1:37" ht="18" customHeight="1">
      <c r="A52" s="63" t="s">
        <v>58</v>
      </c>
      <c r="B52" s="64" t="s">
        <v>28</v>
      </c>
      <c r="C52" s="65"/>
      <c r="D52" s="65"/>
      <c r="E52" s="65"/>
      <c r="F52" s="65"/>
      <c r="G52" s="52"/>
      <c r="H52" s="65"/>
      <c r="I52" s="52"/>
      <c r="J52" s="65"/>
      <c r="K52" s="65"/>
      <c r="L52" s="65"/>
      <c r="M52" s="65"/>
      <c r="N52" s="52"/>
      <c r="O52" s="65"/>
      <c r="P52" s="52"/>
      <c r="Q52" s="65"/>
      <c r="R52" s="65"/>
      <c r="S52" s="65"/>
      <c r="T52" s="65"/>
      <c r="U52" s="52"/>
      <c r="V52" s="65"/>
      <c r="W52" s="52"/>
      <c r="X52" s="65"/>
      <c r="Y52" s="65"/>
      <c r="Z52" s="65"/>
      <c r="AA52" s="65"/>
      <c r="AB52" s="52"/>
      <c r="AC52" s="65"/>
      <c r="AD52" s="52"/>
      <c r="AE52" s="65"/>
      <c r="AF52" s="65"/>
      <c r="AG52" s="65"/>
      <c r="AH52" s="66">
        <f t="shared" si="3"/>
        <v>0</v>
      </c>
      <c r="AI52" s="68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69" t="str">
        <f t="shared" si="4"/>
        <v>克勤</v>
      </c>
      <c r="AK52" s="73"/>
    </row>
    <row r="53" spans="1:37" ht="18" customHeight="1">
      <c r="A53" s="63" t="s">
        <v>58</v>
      </c>
      <c r="B53" s="64" t="s">
        <v>29</v>
      </c>
      <c r="C53" s="65">
        <v>1</v>
      </c>
      <c r="D53" s="65"/>
      <c r="E53" s="65"/>
      <c r="F53" s="65"/>
      <c r="G53" s="52"/>
      <c r="H53" s="65"/>
      <c r="I53" s="52"/>
      <c r="J53" s="65"/>
      <c r="K53" s="65"/>
      <c r="L53" s="65"/>
      <c r="M53" s="65">
        <v>1</v>
      </c>
      <c r="N53" s="52"/>
      <c r="O53" s="65">
        <v>1</v>
      </c>
      <c r="P53" s="52"/>
      <c r="Q53" s="65"/>
      <c r="R53" s="65"/>
      <c r="S53" s="65"/>
      <c r="T53" s="65"/>
      <c r="U53" s="52"/>
      <c r="V53" s="65"/>
      <c r="W53" s="52"/>
      <c r="X53" s="65"/>
      <c r="Y53" s="65"/>
      <c r="Z53" s="65">
        <v>1</v>
      </c>
      <c r="AA53" s="65">
        <v>1</v>
      </c>
      <c r="AB53" s="52"/>
      <c r="AC53" s="65"/>
      <c r="AD53" s="52"/>
      <c r="AE53" s="65">
        <v>1</v>
      </c>
      <c r="AF53" s="65"/>
      <c r="AG53" s="65"/>
      <c r="AH53" s="66">
        <f t="shared" si="3"/>
        <v>6</v>
      </c>
      <c r="AI53" s="68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69" t="str">
        <f t="shared" si="4"/>
        <v>大頭</v>
      </c>
      <c r="AK53" s="73"/>
    </row>
    <row r="54" spans="1:37" ht="18" customHeight="1">
      <c r="A54" s="63" t="s">
        <v>58</v>
      </c>
      <c r="B54" s="64" t="s">
        <v>66</v>
      </c>
      <c r="C54" s="65"/>
      <c r="D54" s="65"/>
      <c r="E54" s="65"/>
      <c r="F54" s="65"/>
      <c r="G54" s="52"/>
      <c r="H54" s="65"/>
      <c r="I54" s="52"/>
      <c r="J54" s="65"/>
      <c r="K54" s="65"/>
      <c r="L54" s="65"/>
      <c r="M54" s="65"/>
      <c r="N54" s="52"/>
      <c r="O54" s="65"/>
      <c r="P54" s="52"/>
      <c r="Q54" s="65"/>
      <c r="R54" s="65"/>
      <c r="S54" s="65"/>
      <c r="T54" s="65"/>
      <c r="U54" s="52"/>
      <c r="V54" s="65"/>
      <c r="W54" s="52"/>
      <c r="X54" s="65"/>
      <c r="Y54" s="65"/>
      <c r="Z54" s="65"/>
      <c r="AA54" s="65"/>
      <c r="AB54" s="52"/>
      <c r="AC54" s="65"/>
      <c r="AD54" s="52"/>
      <c r="AE54" s="65"/>
      <c r="AF54" s="65"/>
      <c r="AG54" s="65"/>
      <c r="AH54" s="66">
        <f t="shared" si="3"/>
        <v>0</v>
      </c>
      <c r="AI54" s="68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69" t="str">
        <f t="shared" si="4"/>
        <v>昆佑</v>
      </c>
      <c r="AK54" s="73"/>
    </row>
    <row r="55" spans="1:37" ht="18" customHeight="1">
      <c r="A55" s="63" t="s">
        <v>58</v>
      </c>
      <c r="B55" s="64" t="s">
        <v>68</v>
      </c>
      <c r="C55" s="65"/>
      <c r="D55" s="65"/>
      <c r="E55" s="65"/>
      <c r="F55" s="65"/>
      <c r="G55" s="52"/>
      <c r="H55" s="65"/>
      <c r="I55" s="52"/>
      <c r="J55" s="65"/>
      <c r="K55" s="65"/>
      <c r="L55" s="65"/>
      <c r="M55" s="65"/>
      <c r="N55" s="52"/>
      <c r="O55" s="65"/>
      <c r="P55" s="52"/>
      <c r="Q55" s="65"/>
      <c r="R55" s="65"/>
      <c r="S55" s="65"/>
      <c r="T55" s="65"/>
      <c r="U55" s="52"/>
      <c r="V55" s="65"/>
      <c r="W55" s="52"/>
      <c r="X55" s="65"/>
      <c r="Y55" s="65"/>
      <c r="Z55" s="65"/>
      <c r="AA55" s="65"/>
      <c r="AB55" s="52"/>
      <c r="AC55" s="65"/>
      <c r="AD55" s="52"/>
      <c r="AE55" s="65"/>
      <c r="AF55" s="65"/>
      <c r="AG55" s="65"/>
      <c r="AH55" s="66">
        <f t="shared" si="3"/>
        <v>0</v>
      </c>
      <c r="AI55" s="68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69" t="str">
        <f t="shared" si="4"/>
        <v>兔子</v>
      </c>
      <c r="AK55" s="73"/>
    </row>
    <row r="56" spans="1:37" ht="18" customHeight="1">
      <c r="A56" s="63" t="s">
        <v>58</v>
      </c>
      <c r="B56" s="64" t="s">
        <v>69</v>
      </c>
      <c r="C56" s="65"/>
      <c r="D56" s="65"/>
      <c r="E56" s="65"/>
      <c r="F56" s="65"/>
      <c r="G56" s="52"/>
      <c r="H56" s="65"/>
      <c r="I56" s="52"/>
      <c r="J56" s="65"/>
      <c r="K56" s="65"/>
      <c r="L56" s="65"/>
      <c r="M56" s="65"/>
      <c r="N56" s="52"/>
      <c r="O56" s="65"/>
      <c r="P56" s="52"/>
      <c r="Q56" s="65"/>
      <c r="R56" s="65"/>
      <c r="S56" s="65"/>
      <c r="T56" s="65"/>
      <c r="U56" s="52"/>
      <c r="V56" s="65"/>
      <c r="W56" s="52"/>
      <c r="X56" s="65"/>
      <c r="Y56" s="65"/>
      <c r="Z56" s="65"/>
      <c r="AA56" s="65"/>
      <c r="AB56" s="52"/>
      <c r="AC56" s="65"/>
      <c r="AD56" s="52"/>
      <c r="AE56" s="65"/>
      <c r="AF56" s="65"/>
      <c r="AG56" s="65"/>
      <c r="AH56" s="66">
        <f t="shared" si="3"/>
        <v>0</v>
      </c>
      <c r="AI56" s="68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69" t="str">
        <f t="shared" si="4"/>
        <v>小馬</v>
      </c>
      <c r="AK56" s="73"/>
    </row>
    <row r="57" spans="1:37" ht="18" customHeight="1">
      <c r="A57" s="63" t="s">
        <v>58</v>
      </c>
      <c r="B57" s="64" t="s">
        <v>70</v>
      </c>
      <c r="C57" s="65"/>
      <c r="D57" s="65"/>
      <c r="E57" s="65"/>
      <c r="F57" s="65"/>
      <c r="G57" s="52"/>
      <c r="H57" s="65"/>
      <c r="I57" s="52"/>
      <c r="J57" s="65"/>
      <c r="K57" s="65"/>
      <c r="L57" s="65"/>
      <c r="M57" s="65"/>
      <c r="N57" s="52"/>
      <c r="O57" s="65"/>
      <c r="P57" s="52"/>
      <c r="Q57" s="65"/>
      <c r="R57" s="65"/>
      <c r="S57" s="65"/>
      <c r="T57" s="65"/>
      <c r="U57" s="52"/>
      <c r="V57" s="65"/>
      <c r="W57" s="52"/>
      <c r="X57" s="65"/>
      <c r="Y57" s="65"/>
      <c r="Z57" s="65"/>
      <c r="AA57" s="65"/>
      <c r="AB57" s="52"/>
      <c r="AC57" s="65"/>
      <c r="AD57" s="52"/>
      <c r="AE57" s="65"/>
      <c r="AF57" s="65"/>
      <c r="AG57" s="65"/>
      <c r="AH57" s="66">
        <f t="shared" si="3"/>
        <v>0</v>
      </c>
      <c r="AI57" s="68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69" t="str">
        <f t="shared" si="4"/>
        <v>Allen</v>
      </c>
      <c r="AK57" s="73"/>
    </row>
    <row r="58" spans="1:37" ht="18" customHeight="1">
      <c r="A58" s="63" t="s">
        <v>58</v>
      </c>
      <c r="B58" s="64" t="s">
        <v>71</v>
      </c>
      <c r="C58" s="65"/>
      <c r="D58" s="65"/>
      <c r="E58" s="65"/>
      <c r="F58" s="65"/>
      <c r="G58" s="52"/>
      <c r="H58" s="65"/>
      <c r="I58" s="52"/>
      <c r="J58" s="65"/>
      <c r="K58" s="65"/>
      <c r="L58" s="65"/>
      <c r="M58" s="65"/>
      <c r="N58" s="52"/>
      <c r="O58" s="65"/>
      <c r="P58" s="52"/>
      <c r="Q58" s="65"/>
      <c r="R58" s="65"/>
      <c r="S58" s="65"/>
      <c r="T58" s="65"/>
      <c r="U58" s="52"/>
      <c r="V58" s="65"/>
      <c r="W58" s="52"/>
      <c r="X58" s="65"/>
      <c r="Y58" s="65"/>
      <c r="Z58" s="65"/>
      <c r="AA58" s="65"/>
      <c r="AB58" s="52"/>
      <c r="AC58" s="65"/>
      <c r="AD58" s="52"/>
      <c r="AE58" s="65"/>
      <c r="AF58" s="65"/>
      <c r="AG58" s="65"/>
      <c r="AH58" s="66">
        <f t="shared" si="3"/>
        <v>0</v>
      </c>
      <c r="AI58" s="68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69" t="str">
        <f t="shared" si="4"/>
        <v>嘴嘴</v>
      </c>
      <c r="AK58" s="73"/>
    </row>
    <row r="59" spans="1:37" ht="18" customHeight="1">
      <c r="A59" s="63" t="s">
        <v>58</v>
      </c>
      <c r="B59" s="64" t="s">
        <v>74</v>
      </c>
      <c r="C59" s="65"/>
      <c r="D59" s="65"/>
      <c r="E59" s="65"/>
      <c r="F59" s="65"/>
      <c r="G59" s="52"/>
      <c r="H59" s="65"/>
      <c r="I59" s="52"/>
      <c r="J59" s="65"/>
      <c r="K59" s="65"/>
      <c r="L59" s="65"/>
      <c r="M59" s="65"/>
      <c r="N59" s="52"/>
      <c r="O59" s="65"/>
      <c r="P59" s="52"/>
      <c r="Q59" s="65"/>
      <c r="R59" s="65"/>
      <c r="S59" s="65"/>
      <c r="T59" s="65"/>
      <c r="U59" s="52"/>
      <c r="V59" s="65"/>
      <c r="W59" s="52"/>
      <c r="X59" s="65"/>
      <c r="Y59" s="65"/>
      <c r="Z59" s="65"/>
      <c r="AA59" s="65"/>
      <c r="AB59" s="52"/>
      <c r="AC59" s="65"/>
      <c r="AD59" s="52"/>
      <c r="AE59" s="65"/>
      <c r="AF59" s="65"/>
      <c r="AG59" s="65"/>
      <c r="AH59" s="66">
        <f t="shared" si="3"/>
        <v>0</v>
      </c>
      <c r="AI59" s="68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69" t="str">
        <f t="shared" si="4"/>
        <v>蘆葦</v>
      </c>
      <c r="AK59" s="73"/>
    </row>
    <row r="60" spans="1:37" ht="18" customHeight="1">
      <c r="A60" s="63" t="s">
        <v>58</v>
      </c>
      <c r="B60" s="64" t="s">
        <v>30</v>
      </c>
      <c r="C60" s="65">
        <v>1</v>
      </c>
      <c r="D60" s="65"/>
      <c r="E60" s="65"/>
      <c r="F60" s="65"/>
      <c r="G60" s="52"/>
      <c r="H60" s="65"/>
      <c r="I60" s="52"/>
      <c r="J60" s="65"/>
      <c r="K60" s="65"/>
      <c r="L60" s="65">
        <v>1</v>
      </c>
      <c r="M60" s="65"/>
      <c r="N60" s="52"/>
      <c r="O60" s="65"/>
      <c r="P60" s="52"/>
      <c r="Q60" s="65"/>
      <c r="R60" s="65"/>
      <c r="S60" s="65">
        <v>1</v>
      </c>
      <c r="T60" s="65"/>
      <c r="U60" s="52"/>
      <c r="V60" s="65"/>
      <c r="W60" s="52"/>
      <c r="X60" s="65"/>
      <c r="Y60" s="65"/>
      <c r="Z60" s="65"/>
      <c r="AA60" s="65"/>
      <c r="AB60" s="52"/>
      <c r="AC60" s="65"/>
      <c r="AD60" s="52"/>
      <c r="AE60" s="65"/>
      <c r="AF60" s="65">
        <v>1</v>
      </c>
      <c r="AG60" s="65"/>
      <c r="AH60" s="66">
        <f t="shared" si="3"/>
        <v>4</v>
      </c>
      <c r="AI60" s="68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69" t="str">
        <f t="shared" si="4"/>
        <v>鯰魚</v>
      </c>
      <c r="AK60" s="73"/>
    </row>
    <row r="61" spans="1:37" ht="18" customHeight="1">
      <c r="A61" s="63" t="s">
        <v>58</v>
      </c>
      <c r="B61" s="64" t="s">
        <v>31</v>
      </c>
      <c r="C61" s="65"/>
      <c r="D61" s="65"/>
      <c r="E61" s="65"/>
      <c r="F61" s="65"/>
      <c r="G61" s="52"/>
      <c r="H61" s="65"/>
      <c r="I61" s="52"/>
      <c r="J61" s="65"/>
      <c r="K61" s="65"/>
      <c r="L61" s="65"/>
      <c r="M61" s="65"/>
      <c r="N61" s="52"/>
      <c r="O61" s="65"/>
      <c r="P61" s="52"/>
      <c r="Q61" s="65"/>
      <c r="R61" s="65"/>
      <c r="S61" s="65"/>
      <c r="T61" s="65"/>
      <c r="U61" s="52"/>
      <c r="V61" s="65"/>
      <c r="W61" s="52"/>
      <c r="X61" s="65">
        <v>1</v>
      </c>
      <c r="Y61" s="65"/>
      <c r="Z61" s="65"/>
      <c r="AA61" s="65"/>
      <c r="AB61" s="52"/>
      <c r="AC61" s="65"/>
      <c r="AD61" s="52"/>
      <c r="AE61" s="65"/>
      <c r="AF61" s="65"/>
      <c r="AG61" s="65"/>
      <c r="AH61" s="66">
        <f t="shared" si="3"/>
        <v>1</v>
      </c>
      <c r="AI61" s="68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69" t="str">
        <f t="shared" si="4"/>
        <v>阿美</v>
      </c>
      <c r="AK61" s="73"/>
    </row>
    <row r="62" spans="1:37" ht="18" customHeight="1">
      <c r="A62" s="63" t="s">
        <v>58</v>
      </c>
      <c r="B62" s="64" t="s">
        <v>73</v>
      </c>
      <c r="C62" s="65"/>
      <c r="D62" s="65"/>
      <c r="E62" s="65"/>
      <c r="F62" s="65"/>
      <c r="G62" s="52"/>
      <c r="H62" s="65"/>
      <c r="I62" s="52"/>
      <c r="J62" s="65"/>
      <c r="K62" s="65"/>
      <c r="L62" s="65"/>
      <c r="M62" s="65"/>
      <c r="N62" s="52"/>
      <c r="O62" s="65"/>
      <c r="P62" s="52"/>
      <c r="Q62" s="65"/>
      <c r="R62" s="65"/>
      <c r="S62" s="65"/>
      <c r="T62" s="65"/>
      <c r="U62" s="52"/>
      <c r="V62" s="65"/>
      <c r="W62" s="52"/>
      <c r="X62" s="65"/>
      <c r="Y62" s="65"/>
      <c r="Z62" s="65"/>
      <c r="AA62" s="65"/>
      <c r="AB62" s="52"/>
      <c r="AC62" s="65"/>
      <c r="AD62" s="52"/>
      <c r="AE62" s="65"/>
      <c r="AF62" s="65"/>
      <c r="AG62" s="65"/>
      <c r="AH62" s="66">
        <f t="shared" si="3"/>
        <v>0</v>
      </c>
      <c r="AI62" s="68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69" t="str">
        <f t="shared" si="4"/>
        <v>冠軍</v>
      </c>
      <c r="AK62" s="73"/>
    </row>
    <row r="63" spans="1:37" ht="18" customHeight="1">
      <c r="A63" s="63" t="s">
        <v>58</v>
      </c>
      <c r="B63" s="64" t="s">
        <v>26</v>
      </c>
      <c r="C63" s="65"/>
      <c r="D63" s="65"/>
      <c r="E63" s="65">
        <v>1</v>
      </c>
      <c r="F63" s="65"/>
      <c r="G63" s="52"/>
      <c r="H63" s="65"/>
      <c r="I63" s="52"/>
      <c r="J63" s="65"/>
      <c r="K63" s="65"/>
      <c r="L63" s="65"/>
      <c r="M63" s="65"/>
      <c r="N63" s="52"/>
      <c r="O63" s="65"/>
      <c r="P63" s="52"/>
      <c r="Q63" s="65"/>
      <c r="R63" s="65"/>
      <c r="S63" s="65"/>
      <c r="T63" s="65"/>
      <c r="U63" s="52"/>
      <c r="V63" s="65"/>
      <c r="W63" s="52"/>
      <c r="X63" s="65"/>
      <c r="Y63" s="65"/>
      <c r="Z63" s="65"/>
      <c r="AA63" s="65"/>
      <c r="AB63" s="52"/>
      <c r="AC63" s="65"/>
      <c r="AD63" s="52"/>
      <c r="AE63" s="65"/>
      <c r="AF63" s="65"/>
      <c r="AG63" s="65"/>
      <c r="AH63" s="66">
        <f t="shared" si="3"/>
        <v>1</v>
      </c>
      <c r="AI63" s="68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69" t="str">
        <f t="shared" si="4"/>
        <v>曉強</v>
      </c>
      <c r="AK63" s="73"/>
    </row>
    <row r="64" spans="1:37" ht="18" customHeight="1">
      <c r="A64" s="63" t="s">
        <v>58</v>
      </c>
      <c r="B64" s="64" t="s">
        <v>198</v>
      </c>
      <c r="C64" s="65"/>
      <c r="D64" s="65"/>
      <c r="E64" s="65"/>
      <c r="F64" s="65"/>
      <c r="G64" s="52"/>
      <c r="H64" s="65"/>
      <c r="I64" s="52"/>
      <c r="J64" s="65"/>
      <c r="K64" s="65"/>
      <c r="L64" s="65"/>
      <c r="M64" s="65"/>
      <c r="N64" s="52"/>
      <c r="O64" s="65"/>
      <c r="P64" s="52"/>
      <c r="Q64" s="65"/>
      <c r="R64" s="65"/>
      <c r="S64" s="65"/>
      <c r="T64" s="65"/>
      <c r="U64" s="52"/>
      <c r="V64" s="65"/>
      <c r="W64" s="52"/>
      <c r="X64" s="65"/>
      <c r="Y64" s="65"/>
      <c r="Z64" s="65"/>
      <c r="AA64" s="65"/>
      <c r="AB64" s="52"/>
      <c r="AC64" s="65"/>
      <c r="AD64" s="52"/>
      <c r="AE64" s="65"/>
      <c r="AF64" s="65"/>
      <c r="AG64" s="65"/>
      <c r="AH64" s="66">
        <f t="shared" si="3"/>
        <v>0</v>
      </c>
      <c r="AI64" s="68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69" t="str">
        <f t="shared" si="4"/>
        <v>郁翔</v>
      </c>
      <c r="AK64" s="73"/>
    </row>
    <row r="65" spans="1:37" ht="18" customHeight="1">
      <c r="A65" s="63" t="s">
        <v>58</v>
      </c>
      <c r="B65" s="64" t="s">
        <v>67</v>
      </c>
      <c r="C65" s="65"/>
      <c r="D65" s="65"/>
      <c r="E65" s="65"/>
      <c r="F65" s="65"/>
      <c r="G65" s="52"/>
      <c r="H65" s="65"/>
      <c r="I65" s="52"/>
      <c r="J65" s="65"/>
      <c r="K65" s="65"/>
      <c r="L65" s="65"/>
      <c r="M65" s="65"/>
      <c r="N65" s="52"/>
      <c r="O65" s="65"/>
      <c r="P65" s="52"/>
      <c r="Q65" s="65"/>
      <c r="R65" s="65"/>
      <c r="S65" s="65"/>
      <c r="T65" s="65"/>
      <c r="U65" s="52"/>
      <c r="V65" s="65"/>
      <c r="W65" s="52"/>
      <c r="X65" s="65"/>
      <c r="Y65" s="65"/>
      <c r="Z65" s="65"/>
      <c r="AA65" s="65"/>
      <c r="AB65" s="52"/>
      <c r="AC65" s="65"/>
      <c r="AD65" s="52"/>
      <c r="AE65" s="65"/>
      <c r="AF65" s="65"/>
      <c r="AG65" s="65"/>
      <c r="AH65" s="66">
        <f t="shared" si="3"/>
        <v>0</v>
      </c>
      <c r="AI65" s="68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69" t="str">
        <f t="shared" si="4"/>
        <v>歐吉</v>
      </c>
      <c r="AK65" s="73"/>
    </row>
    <row r="66" spans="1:37" ht="18" customHeight="1">
      <c r="A66" s="63" t="s">
        <v>58</v>
      </c>
      <c r="B66" s="64" t="s">
        <v>65</v>
      </c>
      <c r="C66" s="65"/>
      <c r="D66" s="65"/>
      <c r="E66" s="65"/>
      <c r="F66" s="65"/>
      <c r="G66" s="52"/>
      <c r="H66" s="65"/>
      <c r="I66" s="52"/>
      <c r="J66" s="65"/>
      <c r="K66" s="65">
        <v>1</v>
      </c>
      <c r="L66" s="65">
        <v>1</v>
      </c>
      <c r="M66" s="65">
        <v>1</v>
      </c>
      <c r="N66" s="52"/>
      <c r="O66" s="65">
        <v>1</v>
      </c>
      <c r="P66" s="52"/>
      <c r="Q66" s="65">
        <v>1</v>
      </c>
      <c r="R66" s="65"/>
      <c r="S66" s="65"/>
      <c r="T66" s="65"/>
      <c r="U66" s="52"/>
      <c r="V66" s="65"/>
      <c r="W66" s="52"/>
      <c r="X66" s="65"/>
      <c r="Y66" s="65"/>
      <c r="Z66" s="65"/>
      <c r="AA66" s="65">
        <v>1</v>
      </c>
      <c r="AB66" s="52"/>
      <c r="AC66" s="65"/>
      <c r="AD66" s="52"/>
      <c r="AE66" s="65"/>
      <c r="AF66" s="65"/>
      <c r="AG66" s="65"/>
      <c r="AH66" s="66">
        <f t="shared" si="3"/>
        <v>6</v>
      </c>
      <c r="AI66" s="68">
        <v>1000</v>
      </c>
      <c r="AJ66" s="69" t="str">
        <f t="shared" si="4"/>
        <v>文淵</v>
      </c>
      <c r="AK66" s="73" t="s">
        <v>215</v>
      </c>
    </row>
    <row r="67" spans="1:37" ht="18" customHeight="1">
      <c r="A67" s="63" t="s">
        <v>58</v>
      </c>
      <c r="B67" s="64" t="s">
        <v>75</v>
      </c>
      <c r="C67" s="65"/>
      <c r="D67" s="65"/>
      <c r="E67" s="65"/>
      <c r="F67" s="65"/>
      <c r="G67" s="52"/>
      <c r="H67" s="65"/>
      <c r="I67" s="52"/>
      <c r="J67" s="65"/>
      <c r="K67" s="65"/>
      <c r="L67" s="65"/>
      <c r="M67" s="65"/>
      <c r="N67" s="52"/>
      <c r="O67" s="65"/>
      <c r="P67" s="52"/>
      <c r="Q67" s="65"/>
      <c r="R67" s="65"/>
      <c r="S67" s="65"/>
      <c r="T67" s="65"/>
      <c r="U67" s="52"/>
      <c r="V67" s="65"/>
      <c r="W67" s="52"/>
      <c r="X67" s="65"/>
      <c r="Y67" s="65"/>
      <c r="Z67" s="65"/>
      <c r="AA67" s="65"/>
      <c r="AB67" s="52"/>
      <c r="AC67" s="65"/>
      <c r="AD67" s="52"/>
      <c r="AE67" s="65"/>
      <c r="AF67" s="65"/>
      <c r="AG67" s="65"/>
      <c r="AH67" s="66">
        <f t="shared" si="3"/>
        <v>0</v>
      </c>
      <c r="AI67" s="68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69" t="str">
        <f t="shared" si="4"/>
        <v>叮噹</v>
      </c>
      <c r="AK67" s="73"/>
    </row>
    <row r="68" spans="1:37" ht="18" customHeight="1">
      <c r="A68" s="63" t="s">
        <v>58</v>
      </c>
      <c r="B68" s="64" t="s">
        <v>76</v>
      </c>
      <c r="C68" s="65"/>
      <c r="D68" s="65"/>
      <c r="E68" s="65"/>
      <c r="F68" s="65"/>
      <c r="G68" s="52"/>
      <c r="H68" s="65"/>
      <c r="I68" s="52"/>
      <c r="J68" s="65"/>
      <c r="K68" s="65"/>
      <c r="L68" s="65"/>
      <c r="M68" s="65"/>
      <c r="N68" s="52"/>
      <c r="O68" s="65"/>
      <c r="P68" s="52"/>
      <c r="Q68" s="65"/>
      <c r="R68" s="65"/>
      <c r="S68" s="65"/>
      <c r="T68" s="65"/>
      <c r="U68" s="52"/>
      <c r="V68" s="65"/>
      <c r="W68" s="52"/>
      <c r="X68" s="65"/>
      <c r="Y68" s="65"/>
      <c r="Z68" s="65"/>
      <c r="AA68" s="65"/>
      <c r="AB68" s="52"/>
      <c r="AC68" s="65"/>
      <c r="AD68" s="52"/>
      <c r="AE68" s="65"/>
      <c r="AF68" s="65"/>
      <c r="AG68" s="65"/>
      <c r="AH68" s="66">
        <f t="shared" ref="AH68:AH99" si="5">COUNTA(C68:AG68)</f>
        <v>0</v>
      </c>
      <c r="AI68" s="68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69" t="str">
        <f t="shared" ref="AJ68:AJ99" si="6">B68</f>
        <v>肥肥</v>
      </c>
      <c r="AK68" s="73"/>
    </row>
    <row r="69" spans="1:37" ht="18" customHeight="1">
      <c r="A69" s="63" t="s">
        <v>58</v>
      </c>
      <c r="B69" s="64" t="s">
        <v>77</v>
      </c>
      <c r="C69" s="65"/>
      <c r="D69" s="65"/>
      <c r="E69" s="65"/>
      <c r="F69" s="65"/>
      <c r="G69" s="52"/>
      <c r="H69" s="65"/>
      <c r="I69" s="52"/>
      <c r="J69" s="65"/>
      <c r="K69" s="65"/>
      <c r="L69" s="65"/>
      <c r="M69" s="65"/>
      <c r="N69" s="52"/>
      <c r="O69" s="65"/>
      <c r="P69" s="52"/>
      <c r="Q69" s="65"/>
      <c r="R69" s="65"/>
      <c r="S69" s="65"/>
      <c r="T69" s="65"/>
      <c r="U69" s="52"/>
      <c r="V69" s="65"/>
      <c r="W69" s="52"/>
      <c r="X69" s="65"/>
      <c r="Y69" s="65"/>
      <c r="Z69" s="65"/>
      <c r="AA69" s="65"/>
      <c r="AB69" s="52"/>
      <c r="AC69" s="65"/>
      <c r="AD69" s="52"/>
      <c r="AE69" s="65"/>
      <c r="AF69" s="65"/>
      <c r="AG69" s="65"/>
      <c r="AH69" s="66">
        <f t="shared" si="5"/>
        <v>0</v>
      </c>
      <c r="AI69" s="68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69" t="str">
        <f t="shared" si="6"/>
        <v>小夫</v>
      </c>
      <c r="AK69" s="73"/>
    </row>
    <row r="70" spans="1:37" ht="18" customHeight="1">
      <c r="A70" s="63" t="s">
        <v>58</v>
      </c>
      <c r="B70" s="64" t="s">
        <v>78</v>
      </c>
      <c r="C70" s="65"/>
      <c r="D70" s="65"/>
      <c r="E70" s="65"/>
      <c r="F70" s="65"/>
      <c r="G70" s="52"/>
      <c r="H70" s="65"/>
      <c r="I70" s="52"/>
      <c r="J70" s="65"/>
      <c r="K70" s="65"/>
      <c r="L70" s="65"/>
      <c r="M70" s="65"/>
      <c r="N70" s="52"/>
      <c r="O70" s="65"/>
      <c r="P70" s="52"/>
      <c r="Q70" s="65"/>
      <c r="R70" s="65"/>
      <c r="S70" s="65"/>
      <c r="T70" s="65"/>
      <c r="U70" s="52"/>
      <c r="V70" s="65"/>
      <c r="W70" s="52"/>
      <c r="X70" s="65"/>
      <c r="Y70" s="65"/>
      <c r="Z70" s="65"/>
      <c r="AA70" s="65"/>
      <c r="AB70" s="52"/>
      <c r="AC70" s="65"/>
      <c r="AD70" s="52"/>
      <c r="AE70" s="65"/>
      <c r="AF70" s="65"/>
      <c r="AG70" s="65"/>
      <c r="AH70" s="66">
        <f t="shared" si="5"/>
        <v>0</v>
      </c>
      <c r="AI70" s="68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69" t="str">
        <f t="shared" si="6"/>
        <v>小邱</v>
      </c>
      <c r="AK70" s="73"/>
    </row>
    <row r="71" spans="1:37" ht="18" customHeight="1">
      <c r="A71" s="63" t="s">
        <v>58</v>
      </c>
      <c r="B71" s="64" t="s">
        <v>79</v>
      </c>
      <c r="C71" s="65"/>
      <c r="D71" s="65"/>
      <c r="E71" s="65"/>
      <c r="F71" s="65"/>
      <c r="G71" s="52"/>
      <c r="H71" s="65"/>
      <c r="I71" s="52"/>
      <c r="J71" s="65"/>
      <c r="K71" s="65"/>
      <c r="L71" s="65"/>
      <c r="M71" s="65"/>
      <c r="N71" s="52"/>
      <c r="O71" s="65"/>
      <c r="P71" s="52"/>
      <c r="Q71" s="65"/>
      <c r="R71" s="65"/>
      <c r="S71" s="65"/>
      <c r="T71" s="65"/>
      <c r="U71" s="52"/>
      <c r="V71" s="65"/>
      <c r="W71" s="52"/>
      <c r="X71" s="65"/>
      <c r="Y71" s="65"/>
      <c r="Z71" s="65"/>
      <c r="AA71" s="65"/>
      <c r="AB71" s="52"/>
      <c r="AC71" s="65"/>
      <c r="AD71" s="52"/>
      <c r="AE71" s="65"/>
      <c r="AF71" s="65"/>
      <c r="AG71" s="65"/>
      <c r="AH71" s="66">
        <f t="shared" si="5"/>
        <v>0</v>
      </c>
      <c r="AI71" s="68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69" t="str">
        <f t="shared" si="6"/>
        <v>淳淳</v>
      </c>
      <c r="AK71" s="73"/>
    </row>
    <row r="72" spans="1:37" ht="18" customHeight="1">
      <c r="A72" s="63" t="s">
        <v>58</v>
      </c>
      <c r="B72" s="64" t="s">
        <v>80</v>
      </c>
      <c r="C72" s="65"/>
      <c r="D72" s="65"/>
      <c r="E72" s="65"/>
      <c r="F72" s="65"/>
      <c r="G72" s="52"/>
      <c r="H72" s="65"/>
      <c r="I72" s="52"/>
      <c r="J72" s="65"/>
      <c r="K72" s="65"/>
      <c r="L72" s="65"/>
      <c r="M72" s="65"/>
      <c r="N72" s="52"/>
      <c r="O72" s="65"/>
      <c r="P72" s="52"/>
      <c r="Q72" s="65"/>
      <c r="R72" s="65"/>
      <c r="S72" s="65"/>
      <c r="T72" s="65"/>
      <c r="U72" s="52"/>
      <c r="V72" s="65"/>
      <c r="W72" s="52"/>
      <c r="X72" s="65"/>
      <c r="Y72" s="65"/>
      <c r="Z72" s="65"/>
      <c r="AA72" s="65"/>
      <c r="AB72" s="52"/>
      <c r="AC72" s="65"/>
      <c r="AD72" s="52"/>
      <c r="AE72" s="65"/>
      <c r="AF72" s="65"/>
      <c r="AG72" s="65"/>
      <c r="AH72" s="66">
        <f t="shared" si="5"/>
        <v>0</v>
      </c>
      <c r="AI72" s="68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69" t="str">
        <f t="shared" si="6"/>
        <v>禿鷹</v>
      </c>
      <c r="AK72" s="73"/>
    </row>
    <row r="73" spans="1:37" ht="18" customHeight="1">
      <c r="A73" s="63" t="s">
        <v>58</v>
      </c>
      <c r="B73" s="64" t="s">
        <v>81</v>
      </c>
      <c r="C73" s="65"/>
      <c r="D73" s="65"/>
      <c r="E73" s="65"/>
      <c r="F73" s="65"/>
      <c r="G73" s="52"/>
      <c r="H73" s="65"/>
      <c r="I73" s="52"/>
      <c r="J73" s="65"/>
      <c r="K73" s="65"/>
      <c r="L73" s="65"/>
      <c r="M73" s="65"/>
      <c r="N73" s="52"/>
      <c r="O73" s="65"/>
      <c r="P73" s="52"/>
      <c r="Q73" s="65"/>
      <c r="R73" s="65"/>
      <c r="S73" s="65"/>
      <c r="T73" s="65"/>
      <c r="U73" s="52"/>
      <c r="V73" s="65"/>
      <c r="W73" s="52"/>
      <c r="X73" s="65"/>
      <c r="Y73" s="65"/>
      <c r="Z73" s="65"/>
      <c r="AA73" s="65"/>
      <c r="AB73" s="52"/>
      <c r="AC73" s="65"/>
      <c r="AD73" s="52"/>
      <c r="AE73" s="65"/>
      <c r="AF73" s="65"/>
      <c r="AG73" s="65"/>
      <c r="AH73" s="66">
        <f t="shared" si="5"/>
        <v>0</v>
      </c>
      <c r="AI73" s="68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69" t="str">
        <f t="shared" si="6"/>
        <v>王宏</v>
      </c>
      <c r="AK73" s="73"/>
    </row>
    <row r="74" spans="1:37" ht="18" customHeight="1">
      <c r="A74" s="63" t="s">
        <v>58</v>
      </c>
      <c r="B74" s="64" t="s">
        <v>82</v>
      </c>
      <c r="C74" s="65"/>
      <c r="D74" s="65"/>
      <c r="E74" s="65"/>
      <c r="F74" s="65"/>
      <c r="G74" s="52"/>
      <c r="H74" s="65"/>
      <c r="I74" s="52"/>
      <c r="J74" s="65"/>
      <c r="K74" s="65"/>
      <c r="L74" s="65"/>
      <c r="M74" s="65"/>
      <c r="N74" s="52"/>
      <c r="O74" s="65"/>
      <c r="P74" s="52"/>
      <c r="Q74" s="65"/>
      <c r="R74" s="65"/>
      <c r="S74" s="65"/>
      <c r="T74" s="65"/>
      <c r="U74" s="52"/>
      <c r="V74" s="65"/>
      <c r="W74" s="52"/>
      <c r="X74" s="65"/>
      <c r="Y74" s="65"/>
      <c r="Z74" s="65"/>
      <c r="AA74" s="65"/>
      <c r="AB74" s="52"/>
      <c r="AC74" s="65"/>
      <c r="AD74" s="52"/>
      <c r="AE74" s="65"/>
      <c r="AF74" s="65"/>
      <c r="AG74" s="65"/>
      <c r="AH74" s="66">
        <f t="shared" si="5"/>
        <v>0</v>
      </c>
      <c r="AI74" s="68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69" t="str">
        <f t="shared" si="6"/>
        <v>犀牛</v>
      </c>
      <c r="AK74" s="73"/>
    </row>
    <row r="75" spans="1:37" ht="18" customHeight="1">
      <c r="A75" s="63" t="s">
        <v>58</v>
      </c>
      <c r="B75" s="64" t="s">
        <v>83</v>
      </c>
      <c r="C75" s="65"/>
      <c r="D75" s="65"/>
      <c r="E75" s="65"/>
      <c r="F75" s="65"/>
      <c r="G75" s="52"/>
      <c r="H75" s="65"/>
      <c r="I75" s="52"/>
      <c r="J75" s="65"/>
      <c r="K75" s="65"/>
      <c r="L75" s="65"/>
      <c r="M75" s="65"/>
      <c r="N75" s="52"/>
      <c r="O75" s="65"/>
      <c r="P75" s="52"/>
      <c r="Q75" s="65"/>
      <c r="R75" s="65"/>
      <c r="S75" s="65"/>
      <c r="T75" s="65"/>
      <c r="U75" s="52"/>
      <c r="V75" s="65"/>
      <c r="W75" s="52"/>
      <c r="X75" s="65"/>
      <c r="Y75" s="65"/>
      <c r="Z75" s="65"/>
      <c r="AA75" s="65"/>
      <c r="AB75" s="52"/>
      <c r="AC75" s="65"/>
      <c r="AD75" s="52"/>
      <c r="AE75" s="65"/>
      <c r="AF75" s="65"/>
      <c r="AG75" s="65"/>
      <c r="AH75" s="66">
        <f t="shared" si="5"/>
        <v>0</v>
      </c>
      <c r="AI75" s="68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69" t="str">
        <f t="shared" si="6"/>
        <v>來福</v>
      </c>
      <c r="AK75" s="73"/>
    </row>
    <row r="76" spans="1:37" ht="18" customHeight="1">
      <c r="A76" s="63" t="s">
        <v>58</v>
      </c>
      <c r="B76" s="64" t="s">
        <v>84</v>
      </c>
      <c r="C76" s="65"/>
      <c r="D76" s="65"/>
      <c r="E76" s="65"/>
      <c r="F76" s="65"/>
      <c r="G76" s="52"/>
      <c r="H76" s="65"/>
      <c r="I76" s="52"/>
      <c r="J76" s="65"/>
      <c r="K76" s="65"/>
      <c r="L76" s="65"/>
      <c r="M76" s="65"/>
      <c r="N76" s="52"/>
      <c r="O76" s="65"/>
      <c r="P76" s="52"/>
      <c r="Q76" s="65"/>
      <c r="R76" s="65"/>
      <c r="S76" s="65"/>
      <c r="T76" s="65"/>
      <c r="U76" s="52"/>
      <c r="V76" s="65"/>
      <c r="W76" s="52"/>
      <c r="X76" s="65"/>
      <c r="Y76" s="65"/>
      <c r="Z76" s="65"/>
      <c r="AA76" s="65"/>
      <c r="AB76" s="52"/>
      <c r="AC76" s="65"/>
      <c r="AD76" s="52"/>
      <c r="AE76" s="65"/>
      <c r="AF76" s="65"/>
      <c r="AG76" s="65"/>
      <c r="AH76" s="66">
        <f t="shared" si="5"/>
        <v>0</v>
      </c>
      <c r="AI76" s="68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69" t="str">
        <f t="shared" si="6"/>
        <v>誌誌</v>
      </c>
      <c r="AK76" s="73"/>
    </row>
    <row r="77" spans="1:37" ht="18" customHeight="1">
      <c r="A77" s="63" t="s">
        <v>58</v>
      </c>
      <c r="B77" s="64" t="s">
        <v>86</v>
      </c>
      <c r="C77" s="65"/>
      <c r="D77" s="65"/>
      <c r="E77" s="65"/>
      <c r="F77" s="65"/>
      <c r="G77" s="52"/>
      <c r="H77" s="65"/>
      <c r="I77" s="52"/>
      <c r="J77" s="65"/>
      <c r="K77" s="65"/>
      <c r="L77" s="65"/>
      <c r="M77" s="65"/>
      <c r="N77" s="52"/>
      <c r="O77" s="65"/>
      <c r="P77" s="52"/>
      <c r="Q77" s="65"/>
      <c r="R77" s="65"/>
      <c r="S77" s="65"/>
      <c r="T77" s="65"/>
      <c r="U77" s="52"/>
      <c r="V77" s="65"/>
      <c r="W77" s="52"/>
      <c r="X77" s="65"/>
      <c r="Y77" s="65"/>
      <c r="Z77" s="65"/>
      <c r="AA77" s="65"/>
      <c r="AB77" s="52"/>
      <c r="AC77" s="65"/>
      <c r="AD77" s="52"/>
      <c r="AE77" s="65"/>
      <c r="AF77" s="65"/>
      <c r="AG77" s="65"/>
      <c r="AH77" s="66">
        <f t="shared" si="5"/>
        <v>0</v>
      </c>
      <c r="AI77" s="68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69" t="str">
        <f t="shared" si="6"/>
        <v>正誼</v>
      </c>
      <c r="AK77" s="73"/>
    </row>
    <row r="78" spans="1:37" ht="18" customHeight="1">
      <c r="A78" s="63" t="s">
        <v>58</v>
      </c>
      <c r="B78" s="64" t="s">
        <v>32</v>
      </c>
      <c r="C78" s="65"/>
      <c r="D78" s="65"/>
      <c r="E78" s="65"/>
      <c r="F78" s="65"/>
      <c r="G78" s="52"/>
      <c r="H78" s="65"/>
      <c r="I78" s="52"/>
      <c r="J78" s="65"/>
      <c r="K78" s="65"/>
      <c r="L78" s="65"/>
      <c r="M78" s="65"/>
      <c r="N78" s="52"/>
      <c r="O78" s="65"/>
      <c r="P78" s="52"/>
      <c r="Q78" s="65"/>
      <c r="R78" s="65"/>
      <c r="S78" s="65"/>
      <c r="T78" s="65"/>
      <c r="U78" s="52"/>
      <c r="V78" s="65"/>
      <c r="W78" s="52"/>
      <c r="X78" s="65"/>
      <c r="Y78" s="65"/>
      <c r="Z78" s="65"/>
      <c r="AA78" s="65"/>
      <c r="AB78" s="52"/>
      <c r="AC78" s="65"/>
      <c r="AD78" s="52"/>
      <c r="AE78" s="65"/>
      <c r="AF78" s="65"/>
      <c r="AG78" s="65"/>
      <c r="AH78" s="66">
        <f t="shared" si="5"/>
        <v>0</v>
      </c>
      <c r="AI78" s="68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69" t="str">
        <f t="shared" si="6"/>
        <v>小翔</v>
      </c>
      <c r="AK78" s="73"/>
    </row>
    <row r="79" spans="1:37" ht="18" customHeight="1">
      <c r="A79" s="63" t="s">
        <v>58</v>
      </c>
      <c r="B79" s="64" t="s">
        <v>179</v>
      </c>
      <c r="C79" s="65"/>
      <c r="D79" s="65"/>
      <c r="E79" s="65"/>
      <c r="F79" s="65"/>
      <c r="G79" s="52"/>
      <c r="H79" s="65"/>
      <c r="I79" s="52"/>
      <c r="J79" s="65"/>
      <c r="K79" s="65"/>
      <c r="L79" s="65"/>
      <c r="M79" s="65"/>
      <c r="N79" s="52"/>
      <c r="O79" s="65"/>
      <c r="P79" s="52"/>
      <c r="Q79" s="65"/>
      <c r="R79" s="65"/>
      <c r="S79" s="65"/>
      <c r="T79" s="65"/>
      <c r="U79" s="52"/>
      <c r="V79" s="65"/>
      <c r="W79" s="52"/>
      <c r="X79" s="65"/>
      <c r="Y79" s="65"/>
      <c r="Z79" s="65"/>
      <c r="AA79" s="65"/>
      <c r="AB79" s="52"/>
      <c r="AC79" s="65"/>
      <c r="AD79" s="52"/>
      <c r="AE79" s="65"/>
      <c r="AF79" s="65"/>
      <c r="AG79" s="65"/>
      <c r="AH79" s="66">
        <f t="shared" si="5"/>
        <v>0</v>
      </c>
      <c r="AI79" s="68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69" t="str">
        <f t="shared" si="6"/>
        <v>玹玹</v>
      </c>
      <c r="AK79" s="73"/>
    </row>
    <row r="80" spans="1:37" ht="18" customHeight="1">
      <c r="A80" s="63" t="s">
        <v>58</v>
      </c>
      <c r="B80" s="64" t="s">
        <v>85</v>
      </c>
      <c r="C80" s="65"/>
      <c r="D80" s="65"/>
      <c r="E80" s="65"/>
      <c r="F80" s="65"/>
      <c r="G80" s="52"/>
      <c r="H80" s="65"/>
      <c r="I80" s="52"/>
      <c r="J80" s="65"/>
      <c r="K80" s="65"/>
      <c r="L80" s="65"/>
      <c r="M80" s="65"/>
      <c r="N80" s="52"/>
      <c r="O80" s="65"/>
      <c r="P80" s="52"/>
      <c r="Q80" s="65"/>
      <c r="R80" s="65"/>
      <c r="S80" s="65"/>
      <c r="T80" s="65"/>
      <c r="U80" s="52"/>
      <c r="V80" s="65"/>
      <c r="W80" s="52"/>
      <c r="X80" s="65"/>
      <c r="Y80" s="65"/>
      <c r="Z80" s="65"/>
      <c r="AA80" s="65"/>
      <c r="AB80" s="52"/>
      <c r="AC80" s="65"/>
      <c r="AD80" s="52"/>
      <c r="AE80" s="65"/>
      <c r="AF80" s="65"/>
      <c r="AG80" s="65"/>
      <c r="AH80" s="66">
        <f t="shared" si="5"/>
        <v>0</v>
      </c>
      <c r="AI80" s="68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69" t="str">
        <f t="shared" si="6"/>
        <v>阿璽</v>
      </c>
      <c r="AK80" s="73"/>
    </row>
    <row r="81" spans="1:37" ht="18" customHeight="1">
      <c r="A81" s="63" t="s">
        <v>58</v>
      </c>
      <c r="B81" s="64" t="s">
        <v>33</v>
      </c>
      <c r="C81" s="65"/>
      <c r="D81" s="65"/>
      <c r="E81" s="65"/>
      <c r="F81" s="65"/>
      <c r="G81" s="52"/>
      <c r="H81" s="65"/>
      <c r="I81" s="52"/>
      <c r="J81" s="65"/>
      <c r="K81" s="65"/>
      <c r="L81" s="65"/>
      <c r="M81" s="65"/>
      <c r="N81" s="52"/>
      <c r="O81" s="65"/>
      <c r="P81" s="52"/>
      <c r="Q81" s="65"/>
      <c r="R81" s="65"/>
      <c r="S81" s="65"/>
      <c r="T81" s="65"/>
      <c r="U81" s="52"/>
      <c r="V81" s="65"/>
      <c r="W81" s="52"/>
      <c r="X81" s="65"/>
      <c r="Y81" s="65"/>
      <c r="Z81" s="65"/>
      <c r="AA81" s="65"/>
      <c r="AB81" s="52"/>
      <c r="AC81" s="65"/>
      <c r="AD81" s="52"/>
      <c r="AE81" s="65"/>
      <c r="AF81" s="65"/>
      <c r="AG81" s="65"/>
      <c r="AH81" s="66">
        <f t="shared" si="5"/>
        <v>0</v>
      </c>
      <c r="AI81" s="68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69" t="str">
        <f t="shared" si="6"/>
        <v>一飛</v>
      </c>
      <c r="AK81" s="73"/>
    </row>
    <row r="82" spans="1:37" ht="18" customHeight="1">
      <c r="A82" s="63" t="s">
        <v>58</v>
      </c>
      <c r="B82" s="64" t="s">
        <v>34</v>
      </c>
      <c r="C82" s="65"/>
      <c r="D82" s="65"/>
      <c r="E82" s="65"/>
      <c r="F82" s="65"/>
      <c r="G82" s="52"/>
      <c r="H82" s="65"/>
      <c r="I82" s="52"/>
      <c r="J82" s="65"/>
      <c r="K82" s="65"/>
      <c r="L82" s="65"/>
      <c r="M82" s="65"/>
      <c r="N82" s="52"/>
      <c r="O82" s="65"/>
      <c r="P82" s="52"/>
      <c r="Q82" s="65"/>
      <c r="R82" s="65"/>
      <c r="S82" s="65"/>
      <c r="T82" s="65"/>
      <c r="U82" s="52"/>
      <c r="V82" s="65"/>
      <c r="W82" s="52"/>
      <c r="X82" s="65"/>
      <c r="Y82" s="65"/>
      <c r="Z82" s="65"/>
      <c r="AA82" s="65"/>
      <c r="AB82" s="52"/>
      <c r="AC82" s="65"/>
      <c r="AD82" s="52"/>
      <c r="AE82" s="65"/>
      <c r="AF82" s="65"/>
      <c r="AG82" s="65"/>
      <c r="AH82" s="66">
        <f t="shared" si="5"/>
        <v>0</v>
      </c>
      <c r="AI82" s="68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69" t="str">
        <f t="shared" si="6"/>
        <v>雲翔</v>
      </c>
      <c r="AK82" s="70"/>
    </row>
    <row r="83" spans="1:37" ht="18" customHeight="1">
      <c r="A83" s="63" t="s">
        <v>58</v>
      </c>
      <c r="B83" s="64" t="s">
        <v>88</v>
      </c>
      <c r="C83" s="65"/>
      <c r="D83" s="65"/>
      <c r="E83" s="65"/>
      <c r="F83" s="65"/>
      <c r="G83" s="52"/>
      <c r="H83" s="65"/>
      <c r="I83" s="52"/>
      <c r="J83" s="65"/>
      <c r="K83" s="65"/>
      <c r="L83" s="65"/>
      <c r="M83" s="65"/>
      <c r="N83" s="52"/>
      <c r="O83" s="65"/>
      <c r="P83" s="52"/>
      <c r="Q83" s="65"/>
      <c r="R83" s="65"/>
      <c r="S83" s="65"/>
      <c r="T83" s="65"/>
      <c r="U83" s="52"/>
      <c r="V83" s="65"/>
      <c r="W83" s="52"/>
      <c r="X83" s="65"/>
      <c r="Y83" s="65"/>
      <c r="Z83" s="65"/>
      <c r="AA83" s="65"/>
      <c r="AB83" s="52"/>
      <c r="AC83" s="65"/>
      <c r="AD83" s="52"/>
      <c r="AE83" s="65"/>
      <c r="AF83" s="65"/>
      <c r="AG83" s="65"/>
      <c r="AH83" s="66">
        <f t="shared" si="5"/>
        <v>0</v>
      </c>
      <c r="AI83" s="68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69" t="str">
        <f t="shared" si="6"/>
        <v>皓皓</v>
      </c>
      <c r="AK83" s="70"/>
    </row>
    <row r="84" spans="1:37" ht="18" customHeight="1">
      <c r="A84" s="63" t="s">
        <v>58</v>
      </c>
      <c r="B84" s="64" t="s">
        <v>35</v>
      </c>
      <c r="C84" s="65"/>
      <c r="D84" s="65"/>
      <c r="E84" s="65"/>
      <c r="F84" s="65"/>
      <c r="G84" s="52"/>
      <c r="H84" s="65"/>
      <c r="I84" s="52"/>
      <c r="J84" s="65"/>
      <c r="K84" s="65"/>
      <c r="L84" s="65"/>
      <c r="M84" s="65"/>
      <c r="N84" s="52"/>
      <c r="O84" s="65"/>
      <c r="P84" s="52"/>
      <c r="Q84" s="65"/>
      <c r="R84" s="65"/>
      <c r="S84" s="65"/>
      <c r="T84" s="65"/>
      <c r="U84" s="52"/>
      <c r="V84" s="65"/>
      <c r="W84" s="52"/>
      <c r="X84" s="65"/>
      <c r="Y84" s="65"/>
      <c r="Z84" s="65"/>
      <c r="AA84" s="65"/>
      <c r="AB84" s="52"/>
      <c r="AC84" s="65"/>
      <c r="AD84" s="52"/>
      <c r="AE84" s="65"/>
      <c r="AF84" s="65"/>
      <c r="AG84" s="65"/>
      <c r="AH84" s="66">
        <f t="shared" si="5"/>
        <v>0</v>
      </c>
      <c r="AI84" s="68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69" t="str">
        <f t="shared" si="6"/>
        <v>阿戴</v>
      </c>
      <c r="AK84" s="70"/>
    </row>
    <row r="85" spans="1:37" ht="18" customHeight="1">
      <c r="A85" s="63" t="s">
        <v>58</v>
      </c>
      <c r="B85" s="64" t="s">
        <v>36</v>
      </c>
      <c r="C85" s="65"/>
      <c r="D85" s="65"/>
      <c r="E85" s="65"/>
      <c r="F85" s="65"/>
      <c r="G85" s="52"/>
      <c r="H85" s="65"/>
      <c r="I85" s="52"/>
      <c r="J85" s="65"/>
      <c r="K85" s="65"/>
      <c r="L85" s="65"/>
      <c r="M85" s="65"/>
      <c r="N85" s="52"/>
      <c r="O85" s="65"/>
      <c r="P85" s="52"/>
      <c r="Q85" s="65"/>
      <c r="R85" s="65"/>
      <c r="S85" s="65"/>
      <c r="T85" s="65"/>
      <c r="U85" s="52"/>
      <c r="V85" s="65"/>
      <c r="W85" s="52"/>
      <c r="X85" s="65"/>
      <c r="Y85" s="65"/>
      <c r="Z85" s="65"/>
      <c r="AA85" s="65"/>
      <c r="AB85" s="52"/>
      <c r="AC85" s="65"/>
      <c r="AD85" s="52"/>
      <c r="AE85" s="65"/>
      <c r="AF85" s="65"/>
      <c r="AG85" s="65"/>
      <c r="AH85" s="66">
        <f t="shared" si="5"/>
        <v>0</v>
      </c>
      <c r="AI85" s="68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69" t="str">
        <f t="shared" si="6"/>
        <v>子澔</v>
      </c>
      <c r="AK85" s="70"/>
    </row>
    <row r="86" spans="1:37" ht="18" customHeight="1">
      <c r="A86" s="63" t="s">
        <v>58</v>
      </c>
      <c r="B86" s="64" t="s">
        <v>37</v>
      </c>
      <c r="C86" s="65"/>
      <c r="D86" s="65"/>
      <c r="E86" s="65">
        <v>1</v>
      </c>
      <c r="F86" s="65"/>
      <c r="G86" s="52"/>
      <c r="H86" s="65"/>
      <c r="I86" s="52"/>
      <c r="J86" s="65"/>
      <c r="K86" s="65"/>
      <c r="L86" s="65"/>
      <c r="M86" s="65"/>
      <c r="N86" s="52"/>
      <c r="O86" s="65"/>
      <c r="P86" s="52"/>
      <c r="Q86" s="65"/>
      <c r="R86" s="65"/>
      <c r="S86" s="65"/>
      <c r="T86" s="65"/>
      <c r="U86" s="52"/>
      <c r="V86" s="65"/>
      <c r="W86" s="52"/>
      <c r="X86" s="65">
        <v>1</v>
      </c>
      <c r="Y86" s="65">
        <v>1</v>
      </c>
      <c r="Z86" s="65"/>
      <c r="AA86" s="65"/>
      <c r="AB86" s="52"/>
      <c r="AC86" s="65"/>
      <c r="AD86" s="52"/>
      <c r="AE86" s="65">
        <v>1</v>
      </c>
      <c r="AF86" s="65"/>
      <c r="AG86" s="65"/>
      <c r="AH86" s="66">
        <f t="shared" si="5"/>
        <v>4</v>
      </c>
      <c r="AI86" s="68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69" t="str">
        <f t="shared" si="6"/>
        <v>魚仔</v>
      </c>
      <c r="AK86" s="70"/>
    </row>
    <row r="87" spans="1:37" ht="18" customHeight="1">
      <c r="A87" s="63" t="s">
        <v>58</v>
      </c>
      <c r="B87" s="64" t="s">
        <v>87</v>
      </c>
      <c r="C87" s="65"/>
      <c r="D87" s="65"/>
      <c r="E87" s="65"/>
      <c r="F87" s="65"/>
      <c r="G87" s="52"/>
      <c r="H87" s="65"/>
      <c r="I87" s="52"/>
      <c r="J87" s="65"/>
      <c r="K87" s="65"/>
      <c r="L87" s="65"/>
      <c r="M87" s="65"/>
      <c r="N87" s="52"/>
      <c r="O87" s="65"/>
      <c r="P87" s="52"/>
      <c r="Q87" s="65"/>
      <c r="R87" s="65"/>
      <c r="S87" s="65"/>
      <c r="T87" s="65"/>
      <c r="U87" s="52"/>
      <c r="V87" s="65"/>
      <c r="W87" s="52"/>
      <c r="X87" s="65"/>
      <c r="Y87" s="65"/>
      <c r="Z87" s="65"/>
      <c r="AA87" s="65"/>
      <c r="AB87" s="52"/>
      <c r="AC87" s="65"/>
      <c r="AD87" s="52"/>
      <c r="AE87" s="65"/>
      <c r="AF87" s="65"/>
      <c r="AG87" s="65"/>
      <c r="AH87" s="66">
        <f t="shared" si="5"/>
        <v>0</v>
      </c>
      <c r="AI87" s="68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69" t="str">
        <f t="shared" si="6"/>
        <v>Mango</v>
      </c>
      <c r="AK87" s="70"/>
    </row>
    <row r="88" spans="1:37" ht="18" customHeight="1">
      <c r="A88" s="74" t="s">
        <v>58</v>
      </c>
      <c r="B88" s="75" t="s">
        <v>151</v>
      </c>
      <c r="C88" s="76"/>
      <c r="D88" s="76"/>
      <c r="E88" s="76"/>
      <c r="F88" s="76"/>
      <c r="G88" s="52"/>
      <c r="H88" s="76">
        <v>1</v>
      </c>
      <c r="I88" s="52"/>
      <c r="J88" s="76"/>
      <c r="K88" s="76"/>
      <c r="L88" s="76"/>
      <c r="M88" s="76"/>
      <c r="N88" s="52"/>
      <c r="O88" s="76"/>
      <c r="P88" s="52"/>
      <c r="Q88" s="76"/>
      <c r="R88" s="76"/>
      <c r="S88" s="76"/>
      <c r="T88" s="76"/>
      <c r="U88" s="52"/>
      <c r="V88" s="76">
        <v>1</v>
      </c>
      <c r="W88" s="52"/>
      <c r="X88" s="76"/>
      <c r="Y88" s="76"/>
      <c r="Z88" s="76"/>
      <c r="AA88" s="76">
        <v>1</v>
      </c>
      <c r="AB88" s="52"/>
      <c r="AC88" s="76"/>
      <c r="AD88" s="52"/>
      <c r="AE88" s="76"/>
      <c r="AF88" s="76"/>
      <c r="AG88" s="76"/>
      <c r="AH88" s="77">
        <f t="shared" si="5"/>
        <v>3</v>
      </c>
      <c r="AI88" s="98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79" t="str">
        <f t="shared" si="6"/>
        <v>宇嬅</v>
      </c>
      <c r="AK88" s="82"/>
    </row>
    <row r="89" spans="1:37" ht="18" customHeight="1">
      <c r="A89" s="74" t="s">
        <v>58</v>
      </c>
      <c r="B89" s="75" t="s">
        <v>92</v>
      </c>
      <c r="C89" s="76"/>
      <c r="D89" s="76"/>
      <c r="E89" s="76"/>
      <c r="F89" s="76"/>
      <c r="G89" s="52"/>
      <c r="H89" s="76">
        <v>1</v>
      </c>
      <c r="I89" s="52"/>
      <c r="J89" s="76"/>
      <c r="K89" s="76"/>
      <c r="L89" s="76"/>
      <c r="M89" s="76">
        <v>1</v>
      </c>
      <c r="N89" s="52"/>
      <c r="O89" s="76">
        <v>1</v>
      </c>
      <c r="P89" s="52"/>
      <c r="Q89" s="76"/>
      <c r="R89" s="76"/>
      <c r="S89" s="76"/>
      <c r="T89" s="76">
        <v>1</v>
      </c>
      <c r="U89" s="52"/>
      <c r="V89" s="76"/>
      <c r="W89" s="52"/>
      <c r="X89" s="76"/>
      <c r="Y89" s="76"/>
      <c r="Z89" s="76"/>
      <c r="AA89" s="76">
        <v>1</v>
      </c>
      <c r="AB89" s="52"/>
      <c r="AC89" s="76">
        <v>1</v>
      </c>
      <c r="AD89" s="52"/>
      <c r="AE89" s="76"/>
      <c r="AF89" s="76"/>
      <c r="AG89" s="76"/>
      <c r="AH89" s="77">
        <f t="shared" si="5"/>
        <v>6</v>
      </c>
      <c r="AI89" s="98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79" t="str">
        <f t="shared" si="6"/>
        <v>婉晴</v>
      </c>
      <c r="AK89" s="82"/>
    </row>
    <row r="90" spans="1:37" ht="18" customHeight="1">
      <c r="A90" s="74" t="s">
        <v>58</v>
      </c>
      <c r="B90" s="75" t="s">
        <v>152</v>
      </c>
      <c r="C90" s="76"/>
      <c r="D90" s="76"/>
      <c r="E90" s="76"/>
      <c r="F90" s="76"/>
      <c r="G90" s="52"/>
      <c r="H90" s="76"/>
      <c r="I90" s="52"/>
      <c r="J90" s="76"/>
      <c r="K90" s="76"/>
      <c r="L90" s="76">
        <v>1</v>
      </c>
      <c r="M90" s="76">
        <v>1</v>
      </c>
      <c r="N90" s="52"/>
      <c r="O90" s="76">
        <v>1</v>
      </c>
      <c r="P90" s="52"/>
      <c r="Q90" s="76"/>
      <c r="R90" s="76"/>
      <c r="S90" s="76"/>
      <c r="T90" s="76"/>
      <c r="U90" s="52"/>
      <c r="V90" s="76"/>
      <c r="W90" s="52"/>
      <c r="X90" s="76"/>
      <c r="Y90" s="76"/>
      <c r="Z90" s="76"/>
      <c r="AA90" s="76"/>
      <c r="AB90" s="52"/>
      <c r="AC90" s="76"/>
      <c r="AD90" s="52"/>
      <c r="AE90" s="76"/>
      <c r="AF90" s="76"/>
      <c r="AG90" s="76"/>
      <c r="AH90" s="77">
        <f t="shared" si="5"/>
        <v>3</v>
      </c>
      <c r="AI90" s="98">
        <v>800</v>
      </c>
      <c r="AJ90" s="79" t="str">
        <f t="shared" si="6"/>
        <v>阿俗</v>
      </c>
      <c r="AK90" s="82" t="s">
        <v>215</v>
      </c>
    </row>
    <row r="91" spans="1:37" ht="18" customHeight="1">
      <c r="A91" s="74" t="s">
        <v>58</v>
      </c>
      <c r="B91" s="75" t="s">
        <v>153</v>
      </c>
      <c r="C91" s="76"/>
      <c r="D91" s="76"/>
      <c r="E91" s="76"/>
      <c r="F91" s="76"/>
      <c r="G91" s="52"/>
      <c r="H91" s="76"/>
      <c r="I91" s="52"/>
      <c r="J91" s="76"/>
      <c r="K91" s="76"/>
      <c r="L91" s="76">
        <v>1</v>
      </c>
      <c r="M91" s="76">
        <v>1</v>
      </c>
      <c r="N91" s="52"/>
      <c r="O91" s="76"/>
      <c r="P91" s="52"/>
      <c r="Q91" s="76"/>
      <c r="R91" s="76"/>
      <c r="S91" s="76"/>
      <c r="T91" s="76"/>
      <c r="U91" s="52"/>
      <c r="V91" s="76"/>
      <c r="W91" s="52"/>
      <c r="X91" s="76"/>
      <c r="Y91" s="76"/>
      <c r="Z91" s="76"/>
      <c r="AA91" s="76"/>
      <c r="AB91" s="52"/>
      <c r="AC91" s="76"/>
      <c r="AD91" s="52"/>
      <c r="AE91" s="76"/>
      <c r="AF91" s="76"/>
      <c r="AG91" s="76"/>
      <c r="AH91" s="77">
        <f t="shared" si="5"/>
        <v>2</v>
      </c>
      <c r="AI91" s="98">
        <v>800</v>
      </c>
      <c r="AJ91" s="79" t="str">
        <f t="shared" si="6"/>
        <v>傻妹</v>
      </c>
      <c r="AK91" s="82" t="s">
        <v>215</v>
      </c>
    </row>
    <row r="92" spans="1:37" ht="18" customHeight="1">
      <c r="A92" s="74" t="s">
        <v>58</v>
      </c>
      <c r="B92" s="75" t="s">
        <v>96</v>
      </c>
      <c r="C92" s="76"/>
      <c r="D92" s="76"/>
      <c r="E92" s="76"/>
      <c r="F92" s="76"/>
      <c r="G92" s="52"/>
      <c r="H92" s="76"/>
      <c r="I92" s="52"/>
      <c r="J92" s="76"/>
      <c r="K92" s="76"/>
      <c r="L92" s="76"/>
      <c r="M92" s="76"/>
      <c r="N92" s="52"/>
      <c r="O92" s="76"/>
      <c r="P92" s="52"/>
      <c r="Q92" s="76"/>
      <c r="R92" s="76"/>
      <c r="S92" s="76"/>
      <c r="T92" s="76"/>
      <c r="U92" s="52"/>
      <c r="V92" s="76"/>
      <c r="W92" s="52"/>
      <c r="X92" s="76"/>
      <c r="Y92" s="76"/>
      <c r="Z92" s="76"/>
      <c r="AA92" s="76"/>
      <c r="AB92" s="52"/>
      <c r="AC92" s="76"/>
      <c r="AD92" s="52"/>
      <c r="AE92" s="76"/>
      <c r="AF92" s="76"/>
      <c r="AG92" s="76"/>
      <c r="AH92" s="77">
        <f t="shared" si="5"/>
        <v>0</v>
      </c>
      <c r="AI92" s="98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79" t="str">
        <f t="shared" si="6"/>
        <v>靜婷</v>
      </c>
      <c r="AK92" s="81"/>
    </row>
    <row r="93" spans="1:37" ht="18" customHeight="1">
      <c r="A93" s="74" t="s">
        <v>58</v>
      </c>
      <c r="B93" s="75" t="s">
        <v>197</v>
      </c>
      <c r="C93" s="76"/>
      <c r="D93" s="76"/>
      <c r="E93" s="76"/>
      <c r="F93" s="76"/>
      <c r="G93" s="52"/>
      <c r="H93" s="76"/>
      <c r="I93" s="52"/>
      <c r="J93" s="76"/>
      <c r="K93" s="76"/>
      <c r="L93" s="76"/>
      <c r="M93" s="76"/>
      <c r="N93" s="52"/>
      <c r="O93" s="76">
        <v>1</v>
      </c>
      <c r="P93" s="52"/>
      <c r="Q93" s="76">
        <v>1</v>
      </c>
      <c r="R93" s="76"/>
      <c r="S93" s="76"/>
      <c r="T93" s="76">
        <v>1</v>
      </c>
      <c r="U93" s="52"/>
      <c r="V93" s="76">
        <v>1</v>
      </c>
      <c r="W93" s="52"/>
      <c r="X93" s="76"/>
      <c r="Y93" s="76"/>
      <c r="Z93" s="76">
        <v>1</v>
      </c>
      <c r="AA93" s="76"/>
      <c r="AB93" s="52"/>
      <c r="AC93" s="76">
        <v>1</v>
      </c>
      <c r="AD93" s="52"/>
      <c r="AE93" s="76"/>
      <c r="AF93" s="76"/>
      <c r="AG93" s="76"/>
      <c r="AH93" s="77">
        <f t="shared" si="5"/>
        <v>6</v>
      </c>
      <c r="AI93" s="98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79" t="str">
        <f t="shared" si="6"/>
        <v>Abby</v>
      </c>
      <c r="AK93" s="81"/>
    </row>
    <row r="94" spans="1:37" ht="18" customHeight="1">
      <c r="A94" s="74" t="s">
        <v>58</v>
      </c>
      <c r="B94" s="75" t="s">
        <v>95</v>
      </c>
      <c r="C94" s="76">
        <v>1</v>
      </c>
      <c r="D94" s="76"/>
      <c r="E94" s="76">
        <v>1</v>
      </c>
      <c r="F94" s="76">
        <v>1</v>
      </c>
      <c r="G94" s="52"/>
      <c r="H94" s="76">
        <v>1</v>
      </c>
      <c r="I94" s="52"/>
      <c r="J94" s="76"/>
      <c r="K94" s="76">
        <v>1</v>
      </c>
      <c r="L94" s="76"/>
      <c r="M94" s="76">
        <v>1</v>
      </c>
      <c r="N94" s="52"/>
      <c r="O94" s="76">
        <v>1</v>
      </c>
      <c r="P94" s="52"/>
      <c r="Q94" s="76">
        <v>1</v>
      </c>
      <c r="R94" s="76">
        <v>1</v>
      </c>
      <c r="S94" s="76">
        <v>1</v>
      </c>
      <c r="T94" s="76">
        <v>1</v>
      </c>
      <c r="U94" s="52"/>
      <c r="V94" s="76">
        <v>1</v>
      </c>
      <c r="W94" s="52"/>
      <c r="X94" s="76">
        <v>1</v>
      </c>
      <c r="Y94" s="76">
        <v>1</v>
      </c>
      <c r="Z94" s="76">
        <v>1</v>
      </c>
      <c r="AA94" s="76">
        <v>1</v>
      </c>
      <c r="AB94" s="52"/>
      <c r="AC94" s="76">
        <v>1</v>
      </c>
      <c r="AD94" s="52"/>
      <c r="AE94" s="76">
        <v>1</v>
      </c>
      <c r="AF94" s="76"/>
      <c r="AG94" s="76"/>
      <c r="AH94" s="77">
        <f t="shared" si="5"/>
        <v>18</v>
      </c>
      <c r="AI94" s="98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79" t="str">
        <f t="shared" si="6"/>
        <v>小吱</v>
      </c>
      <c r="AK94" s="81"/>
    </row>
    <row r="95" spans="1:37" ht="18" customHeight="1">
      <c r="A95" s="74" t="s">
        <v>58</v>
      </c>
      <c r="B95" s="75" t="s">
        <v>148</v>
      </c>
      <c r="C95" s="76">
        <v>1</v>
      </c>
      <c r="D95" s="76"/>
      <c r="E95" s="76">
        <v>1</v>
      </c>
      <c r="F95" s="76">
        <v>1</v>
      </c>
      <c r="G95" s="52"/>
      <c r="H95" s="76">
        <v>1</v>
      </c>
      <c r="I95" s="52"/>
      <c r="J95" s="76"/>
      <c r="K95" s="76"/>
      <c r="L95" s="76"/>
      <c r="M95" s="76">
        <v>1</v>
      </c>
      <c r="N95" s="52"/>
      <c r="O95" s="76">
        <v>1</v>
      </c>
      <c r="P95" s="52"/>
      <c r="Q95" s="76"/>
      <c r="R95" s="76"/>
      <c r="S95" s="76"/>
      <c r="T95" s="76"/>
      <c r="U95" s="52"/>
      <c r="V95" s="76">
        <v>1</v>
      </c>
      <c r="W95" s="52"/>
      <c r="X95" s="76">
        <v>1</v>
      </c>
      <c r="Y95" s="76"/>
      <c r="Z95" s="76">
        <v>1</v>
      </c>
      <c r="AA95" s="76">
        <v>1</v>
      </c>
      <c r="AB95" s="52"/>
      <c r="AC95" s="76">
        <v>1</v>
      </c>
      <c r="AD95" s="52"/>
      <c r="AE95" s="76"/>
      <c r="AF95" s="76"/>
      <c r="AG95" s="76"/>
      <c r="AH95" s="77">
        <f t="shared" si="5"/>
        <v>11</v>
      </c>
      <c r="AI95" s="98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79" t="str">
        <f t="shared" si="6"/>
        <v>雅雅</v>
      </c>
      <c r="AK95" s="81"/>
    </row>
    <row r="96" spans="1:37" ht="18" customHeight="1">
      <c r="A96" s="74" t="s">
        <v>58</v>
      </c>
      <c r="B96" s="75" t="s">
        <v>154</v>
      </c>
      <c r="C96" s="76"/>
      <c r="D96" s="76"/>
      <c r="E96" s="76"/>
      <c r="F96" s="76"/>
      <c r="G96" s="52"/>
      <c r="H96" s="76"/>
      <c r="I96" s="52"/>
      <c r="J96" s="76"/>
      <c r="K96" s="76"/>
      <c r="L96" s="76"/>
      <c r="M96" s="76"/>
      <c r="N96" s="52"/>
      <c r="O96" s="76"/>
      <c r="P96" s="52"/>
      <c r="Q96" s="76"/>
      <c r="R96" s="76"/>
      <c r="S96" s="76"/>
      <c r="T96" s="76"/>
      <c r="U96" s="52"/>
      <c r="V96" s="76"/>
      <c r="W96" s="52"/>
      <c r="X96" s="76"/>
      <c r="Y96" s="76"/>
      <c r="Z96" s="76"/>
      <c r="AA96" s="76"/>
      <c r="AB96" s="52"/>
      <c r="AC96" s="76"/>
      <c r="AD96" s="52"/>
      <c r="AE96" s="76"/>
      <c r="AF96" s="76"/>
      <c r="AG96" s="76"/>
      <c r="AH96" s="77">
        <f t="shared" si="5"/>
        <v>0</v>
      </c>
      <c r="AI96" s="98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79" t="str">
        <f t="shared" si="6"/>
        <v>筱攸</v>
      </c>
      <c r="AK96" s="81"/>
    </row>
    <row r="97" spans="1:37" ht="18" customHeight="1">
      <c r="A97" s="74" t="s">
        <v>58</v>
      </c>
      <c r="B97" s="75" t="s">
        <v>155</v>
      </c>
      <c r="C97" s="76"/>
      <c r="D97" s="76"/>
      <c r="E97" s="76"/>
      <c r="F97" s="76"/>
      <c r="G97" s="52"/>
      <c r="H97" s="76"/>
      <c r="I97" s="52"/>
      <c r="J97" s="76"/>
      <c r="K97" s="76"/>
      <c r="L97" s="76"/>
      <c r="M97" s="76"/>
      <c r="N97" s="52"/>
      <c r="O97" s="76"/>
      <c r="P97" s="52"/>
      <c r="Q97" s="76"/>
      <c r="R97" s="76"/>
      <c r="S97" s="76"/>
      <c r="T97" s="76"/>
      <c r="U97" s="52"/>
      <c r="V97" s="76"/>
      <c r="W97" s="52"/>
      <c r="X97" s="76"/>
      <c r="Y97" s="76"/>
      <c r="Z97" s="76"/>
      <c r="AA97" s="76"/>
      <c r="AB97" s="52"/>
      <c r="AC97" s="76"/>
      <c r="AD97" s="52"/>
      <c r="AE97" s="76"/>
      <c r="AF97" s="76"/>
      <c r="AG97" s="76"/>
      <c r="AH97" s="77">
        <f t="shared" si="5"/>
        <v>0</v>
      </c>
      <c r="AI97" s="98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79" t="str">
        <f t="shared" si="6"/>
        <v>康康</v>
      </c>
      <c r="AK97" s="81"/>
    </row>
    <row r="98" spans="1:37" ht="18" customHeight="1">
      <c r="A98" s="74" t="s">
        <v>58</v>
      </c>
      <c r="B98" s="75" t="s">
        <v>156</v>
      </c>
      <c r="C98" s="76"/>
      <c r="D98" s="76"/>
      <c r="E98" s="76"/>
      <c r="F98" s="76"/>
      <c r="G98" s="52"/>
      <c r="H98" s="76"/>
      <c r="I98" s="52"/>
      <c r="J98" s="76"/>
      <c r="K98" s="76"/>
      <c r="L98" s="76"/>
      <c r="M98" s="76"/>
      <c r="N98" s="52"/>
      <c r="O98" s="76"/>
      <c r="P98" s="52"/>
      <c r="Q98" s="76"/>
      <c r="R98" s="76"/>
      <c r="S98" s="76"/>
      <c r="T98" s="76"/>
      <c r="U98" s="52"/>
      <c r="V98" s="76"/>
      <c r="W98" s="52"/>
      <c r="X98" s="76"/>
      <c r="Y98" s="76"/>
      <c r="Z98" s="76"/>
      <c r="AA98" s="76"/>
      <c r="AB98" s="52"/>
      <c r="AC98" s="76"/>
      <c r="AD98" s="52"/>
      <c r="AE98" s="76"/>
      <c r="AF98" s="76"/>
      <c r="AG98" s="76"/>
      <c r="AH98" s="77">
        <f t="shared" si="5"/>
        <v>0</v>
      </c>
      <c r="AI98" s="98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79" t="str">
        <f t="shared" si="6"/>
        <v>阿金</v>
      </c>
      <c r="AK98" s="81"/>
    </row>
    <row r="99" spans="1:37" ht="18" customHeight="1">
      <c r="A99" s="74" t="s">
        <v>58</v>
      </c>
      <c r="B99" s="75" t="s">
        <v>157</v>
      </c>
      <c r="C99" s="76"/>
      <c r="D99" s="76"/>
      <c r="E99" s="76"/>
      <c r="F99" s="76"/>
      <c r="G99" s="52"/>
      <c r="H99" s="76"/>
      <c r="I99" s="52"/>
      <c r="J99" s="76"/>
      <c r="K99" s="76"/>
      <c r="L99" s="76"/>
      <c r="M99" s="76"/>
      <c r="N99" s="52"/>
      <c r="O99" s="76"/>
      <c r="P99" s="52"/>
      <c r="Q99" s="76"/>
      <c r="R99" s="76"/>
      <c r="S99" s="76"/>
      <c r="T99" s="76"/>
      <c r="U99" s="52"/>
      <c r="V99" s="76"/>
      <c r="W99" s="52"/>
      <c r="X99" s="76"/>
      <c r="Y99" s="76"/>
      <c r="Z99" s="76"/>
      <c r="AA99" s="76"/>
      <c r="AB99" s="52"/>
      <c r="AC99" s="76"/>
      <c r="AD99" s="52"/>
      <c r="AE99" s="76"/>
      <c r="AF99" s="76"/>
      <c r="AG99" s="76"/>
      <c r="AH99" s="77">
        <f t="shared" si="5"/>
        <v>0</v>
      </c>
      <c r="AI99" s="98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79" t="str">
        <f t="shared" si="6"/>
        <v>派大</v>
      </c>
      <c r="AK99" s="81"/>
    </row>
    <row r="100" spans="1:37" ht="18" customHeight="1">
      <c r="A100" s="74" t="s">
        <v>58</v>
      </c>
      <c r="B100" s="75" t="s">
        <v>158</v>
      </c>
      <c r="C100" s="76"/>
      <c r="D100" s="76"/>
      <c r="E100" s="76"/>
      <c r="F100" s="76"/>
      <c r="G100" s="52"/>
      <c r="H100" s="76"/>
      <c r="I100" s="52"/>
      <c r="J100" s="76"/>
      <c r="K100" s="76"/>
      <c r="L100" s="76"/>
      <c r="M100" s="76"/>
      <c r="N100" s="52"/>
      <c r="O100" s="76"/>
      <c r="P100" s="52"/>
      <c r="Q100" s="76"/>
      <c r="R100" s="76"/>
      <c r="S100" s="76"/>
      <c r="T100" s="76"/>
      <c r="U100" s="52"/>
      <c r="V100" s="76"/>
      <c r="W100" s="52"/>
      <c r="X100" s="76"/>
      <c r="Y100" s="76"/>
      <c r="Z100" s="76"/>
      <c r="AA100" s="76"/>
      <c r="AB100" s="52"/>
      <c r="AC100" s="76"/>
      <c r="AD100" s="52"/>
      <c r="AE100" s="76"/>
      <c r="AF100" s="76"/>
      <c r="AG100" s="76"/>
      <c r="AH100" s="77">
        <f t="shared" ref="AH100:AH131" si="7">COUNTA(C100:AG100)</f>
        <v>0</v>
      </c>
      <c r="AI100" s="98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79" t="str">
        <f t="shared" ref="AJ100:AJ134" si="8">B100</f>
        <v>吉娃</v>
      </c>
      <c r="AK100" s="81"/>
    </row>
    <row r="101" spans="1:37" ht="18" customHeight="1">
      <c r="A101" s="74" t="s">
        <v>58</v>
      </c>
      <c r="B101" s="75" t="s">
        <v>159</v>
      </c>
      <c r="C101" s="76"/>
      <c r="D101" s="76"/>
      <c r="E101" s="76"/>
      <c r="F101" s="76"/>
      <c r="G101" s="52"/>
      <c r="H101" s="76"/>
      <c r="I101" s="52"/>
      <c r="J101" s="76"/>
      <c r="K101" s="76"/>
      <c r="L101" s="76"/>
      <c r="M101" s="76"/>
      <c r="N101" s="52"/>
      <c r="O101" s="76"/>
      <c r="P101" s="52"/>
      <c r="Q101" s="76"/>
      <c r="R101" s="76"/>
      <c r="S101" s="76"/>
      <c r="T101" s="76"/>
      <c r="U101" s="52"/>
      <c r="V101" s="76"/>
      <c r="W101" s="52"/>
      <c r="X101" s="76"/>
      <c r="Y101" s="76"/>
      <c r="Z101" s="76"/>
      <c r="AA101" s="76"/>
      <c r="AB101" s="52"/>
      <c r="AC101" s="76"/>
      <c r="AD101" s="52"/>
      <c r="AE101" s="76"/>
      <c r="AF101" s="76"/>
      <c r="AG101" s="76"/>
      <c r="AH101" s="77">
        <f t="shared" si="7"/>
        <v>0</v>
      </c>
      <c r="AI101" s="98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79" t="str">
        <f t="shared" si="8"/>
        <v>小寧</v>
      </c>
      <c r="AK101" s="81"/>
    </row>
    <row r="102" spans="1:37" ht="18" customHeight="1">
      <c r="A102" s="74" t="s">
        <v>58</v>
      </c>
      <c r="B102" s="75" t="s">
        <v>160</v>
      </c>
      <c r="C102" s="76"/>
      <c r="D102" s="76"/>
      <c r="E102" s="76"/>
      <c r="F102" s="76"/>
      <c r="G102" s="52"/>
      <c r="H102" s="76"/>
      <c r="I102" s="52"/>
      <c r="J102" s="76"/>
      <c r="K102" s="76"/>
      <c r="L102" s="76"/>
      <c r="M102" s="76"/>
      <c r="N102" s="52"/>
      <c r="O102" s="76"/>
      <c r="P102" s="52"/>
      <c r="Q102" s="76"/>
      <c r="R102" s="76"/>
      <c r="S102" s="76"/>
      <c r="T102" s="76"/>
      <c r="U102" s="52"/>
      <c r="V102" s="76"/>
      <c r="W102" s="52"/>
      <c r="X102" s="76"/>
      <c r="Y102" s="76"/>
      <c r="Z102" s="76"/>
      <c r="AA102" s="76"/>
      <c r="AB102" s="52"/>
      <c r="AC102" s="76"/>
      <c r="AD102" s="52"/>
      <c r="AE102" s="76"/>
      <c r="AF102" s="76"/>
      <c r="AG102" s="76"/>
      <c r="AH102" s="77">
        <f t="shared" si="7"/>
        <v>0</v>
      </c>
      <c r="AI102" s="98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79" t="str">
        <f t="shared" si="8"/>
        <v>小妹</v>
      </c>
      <c r="AK102" s="81"/>
    </row>
    <row r="103" spans="1:37" ht="18" customHeight="1">
      <c r="A103" s="74" t="s">
        <v>58</v>
      </c>
      <c r="B103" s="75" t="s">
        <v>101</v>
      </c>
      <c r="C103" s="76"/>
      <c r="D103" s="76"/>
      <c r="E103" s="76"/>
      <c r="F103" s="76"/>
      <c r="G103" s="52"/>
      <c r="H103" s="76"/>
      <c r="I103" s="52"/>
      <c r="J103" s="76"/>
      <c r="K103" s="76"/>
      <c r="L103" s="76"/>
      <c r="M103" s="76"/>
      <c r="N103" s="52"/>
      <c r="O103" s="76"/>
      <c r="P103" s="52"/>
      <c r="Q103" s="76"/>
      <c r="R103" s="76"/>
      <c r="S103" s="76"/>
      <c r="T103" s="76"/>
      <c r="U103" s="52"/>
      <c r="V103" s="76"/>
      <c r="W103" s="52"/>
      <c r="X103" s="76"/>
      <c r="Y103" s="76"/>
      <c r="Z103" s="76"/>
      <c r="AA103" s="76"/>
      <c r="AB103" s="52"/>
      <c r="AC103" s="76"/>
      <c r="AD103" s="52"/>
      <c r="AE103" s="76"/>
      <c r="AF103" s="76"/>
      <c r="AG103" s="76"/>
      <c r="AH103" s="77">
        <f t="shared" si="7"/>
        <v>0</v>
      </c>
      <c r="AI103" s="98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79" t="str">
        <f t="shared" si="8"/>
        <v>文媛</v>
      </c>
      <c r="AK103" s="81"/>
    </row>
    <row r="104" spans="1:37" ht="18" customHeight="1">
      <c r="A104" s="74" t="s">
        <v>58</v>
      </c>
      <c r="B104" s="75" t="s">
        <v>161</v>
      </c>
      <c r="C104" s="76"/>
      <c r="D104" s="76"/>
      <c r="E104" s="76"/>
      <c r="F104" s="76"/>
      <c r="G104" s="52"/>
      <c r="H104" s="76"/>
      <c r="I104" s="52"/>
      <c r="J104" s="76"/>
      <c r="K104" s="76"/>
      <c r="L104" s="76"/>
      <c r="M104" s="76"/>
      <c r="N104" s="52"/>
      <c r="O104" s="76"/>
      <c r="P104" s="52"/>
      <c r="Q104" s="76"/>
      <c r="R104" s="76"/>
      <c r="S104" s="76"/>
      <c r="T104" s="76"/>
      <c r="U104" s="52"/>
      <c r="V104" s="76"/>
      <c r="W104" s="52"/>
      <c r="X104" s="76"/>
      <c r="Y104" s="76"/>
      <c r="Z104" s="76"/>
      <c r="AA104" s="76"/>
      <c r="AB104" s="52"/>
      <c r="AC104" s="76"/>
      <c r="AD104" s="52"/>
      <c r="AE104" s="76"/>
      <c r="AF104" s="76"/>
      <c r="AG104" s="76"/>
      <c r="AH104" s="77">
        <f t="shared" si="7"/>
        <v>0</v>
      </c>
      <c r="AI104" s="98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79" t="str">
        <f t="shared" si="8"/>
        <v>佩鈺</v>
      </c>
      <c r="AK104" s="81"/>
    </row>
    <row r="105" spans="1:37" ht="18" customHeight="1">
      <c r="A105" s="74" t="s">
        <v>58</v>
      </c>
      <c r="B105" s="75" t="s">
        <v>162</v>
      </c>
      <c r="C105" s="76"/>
      <c r="D105" s="76"/>
      <c r="E105" s="76"/>
      <c r="F105" s="76"/>
      <c r="G105" s="52"/>
      <c r="H105" s="76"/>
      <c r="I105" s="52"/>
      <c r="J105" s="76"/>
      <c r="K105" s="76"/>
      <c r="L105" s="76"/>
      <c r="M105" s="76"/>
      <c r="N105" s="52"/>
      <c r="O105" s="76"/>
      <c r="P105" s="52"/>
      <c r="Q105" s="76"/>
      <c r="R105" s="76"/>
      <c r="S105" s="76"/>
      <c r="T105" s="76"/>
      <c r="U105" s="52"/>
      <c r="V105" s="76"/>
      <c r="W105" s="52"/>
      <c r="X105" s="76"/>
      <c r="Y105" s="76"/>
      <c r="Z105" s="76"/>
      <c r="AA105" s="76"/>
      <c r="AB105" s="52"/>
      <c r="AC105" s="76"/>
      <c r="AD105" s="52"/>
      <c r="AE105" s="76"/>
      <c r="AF105" s="76"/>
      <c r="AG105" s="76"/>
      <c r="AH105" s="77">
        <f t="shared" si="7"/>
        <v>0</v>
      </c>
      <c r="AI105" s="98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79" t="str">
        <f t="shared" si="8"/>
        <v>阿布</v>
      </c>
      <c r="AK105" s="81"/>
    </row>
    <row r="106" spans="1:37" ht="18" customHeight="1">
      <c r="A106" s="74" t="s">
        <v>58</v>
      </c>
      <c r="B106" s="75" t="s">
        <v>100</v>
      </c>
      <c r="C106" s="76"/>
      <c r="D106" s="76"/>
      <c r="E106" s="76"/>
      <c r="F106" s="76"/>
      <c r="G106" s="52"/>
      <c r="H106" s="76"/>
      <c r="I106" s="52"/>
      <c r="J106" s="76"/>
      <c r="K106" s="76">
        <v>1</v>
      </c>
      <c r="L106" s="76"/>
      <c r="M106" s="76"/>
      <c r="N106" s="52"/>
      <c r="O106" s="76"/>
      <c r="P106" s="52"/>
      <c r="Q106" s="76"/>
      <c r="R106" s="76"/>
      <c r="S106" s="76"/>
      <c r="T106" s="76"/>
      <c r="U106" s="52"/>
      <c r="V106" s="76"/>
      <c r="W106" s="52"/>
      <c r="X106" s="76"/>
      <c r="Y106" s="76"/>
      <c r="Z106" s="76"/>
      <c r="AA106" s="76"/>
      <c r="AB106" s="52"/>
      <c r="AC106" s="76"/>
      <c r="AD106" s="52"/>
      <c r="AE106" s="76"/>
      <c r="AF106" s="76"/>
      <c r="AG106" s="76"/>
      <c r="AH106" s="77">
        <f t="shared" si="7"/>
        <v>1</v>
      </c>
      <c r="AI106" s="98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79" t="str">
        <f t="shared" si="8"/>
        <v>餅餅</v>
      </c>
      <c r="AK106" s="81"/>
    </row>
    <row r="107" spans="1:37" ht="18" customHeight="1">
      <c r="A107" s="74" t="s">
        <v>58</v>
      </c>
      <c r="B107" s="75" t="s">
        <v>163</v>
      </c>
      <c r="C107" s="76"/>
      <c r="D107" s="76"/>
      <c r="E107" s="76"/>
      <c r="F107" s="76"/>
      <c r="G107" s="52"/>
      <c r="H107" s="76"/>
      <c r="I107" s="52"/>
      <c r="J107" s="76"/>
      <c r="K107" s="76"/>
      <c r="L107" s="76"/>
      <c r="M107" s="76"/>
      <c r="N107" s="52"/>
      <c r="O107" s="76"/>
      <c r="P107" s="52"/>
      <c r="Q107" s="76"/>
      <c r="R107" s="76"/>
      <c r="S107" s="76"/>
      <c r="T107" s="76"/>
      <c r="U107" s="52"/>
      <c r="V107" s="76"/>
      <c r="W107" s="52"/>
      <c r="X107" s="76"/>
      <c r="Y107" s="76"/>
      <c r="Z107" s="76"/>
      <c r="AA107" s="76"/>
      <c r="AB107" s="52"/>
      <c r="AC107" s="76"/>
      <c r="AD107" s="52"/>
      <c r="AE107" s="76"/>
      <c r="AF107" s="76"/>
      <c r="AG107" s="76"/>
      <c r="AH107" s="77">
        <f t="shared" si="7"/>
        <v>0</v>
      </c>
      <c r="AI107" s="98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79" t="str">
        <f t="shared" si="8"/>
        <v>小個</v>
      </c>
      <c r="AK107" s="81"/>
    </row>
    <row r="108" spans="1:37" ht="18" customHeight="1">
      <c r="A108" s="83" t="s">
        <v>58</v>
      </c>
      <c r="B108" s="84" t="s">
        <v>104</v>
      </c>
      <c r="C108" s="85">
        <v>1</v>
      </c>
      <c r="D108" s="85">
        <v>1</v>
      </c>
      <c r="E108" s="85"/>
      <c r="F108" s="85"/>
      <c r="G108" s="52"/>
      <c r="H108" s="85">
        <v>1</v>
      </c>
      <c r="I108" s="52"/>
      <c r="J108" s="85"/>
      <c r="K108" s="85"/>
      <c r="L108" s="85"/>
      <c r="M108" s="85">
        <v>1</v>
      </c>
      <c r="N108" s="52"/>
      <c r="O108" s="85">
        <v>1</v>
      </c>
      <c r="P108" s="52"/>
      <c r="Q108" s="85">
        <v>1</v>
      </c>
      <c r="R108" s="85"/>
      <c r="S108" s="85">
        <v>1</v>
      </c>
      <c r="T108" s="85">
        <v>1</v>
      </c>
      <c r="U108" s="52"/>
      <c r="V108" s="85">
        <v>1</v>
      </c>
      <c r="W108" s="52"/>
      <c r="X108" s="85"/>
      <c r="Y108" s="85">
        <v>1</v>
      </c>
      <c r="Z108" s="85">
        <v>1</v>
      </c>
      <c r="AA108" s="85">
        <v>1</v>
      </c>
      <c r="AB108" s="52"/>
      <c r="AC108" s="85">
        <v>1</v>
      </c>
      <c r="AD108" s="52"/>
      <c r="AE108" s="85">
        <v>1</v>
      </c>
      <c r="AF108" s="85"/>
      <c r="AG108" s="85"/>
      <c r="AH108" s="86">
        <f t="shared" si="7"/>
        <v>14</v>
      </c>
      <c r="AI108" s="103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88" t="str">
        <f t="shared" si="8"/>
        <v>卡丘</v>
      </c>
      <c r="AK108" s="89"/>
    </row>
    <row r="109" spans="1:37" ht="18" customHeight="1">
      <c r="A109" s="83" t="s">
        <v>58</v>
      </c>
      <c r="B109" s="84" t="s">
        <v>124</v>
      </c>
      <c r="C109" s="85"/>
      <c r="D109" s="85"/>
      <c r="E109" s="85"/>
      <c r="F109" s="85"/>
      <c r="G109" s="52"/>
      <c r="H109" s="85"/>
      <c r="I109" s="52"/>
      <c r="J109" s="85"/>
      <c r="K109" s="85">
        <v>1</v>
      </c>
      <c r="L109" s="85"/>
      <c r="M109" s="85"/>
      <c r="N109" s="52"/>
      <c r="O109" s="85"/>
      <c r="P109" s="52"/>
      <c r="Q109" s="85"/>
      <c r="R109" s="85"/>
      <c r="S109" s="85"/>
      <c r="T109" s="85"/>
      <c r="U109" s="52"/>
      <c r="V109" s="85"/>
      <c r="W109" s="52"/>
      <c r="X109" s="85"/>
      <c r="Y109" s="85"/>
      <c r="Z109" s="85"/>
      <c r="AA109" s="85"/>
      <c r="AB109" s="52"/>
      <c r="AC109" s="85"/>
      <c r="AD109" s="52"/>
      <c r="AE109" s="85"/>
      <c r="AF109" s="85"/>
      <c r="AG109" s="85"/>
      <c r="AH109" s="86">
        <f t="shared" si="7"/>
        <v>1</v>
      </c>
      <c r="AI109" s="103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88" t="str">
        <f t="shared" si="8"/>
        <v>玉蕙</v>
      </c>
      <c r="AK109" s="89"/>
    </row>
    <row r="110" spans="1:37" ht="18" customHeight="1">
      <c r="A110" s="83" t="s">
        <v>58</v>
      </c>
      <c r="B110" s="84" t="s">
        <v>125</v>
      </c>
      <c r="C110" s="85"/>
      <c r="D110" s="85"/>
      <c r="E110" s="85"/>
      <c r="F110" s="85"/>
      <c r="G110" s="52"/>
      <c r="H110" s="85"/>
      <c r="I110" s="52"/>
      <c r="J110" s="85"/>
      <c r="K110" s="85"/>
      <c r="L110" s="85"/>
      <c r="M110" s="85"/>
      <c r="N110" s="52"/>
      <c r="O110" s="85"/>
      <c r="P110" s="52"/>
      <c r="Q110" s="85"/>
      <c r="R110" s="85"/>
      <c r="S110" s="85"/>
      <c r="T110" s="85"/>
      <c r="U110" s="52"/>
      <c r="V110" s="85"/>
      <c r="W110" s="52"/>
      <c r="X110" s="85"/>
      <c r="Y110" s="85"/>
      <c r="Z110" s="85"/>
      <c r="AA110" s="85"/>
      <c r="AB110" s="52"/>
      <c r="AC110" s="85"/>
      <c r="AD110" s="52"/>
      <c r="AE110" s="85"/>
      <c r="AF110" s="85"/>
      <c r="AG110" s="85"/>
      <c r="AH110" s="86">
        <f t="shared" si="7"/>
        <v>0</v>
      </c>
      <c r="AI110" s="103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88" t="str">
        <f t="shared" si="8"/>
        <v>沛緁</v>
      </c>
      <c r="AK110" s="89"/>
    </row>
    <row r="111" spans="1:37" ht="18" customHeight="1">
      <c r="A111" s="83" t="s">
        <v>58</v>
      </c>
      <c r="B111" s="84" t="s">
        <v>126</v>
      </c>
      <c r="C111" s="85"/>
      <c r="D111" s="85"/>
      <c r="E111" s="85"/>
      <c r="F111" s="85"/>
      <c r="G111" s="52"/>
      <c r="H111" s="85"/>
      <c r="I111" s="52"/>
      <c r="J111" s="85"/>
      <c r="K111" s="85"/>
      <c r="L111" s="85"/>
      <c r="M111" s="85"/>
      <c r="N111" s="52"/>
      <c r="O111" s="85"/>
      <c r="P111" s="52"/>
      <c r="Q111" s="85"/>
      <c r="R111" s="85"/>
      <c r="S111" s="85"/>
      <c r="T111" s="85"/>
      <c r="U111" s="52"/>
      <c r="V111" s="85"/>
      <c r="W111" s="52"/>
      <c r="X111" s="85"/>
      <c r="Y111" s="85"/>
      <c r="Z111" s="85"/>
      <c r="AA111" s="85"/>
      <c r="AB111" s="52"/>
      <c r="AC111" s="85"/>
      <c r="AD111" s="52"/>
      <c r="AE111" s="85"/>
      <c r="AF111" s="85"/>
      <c r="AG111" s="85"/>
      <c r="AH111" s="86">
        <f t="shared" si="7"/>
        <v>0</v>
      </c>
      <c r="AI111" s="103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88" t="str">
        <f t="shared" si="8"/>
        <v>妹妹</v>
      </c>
      <c r="AK111" s="89"/>
    </row>
    <row r="112" spans="1:37" ht="18" customHeight="1">
      <c r="A112" s="83" t="s">
        <v>58</v>
      </c>
      <c r="B112" s="84" t="s">
        <v>127</v>
      </c>
      <c r="C112" s="85"/>
      <c r="D112" s="85"/>
      <c r="E112" s="85"/>
      <c r="F112" s="85"/>
      <c r="G112" s="52"/>
      <c r="H112" s="85"/>
      <c r="I112" s="52"/>
      <c r="J112" s="85"/>
      <c r="K112" s="85">
        <v>1</v>
      </c>
      <c r="L112" s="85"/>
      <c r="M112" s="85">
        <v>1</v>
      </c>
      <c r="N112" s="52"/>
      <c r="O112" s="85">
        <v>1</v>
      </c>
      <c r="P112" s="52"/>
      <c r="Q112" s="85"/>
      <c r="R112" s="85"/>
      <c r="S112" s="85"/>
      <c r="T112" s="85">
        <v>1</v>
      </c>
      <c r="U112" s="52"/>
      <c r="V112" s="85"/>
      <c r="W112" s="52"/>
      <c r="X112" s="85">
        <v>1</v>
      </c>
      <c r="Y112" s="85"/>
      <c r="Z112" s="85"/>
      <c r="AA112" s="85">
        <v>1</v>
      </c>
      <c r="AB112" s="52"/>
      <c r="AC112" s="85"/>
      <c r="AD112" s="52"/>
      <c r="AE112" s="85">
        <v>1</v>
      </c>
      <c r="AF112" s="85">
        <v>1</v>
      </c>
      <c r="AG112" s="85"/>
      <c r="AH112" s="86">
        <f t="shared" si="7"/>
        <v>8</v>
      </c>
      <c r="AI112" s="103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88" t="str">
        <f t="shared" si="8"/>
        <v>小雞</v>
      </c>
      <c r="AK112" s="89"/>
    </row>
    <row r="113" spans="1:37" ht="18" customHeight="1">
      <c r="A113" s="83" t="s">
        <v>58</v>
      </c>
      <c r="B113" s="84" t="s">
        <v>128</v>
      </c>
      <c r="C113" s="85"/>
      <c r="D113" s="85"/>
      <c r="E113" s="85"/>
      <c r="F113" s="85"/>
      <c r="G113" s="52"/>
      <c r="H113" s="85"/>
      <c r="I113" s="52"/>
      <c r="J113" s="85"/>
      <c r="K113" s="85"/>
      <c r="L113" s="85"/>
      <c r="M113" s="85"/>
      <c r="N113" s="52"/>
      <c r="O113" s="85"/>
      <c r="P113" s="52"/>
      <c r="Q113" s="85"/>
      <c r="R113" s="85"/>
      <c r="S113" s="85"/>
      <c r="T113" s="85"/>
      <c r="U113" s="52"/>
      <c r="V113" s="85"/>
      <c r="W113" s="52"/>
      <c r="X113" s="85"/>
      <c r="Y113" s="85"/>
      <c r="Z113" s="85"/>
      <c r="AA113" s="85"/>
      <c r="AB113" s="52"/>
      <c r="AC113" s="85"/>
      <c r="AD113" s="52"/>
      <c r="AE113" s="85"/>
      <c r="AF113" s="85"/>
      <c r="AG113" s="85"/>
      <c r="AH113" s="86">
        <f t="shared" si="7"/>
        <v>0</v>
      </c>
      <c r="AI113" s="103" t="e">
        <f ca="1">IF(A113="O", (VALUE(_xludf.IFS(AH113=0,"0",AH113=1,"150",AH113=2,"300",AH113=3,"450",AH113=4,"600",AH113=5,"750",AH113&gt;=6,"800"))),(VALUE(_xludf.IFS(AH113=0,"0",AH113=1,"150",AH113=2,"300",AH113=3,"450",AH113=4,"600",AH113=5,"750",AH113=6,"900",AH113&gt;=7,"1,000"))))</f>
        <v>#NAME?</v>
      </c>
      <c r="AJ113" s="88" t="str">
        <f t="shared" si="8"/>
        <v>雨昕</v>
      </c>
      <c r="AK113" s="89"/>
    </row>
    <row r="114" spans="1:37" ht="18" customHeight="1">
      <c r="A114" s="83" t="s">
        <v>58</v>
      </c>
      <c r="B114" s="84" t="s">
        <v>129</v>
      </c>
      <c r="C114" s="85"/>
      <c r="D114" s="85"/>
      <c r="E114" s="85"/>
      <c r="F114" s="85"/>
      <c r="G114" s="52"/>
      <c r="H114" s="85"/>
      <c r="I114" s="52"/>
      <c r="J114" s="85"/>
      <c r="K114" s="85"/>
      <c r="L114" s="85"/>
      <c r="M114" s="85"/>
      <c r="N114" s="52"/>
      <c r="O114" s="85"/>
      <c r="P114" s="52"/>
      <c r="Q114" s="85"/>
      <c r="R114" s="85"/>
      <c r="S114" s="85"/>
      <c r="T114" s="85"/>
      <c r="U114" s="52"/>
      <c r="V114" s="85"/>
      <c r="W114" s="52"/>
      <c r="X114" s="85"/>
      <c r="Y114" s="85"/>
      <c r="Z114" s="85"/>
      <c r="AA114" s="85"/>
      <c r="AB114" s="52"/>
      <c r="AC114" s="85"/>
      <c r="AD114" s="52"/>
      <c r="AE114" s="85"/>
      <c r="AF114" s="85"/>
      <c r="AG114" s="85"/>
      <c r="AH114" s="86">
        <f t="shared" si="7"/>
        <v>0</v>
      </c>
      <c r="AI114" s="103" t="e">
        <f ca="1">IF(A114="O", (VALUE(_xludf.IFS(AH114=0,"0",AH114=1,"150",AH114=2,"300",AH114=3,"450",AH114=4,"600",AH114=5,"750",AH114&gt;=6,"800"))),(VALUE(_xludf.IFS(AH114=0,"0",AH114=1,"150",AH114=2,"300",AH114=3,"450",AH114=4,"600",AH114=5,"750",AH114=6,"900",AH114&gt;=7,"1,000"))))</f>
        <v>#NAME?</v>
      </c>
      <c r="AJ114" s="88" t="str">
        <f t="shared" si="8"/>
        <v>矮矮</v>
      </c>
      <c r="AK114" s="89"/>
    </row>
    <row r="115" spans="1:37" ht="18" customHeight="1">
      <c r="A115" s="83" t="s">
        <v>58</v>
      </c>
      <c r="B115" s="84" t="s">
        <v>130</v>
      </c>
      <c r="C115" s="85"/>
      <c r="D115" s="85"/>
      <c r="E115" s="85"/>
      <c r="F115" s="85"/>
      <c r="G115" s="52"/>
      <c r="H115" s="85"/>
      <c r="I115" s="52"/>
      <c r="J115" s="85"/>
      <c r="K115" s="85"/>
      <c r="L115" s="85"/>
      <c r="M115" s="85"/>
      <c r="N115" s="52"/>
      <c r="O115" s="85"/>
      <c r="P115" s="52"/>
      <c r="Q115" s="85"/>
      <c r="R115" s="85"/>
      <c r="S115" s="85"/>
      <c r="T115" s="85"/>
      <c r="U115" s="52"/>
      <c r="V115" s="85"/>
      <c r="W115" s="52"/>
      <c r="X115" s="85"/>
      <c r="Y115" s="85"/>
      <c r="Z115" s="85"/>
      <c r="AA115" s="85"/>
      <c r="AB115" s="52"/>
      <c r="AC115" s="85"/>
      <c r="AD115" s="52"/>
      <c r="AE115" s="85"/>
      <c r="AF115" s="85"/>
      <c r="AG115" s="85"/>
      <c r="AH115" s="86">
        <f t="shared" si="7"/>
        <v>0</v>
      </c>
      <c r="AI115" s="103" t="e">
        <f ca="1">IF(A115="O", (VALUE(_xludf.IFS(AH115=0,"0",AH115=1,"150",AH115=2,"300",AH115=3,"450",AH115=4,"600",AH115=5,"750",AH115&gt;=6,"800"))),(VALUE(_xludf.IFS(AH115=0,"0",AH115=1,"150",AH115=2,"300",AH115=3,"450",AH115=4,"600",AH115=5,"750",AH115=6,"900",AH115&gt;=7,"1,000"))))</f>
        <v>#NAME?</v>
      </c>
      <c r="AJ115" s="88" t="str">
        <f t="shared" si="8"/>
        <v>猛女</v>
      </c>
      <c r="AK115" s="89"/>
    </row>
    <row r="116" spans="1:37" ht="18" customHeight="1">
      <c r="A116" s="83" t="s">
        <v>58</v>
      </c>
      <c r="B116" s="84" t="s">
        <v>131</v>
      </c>
      <c r="C116" s="85"/>
      <c r="D116" s="85"/>
      <c r="E116" s="85"/>
      <c r="F116" s="85"/>
      <c r="G116" s="52"/>
      <c r="H116" s="85"/>
      <c r="I116" s="52"/>
      <c r="J116" s="85"/>
      <c r="K116" s="85"/>
      <c r="L116" s="85"/>
      <c r="M116" s="85"/>
      <c r="N116" s="52"/>
      <c r="O116" s="85"/>
      <c r="P116" s="52"/>
      <c r="Q116" s="85"/>
      <c r="R116" s="85"/>
      <c r="S116" s="85"/>
      <c r="T116" s="85"/>
      <c r="U116" s="52"/>
      <c r="V116" s="85"/>
      <c r="W116" s="52"/>
      <c r="X116" s="85"/>
      <c r="Y116" s="85"/>
      <c r="Z116" s="85"/>
      <c r="AA116" s="85"/>
      <c r="AB116" s="52"/>
      <c r="AC116" s="85"/>
      <c r="AD116" s="52"/>
      <c r="AE116" s="85"/>
      <c r="AF116" s="85"/>
      <c r="AG116" s="85"/>
      <c r="AH116" s="86">
        <f t="shared" si="7"/>
        <v>0</v>
      </c>
      <c r="AI116" s="103" t="e">
        <f ca="1">IF(A116="O", (VALUE(_xludf.IFS(AH116=0,"0",AH116=1,"150",AH116=2,"300",AH116=3,"450",AH116=4,"600",AH116=5,"750",AH116&gt;=6,"800"))),(VALUE(_xludf.IFS(AH116=0,"0",AH116=1,"150",AH116=2,"300",AH116=3,"450",AH116=4,"600",AH116=5,"750",AH116=6,"900",AH116&gt;=7,"1,000"))))</f>
        <v>#NAME?</v>
      </c>
      <c r="AJ116" s="88" t="str">
        <f t="shared" si="8"/>
        <v>欣容</v>
      </c>
      <c r="AK116" s="89"/>
    </row>
    <row r="117" spans="1:37" ht="18" customHeight="1">
      <c r="A117" s="83" t="s">
        <v>58</v>
      </c>
      <c r="B117" s="84" t="s">
        <v>132</v>
      </c>
      <c r="C117" s="85"/>
      <c r="D117" s="85"/>
      <c r="E117" s="85"/>
      <c r="F117" s="85"/>
      <c r="G117" s="52"/>
      <c r="H117" s="85"/>
      <c r="I117" s="52"/>
      <c r="J117" s="85"/>
      <c r="K117" s="85"/>
      <c r="L117" s="85"/>
      <c r="M117" s="85"/>
      <c r="N117" s="52"/>
      <c r="O117" s="85"/>
      <c r="P117" s="52"/>
      <c r="Q117" s="85"/>
      <c r="R117" s="85"/>
      <c r="S117" s="85"/>
      <c r="T117" s="85"/>
      <c r="U117" s="52"/>
      <c r="V117" s="85"/>
      <c r="W117" s="52"/>
      <c r="X117" s="85"/>
      <c r="Y117" s="85"/>
      <c r="Z117" s="85"/>
      <c r="AA117" s="85"/>
      <c r="AB117" s="52"/>
      <c r="AC117" s="85"/>
      <c r="AD117" s="52"/>
      <c r="AE117" s="85"/>
      <c r="AF117" s="85"/>
      <c r="AG117" s="85"/>
      <c r="AH117" s="86">
        <f t="shared" si="7"/>
        <v>0</v>
      </c>
      <c r="AI117" s="103" t="e">
        <f ca="1">IF(A117="O", (VALUE(_xludf.IFS(AH117=0,"0",AH117=1,"150",AH117=2,"300",AH117=3,"450",AH117=4,"600",AH117=5,"750",AH117&gt;=6,"800"))),(VALUE(_xludf.IFS(AH117=0,"0",AH117=1,"150",AH117=2,"300",AH117=3,"450",AH117=4,"600",AH117=5,"750",AH117=6,"900",AH117&gt;=7,"1,000"))))</f>
        <v>#NAME?</v>
      </c>
      <c r="AJ117" s="88" t="str">
        <f t="shared" si="8"/>
        <v>萁萁</v>
      </c>
      <c r="AK117" s="89"/>
    </row>
    <row r="118" spans="1:37" ht="18" customHeight="1">
      <c r="A118" s="83" t="s">
        <v>58</v>
      </c>
      <c r="B118" s="84" t="s">
        <v>133</v>
      </c>
      <c r="C118" s="85"/>
      <c r="D118" s="85"/>
      <c r="E118" s="85"/>
      <c r="F118" s="85"/>
      <c r="G118" s="52"/>
      <c r="H118" s="85"/>
      <c r="I118" s="52"/>
      <c r="J118" s="85"/>
      <c r="K118" s="85">
        <v>1</v>
      </c>
      <c r="L118" s="85"/>
      <c r="M118" s="85"/>
      <c r="N118" s="52"/>
      <c r="O118" s="85"/>
      <c r="P118" s="52"/>
      <c r="Q118" s="85"/>
      <c r="R118" s="85"/>
      <c r="S118" s="85"/>
      <c r="T118" s="85"/>
      <c r="U118" s="52"/>
      <c r="V118" s="85"/>
      <c r="W118" s="52"/>
      <c r="X118" s="85"/>
      <c r="Y118" s="85"/>
      <c r="Z118" s="85"/>
      <c r="AA118" s="85"/>
      <c r="AB118" s="52"/>
      <c r="AC118" s="85"/>
      <c r="AD118" s="52"/>
      <c r="AE118" s="85"/>
      <c r="AF118" s="85"/>
      <c r="AG118" s="85"/>
      <c r="AH118" s="86">
        <f t="shared" si="7"/>
        <v>1</v>
      </c>
      <c r="AI118" s="103" t="e">
        <f ca="1">IF(A118="O", (VALUE(_xludf.IFS(AH118=0,"0",AH118=1,"150",AH118=2,"300",AH118=3,"450",AH118=4,"600",AH118=5,"750",AH118&gt;=6,"800"))),(VALUE(_xludf.IFS(AH118=0,"0",AH118=1,"150",AH118=2,"300",AH118=3,"450",AH118=4,"600",AH118=5,"750",AH118=6,"900",AH118&gt;=7,"1,000"))))</f>
        <v>#NAME?</v>
      </c>
      <c r="AJ118" s="88" t="str">
        <f t="shared" si="8"/>
        <v>萱</v>
      </c>
      <c r="AK118" s="89"/>
    </row>
    <row r="119" spans="1:37" ht="18" customHeight="1">
      <c r="A119" s="83" t="s">
        <v>58</v>
      </c>
      <c r="B119" s="84" t="s">
        <v>134</v>
      </c>
      <c r="C119" s="85"/>
      <c r="D119" s="85"/>
      <c r="E119" s="85"/>
      <c r="F119" s="85"/>
      <c r="G119" s="52"/>
      <c r="H119" s="85"/>
      <c r="I119" s="52"/>
      <c r="J119" s="85"/>
      <c r="K119" s="85"/>
      <c r="L119" s="85"/>
      <c r="M119" s="85"/>
      <c r="N119" s="52"/>
      <c r="O119" s="85"/>
      <c r="P119" s="52"/>
      <c r="Q119" s="85"/>
      <c r="R119" s="85"/>
      <c r="S119" s="85"/>
      <c r="T119" s="85"/>
      <c r="U119" s="52"/>
      <c r="V119" s="85"/>
      <c r="W119" s="52"/>
      <c r="X119" s="85"/>
      <c r="Y119" s="85"/>
      <c r="Z119" s="85"/>
      <c r="AA119" s="85"/>
      <c r="AB119" s="52"/>
      <c r="AC119" s="85"/>
      <c r="AD119" s="52"/>
      <c r="AE119" s="85"/>
      <c r="AF119" s="85"/>
      <c r="AG119" s="85"/>
      <c r="AH119" s="86">
        <f t="shared" si="7"/>
        <v>0</v>
      </c>
      <c r="AI119" s="103" t="e">
        <f ca="1">IF(A119="O", (VALUE(_xludf.IFS(AH119=0,"0",AH119=1,"150",AH119=2,"300",AH119=3,"450",AH119=4,"600",AH119=5,"750",AH119&gt;=6,"800"))),(VALUE(_xludf.IFS(AH119=0,"0",AH119=1,"150",AH119=2,"300",AH119=3,"450",AH119=4,"600",AH119=5,"750",AH119=6,"900",AH119&gt;=7,"1,000"))))</f>
        <v>#NAME?</v>
      </c>
      <c r="AJ119" s="88" t="str">
        <f t="shared" si="8"/>
        <v>Mei</v>
      </c>
      <c r="AK119" s="89"/>
    </row>
    <row r="120" spans="1:37" ht="18" customHeight="1">
      <c r="A120" s="83" t="s">
        <v>58</v>
      </c>
      <c r="B120" s="84" t="s">
        <v>135</v>
      </c>
      <c r="C120" s="85"/>
      <c r="D120" s="85"/>
      <c r="E120" s="85"/>
      <c r="F120" s="85"/>
      <c r="G120" s="52"/>
      <c r="H120" s="85"/>
      <c r="I120" s="52"/>
      <c r="J120" s="85"/>
      <c r="K120" s="85"/>
      <c r="L120" s="85"/>
      <c r="M120" s="85"/>
      <c r="N120" s="52"/>
      <c r="O120" s="85"/>
      <c r="P120" s="52"/>
      <c r="Q120" s="85"/>
      <c r="R120" s="85"/>
      <c r="S120" s="85"/>
      <c r="T120" s="85"/>
      <c r="U120" s="52"/>
      <c r="V120" s="85"/>
      <c r="W120" s="52"/>
      <c r="X120" s="85"/>
      <c r="Y120" s="85"/>
      <c r="Z120" s="85"/>
      <c r="AA120" s="85"/>
      <c r="AB120" s="52"/>
      <c r="AC120" s="85"/>
      <c r="AD120" s="52"/>
      <c r="AE120" s="85"/>
      <c r="AF120" s="85"/>
      <c r="AG120" s="85"/>
      <c r="AH120" s="86">
        <f t="shared" si="7"/>
        <v>0</v>
      </c>
      <c r="AI120" s="103" t="e">
        <f ca="1">IF(A120="O", (VALUE(_xludf.IFS(AH120=0,"0",AH120=1,"150",AH120=2,"300",AH120=3,"450",AH120=4,"600",AH120=5,"750",AH120&gt;=6,"800"))),(VALUE(_xludf.IFS(AH120=0,"0",AH120=1,"150",AH120=2,"300",AH120=3,"450",AH120=4,"600",AH120=5,"750",AH120=6,"900",AH120&gt;=7,"1,000"))))</f>
        <v>#NAME?</v>
      </c>
      <c r="AJ120" s="88" t="str">
        <f t="shared" si="8"/>
        <v>屁屁</v>
      </c>
      <c r="AK120" s="89"/>
    </row>
    <row r="121" spans="1:37" ht="18" customHeight="1">
      <c r="A121" s="83" t="s">
        <v>58</v>
      </c>
      <c r="B121" s="84" t="s">
        <v>136</v>
      </c>
      <c r="C121" s="85"/>
      <c r="D121" s="85"/>
      <c r="E121" s="85"/>
      <c r="F121" s="85"/>
      <c r="G121" s="52"/>
      <c r="H121" s="85"/>
      <c r="I121" s="52"/>
      <c r="J121" s="85"/>
      <c r="K121" s="85"/>
      <c r="L121" s="85"/>
      <c r="M121" s="85"/>
      <c r="N121" s="52"/>
      <c r="O121" s="85"/>
      <c r="P121" s="52"/>
      <c r="Q121" s="85"/>
      <c r="R121" s="85"/>
      <c r="S121" s="85"/>
      <c r="T121" s="85"/>
      <c r="U121" s="52"/>
      <c r="V121" s="85"/>
      <c r="W121" s="52"/>
      <c r="X121" s="85"/>
      <c r="Y121" s="85"/>
      <c r="Z121" s="85"/>
      <c r="AA121" s="85"/>
      <c r="AB121" s="52"/>
      <c r="AC121" s="85"/>
      <c r="AD121" s="52"/>
      <c r="AE121" s="85"/>
      <c r="AF121" s="85"/>
      <c r="AG121" s="85"/>
      <c r="AH121" s="86">
        <f t="shared" si="7"/>
        <v>0</v>
      </c>
      <c r="AI121" s="103" t="e">
        <f ca="1">IF(A121="O", (VALUE(_xludf.IFS(AH121=0,"0",AH121=1,"150",AH121=2,"300",AH121=3,"450",AH121=4,"600",AH121=5,"750",AH121&gt;=6,"800"))),(VALUE(_xludf.IFS(AH121=0,"0",AH121=1,"150",AH121=2,"300",AH121=3,"450",AH121=4,"600",AH121=5,"750",AH121=6,"900",AH121&gt;=7,"1,000"))))</f>
        <v>#NAME?</v>
      </c>
      <c r="AJ121" s="88" t="str">
        <f t="shared" si="8"/>
        <v>泡泡</v>
      </c>
      <c r="AK121" s="89"/>
    </row>
    <row r="122" spans="1:37" ht="18" customHeight="1">
      <c r="A122" s="83" t="s">
        <v>58</v>
      </c>
      <c r="B122" s="84" t="s">
        <v>137</v>
      </c>
      <c r="C122" s="85"/>
      <c r="D122" s="85"/>
      <c r="E122" s="85"/>
      <c r="F122" s="85"/>
      <c r="G122" s="52"/>
      <c r="H122" s="85"/>
      <c r="I122" s="52"/>
      <c r="J122" s="85"/>
      <c r="K122" s="85"/>
      <c r="L122" s="85"/>
      <c r="M122" s="85"/>
      <c r="N122" s="52"/>
      <c r="O122" s="85"/>
      <c r="P122" s="52"/>
      <c r="Q122" s="85"/>
      <c r="R122" s="85"/>
      <c r="S122" s="85"/>
      <c r="T122" s="85"/>
      <c r="U122" s="52"/>
      <c r="V122" s="85"/>
      <c r="W122" s="52"/>
      <c r="X122" s="85"/>
      <c r="Y122" s="85"/>
      <c r="Z122" s="85"/>
      <c r="AA122" s="85"/>
      <c r="AB122" s="52"/>
      <c r="AC122" s="85"/>
      <c r="AD122" s="52"/>
      <c r="AE122" s="85"/>
      <c r="AF122" s="85"/>
      <c r="AG122" s="85"/>
      <c r="AH122" s="86">
        <f t="shared" si="7"/>
        <v>0</v>
      </c>
      <c r="AI122" s="103" t="e">
        <f ca="1">IF(A122="O", (VALUE(_xludf.IFS(AH122=0,"0",AH122=1,"150",AH122=2,"300",AH122=3,"450",AH122=4,"600",AH122=5,"750",AH122&gt;=6,"800"))),(VALUE(_xludf.IFS(AH122=0,"0",AH122=1,"150",AH122=2,"300",AH122=3,"450",AH122=4,"600",AH122=5,"750",AH122=6,"900",AH122&gt;=7,"1,000"))))</f>
        <v>#NAME?</v>
      </c>
      <c r="AJ122" s="88" t="str">
        <f t="shared" si="8"/>
        <v>姚</v>
      </c>
      <c r="AK122" s="89"/>
    </row>
    <row r="123" spans="1:37" ht="18" customHeight="1">
      <c r="A123" s="83" t="s">
        <v>58</v>
      </c>
      <c r="B123" s="84" t="s">
        <v>138</v>
      </c>
      <c r="C123" s="85"/>
      <c r="D123" s="85"/>
      <c r="E123" s="85"/>
      <c r="F123" s="85"/>
      <c r="G123" s="52"/>
      <c r="H123" s="85"/>
      <c r="I123" s="52"/>
      <c r="J123" s="85"/>
      <c r="K123" s="85"/>
      <c r="L123" s="85"/>
      <c r="M123" s="85"/>
      <c r="N123" s="52"/>
      <c r="O123" s="85"/>
      <c r="P123" s="52"/>
      <c r="Q123" s="85"/>
      <c r="R123" s="85"/>
      <c r="S123" s="85"/>
      <c r="T123" s="85"/>
      <c r="U123" s="52"/>
      <c r="V123" s="85"/>
      <c r="W123" s="52"/>
      <c r="X123" s="85"/>
      <c r="Y123" s="85"/>
      <c r="Z123" s="85"/>
      <c r="AA123" s="85"/>
      <c r="AB123" s="52"/>
      <c r="AC123" s="85"/>
      <c r="AD123" s="52"/>
      <c r="AE123" s="85"/>
      <c r="AF123" s="85"/>
      <c r="AG123" s="85"/>
      <c r="AH123" s="86">
        <f t="shared" si="7"/>
        <v>0</v>
      </c>
      <c r="AI123" s="103" t="e">
        <f ca="1">IF(A123="O", (VALUE(_xludf.IFS(AH123=0,"0",AH123=1,"150",AH123=2,"300",AH123=3,"450",AH123=4,"600",AH123=5,"750",AH123&gt;=6,"800"))),(VALUE(_xludf.IFS(AH123=0,"0",AH123=1,"150",AH123=2,"300",AH123=3,"450",AH123=4,"600",AH123=5,"750",AH123=6,"900",AH123&gt;=7,"1,000"))))</f>
        <v>#NAME?</v>
      </c>
      <c r="AJ123" s="88" t="str">
        <f t="shared" si="8"/>
        <v>奜茜</v>
      </c>
      <c r="AK123" s="89"/>
    </row>
    <row r="124" spans="1:37" ht="18" customHeight="1">
      <c r="A124" s="83" t="s">
        <v>58</v>
      </c>
      <c r="B124" s="84" t="s">
        <v>121</v>
      </c>
      <c r="C124" s="85"/>
      <c r="D124" s="85"/>
      <c r="E124" s="85"/>
      <c r="F124" s="85"/>
      <c r="G124" s="52"/>
      <c r="H124" s="85">
        <v>1</v>
      </c>
      <c r="I124" s="52"/>
      <c r="J124" s="85"/>
      <c r="K124" s="85">
        <v>1</v>
      </c>
      <c r="L124" s="85"/>
      <c r="M124" s="85"/>
      <c r="N124" s="52"/>
      <c r="O124" s="85">
        <v>1</v>
      </c>
      <c r="P124" s="52"/>
      <c r="Q124" s="85"/>
      <c r="R124" s="85"/>
      <c r="S124" s="85"/>
      <c r="T124" s="85"/>
      <c r="U124" s="52"/>
      <c r="V124" s="85"/>
      <c r="W124" s="52"/>
      <c r="X124" s="85"/>
      <c r="Y124" s="85">
        <v>1</v>
      </c>
      <c r="Z124" s="85">
        <v>1</v>
      </c>
      <c r="AA124" s="85"/>
      <c r="AB124" s="52"/>
      <c r="AC124" s="85">
        <v>1</v>
      </c>
      <c r="AD124" s="52"/>
      <c r="AE124" s="85"/>
      <c r="AF124" s="85"/>
      <c r="AG124" s="85"/>
      <c r="AH124" s="86">
        <f t="shared" si="7"/>
        <v>6</v>
      </c>
      <c r="AI124" s="103" t="e">
        <f ca="1">IF(A124="O", (VALUE(_xludf.IFS(AH124=0,"0",AH124=1,"150",AH124=2,"300",AH124=3,"450",AH124=4,"600",AH124=5,"750",AH124&gt;=6,"800"))),(VALUE(_xludf.IFS(AH124=0,"0",AH124=1,"150",AH124=2,"300",AH124=3,"450",AH124=4,"600",AH124=5,"750",AH124=6,"900",AH124&gt;=7,"1,000"))))</f>
        <v>#NAME?</v>
      </c>
      <c r="AJ124" s="88" t="str">
        <f t="shared" si="8"/>
        <v>冰沙</v>
      </c>
      <c r="AK124" s="89"/>
    </row>
    <row r="125" spans="1:37" ht="18" customHeight="1">
      <c r="A125" s="83" t="s">
        <v>58</v>
      </c>
      <c r="B125" s="84" t="s">
        <v>139</v>
      </c>
      <c r="C125" s="85"/>
      <c r="D125" s="85"/>
      <c r="E125" s="85"/>
      <c r="F125" s="85"/>
      <c r="G125" s="52"/>
      <c r="H125" s="85"/>
      <c r="I125" s="52"/>
      <c r="J125" s="85"/>
      <c r="K125" s="85"/>
      <c r="L125" s="85"/>
      <c r="M125" s="85"/>
      <c r="N125" s="52"/>
      <c r="O125" s="85"/>
      <c r="P125" s="52"/>
      <c r="Q125" s="85"/>
      <c r="R125" s="85"/>
      <c r="S125" s="85"/>
      <c r="T125" s="85"/>
      <c r="U125" s="52"/>
      <c r="V125" s="85"/>
      <c r="W125" s="52"/>
      <c r="X125" s="85"/>
      <c r="Y125" s="85"/>
      <c r="Z125" s="85"/>
      <c r="AA125" s="85"/>
      <c r="AB125" s="52"/>
      <c r="AC125" s="85"/>
      <c r="AD125" s="52"/>
      <c r="AE125" s="85"/>
      <c r="AF125" s="85"/>
      <c r="AG125" s="85"/>
      <c r="AH125" s="86">
        <f t="shared" si="7"/>
        <v>0</v>
      </c>
      <c r="AI125" s="103" t="e">
        <f ca="1">IF(A125="O", (VALUE(_xludf.IFS(AH125=0,"0",AH125=1,"150",AH125=2,"300",AH125=3,"450",AH125=4,"600",AH125=5,"750",AH125&gt;=6,"800"))),(VALUE(_xludf.IFS(AH125=0,"0",AH125=1,"150",AH125=2,"300",AH125=3,"450",AH125=4,"600",AH125=5,"750",AH125=6,"900",AH125&gt;=7,"1,000"))))</f>
        <v>#NAME?</v>
      </c>
      <c r="AJ125" s="88" t="str">
        <f t="shared" si="8"/>
        <v>Tina</v>
      </c>
      <c r="AK125" s="89"/>
    </row>
    <row r="126" spans="1:37" ht="18" customHeight="1">
      <c r="A126" s="83" t="s">
        <v>58</v>
      </c>
      <c r="B126" s="84" t="s">
        <v>113</v>
      </c>
      <c r="C126" s="85"/>
      <c r="D126" s="85"/>
      <c r="E126" s="85"/>
      <c r="F126" s="85"/>
      <c r="G126" s="52"/>
      <c r="H126" s="85"/>
      <c r="I126" s="52"/>
      <c r="J126" s="85"/>
      <c r="K126" s="85"/>
      <c r="L126" s="85"/>
      <c r="M126" s="85"/>
      <c r="N126" s="52"/>
      <c r="O126" s="85">
        <v>1</v>
      </c>
      <c r="P126" s="52"/>
      <c r="Q126" s="85"/>
      <c r="R126" s="85"/>
      <c r="S126" s="85"/>
      <c r="T126" s="85"/>
      <c r="U126" s="52"/>
      <c r="V126" s="85"/>
      <c r="W126" s="52"/>
      <c r="X126" s="85"/>
      <c r="Y126" s="85"/>
      <c r="Z126" s="85"/>
      <c r="AA126" s="85">
        <v>1</v>
      </c>
      <c r="AB126" s="52"/>
      <c r="AC126" s="85">
        <v>1</v>
      </c>
      <c r="AD126" s="52"/>
      <c r="AE126" s="85"/>
      <c r="AF126" s="85"/>
      <c r="AG126" s="85"/>
      <c r="AH126" s="86">
        <f t="shared" si="7"/>
        <v>3</v>
      </c>
      <c r="AI126" s="103" t="e">
        <f ca="1">IF(A126="O", (VALUE(_xludf.IFS(AH126=0,"0",AH126=1,"150",AH126=2,"300",AH126=3,"450",AH126=4,"600",AH126=5,"750",AH126&gt;=6,"800"))),(VALUE(_xludf.IFS(AH126=0,"0",AH126=1,"150",AH126=2,"300",AH126=3,"450",AH126=4,"600",AH126=5,"750",AH126=6,"900",AH126&gt;=7,"1,000"))))</f>
        <v>#NAME?</v>
      </c>
      <c r="AJ126" s="88" t="str">
        <f t="shared" si="8"/>
        <v>容容</v>
      </c>
      <c r="AK126" s="89"/>
    </row>
    <row r="127" spans="1:37" ht="18" customHeight="1">
      <c r="A127" s="83" t="s">
        <v>58</v>
      </c>
      <c r="B127" s="84" t="s">
        <v>117</v>
      </c>
      <c r="C127" s="85"/>
      <c r="D127" s="85"/>
      <c r="E127" s="85"/>
      <c r="F127" s="85"/>
      <c r="G127" s="52"/>
      <c r="H127" s="85"/>
      <c r="I127" s="52"/>
      <c r="J127" s="85"/>
      <c r="K127" s="85">
        <v>1</v>
      </c>
      <c r="L127" s="85"/>
      <c r="M127" s="85"/>
      <c r="N127" s="52"/>
      <c r="O127" s="85">
        <v>1</v>
      </c>
      <c r="P127" s="52"/>
      <c r="Q127" s="85"/>
      <c r="R127" s="85"/>
      <c r="S127" s="85"/>
      <c r="T127" s="85"/>
      <c r="U127" s="52"/>
      <c r="V127" s="85"/>
      <c r="W127" s="52"/>
      <c r="X127" s="85"/>
      <c r="Y127" s="85">
        <v>1</v>
      </c>
      <c r="Z127" s="85"/>
      <c r="AA127" s="85"/>
      <c r="AB127" s="52"/>
      <c r="AC127" s="85">
        <v>1</v>
      </c>
      <c r="AD127" s="52"/>
      <c r="AE127" s="85"/>
      <c r="AF127" s="85"/>
      <c r="AG127" s="85"/>
      <c r="AH127" s="86">
        <f t="shared" si="7"/>
        <v>4</v>
      </c>
      <c r="AI127" s="103" t="e">
        <f ca="1">IF(A127="O", (VALUE(_xludf.IFS(AH127=0,"0",AH127=1,"150",AH127=2,"300",AH127=3,"450",AH127=4,"600",AH127=5,"750",AH127&gt;=6,"800"))),(VALUE(_xludf.IFS(AH127=0,"0",AH127=1,"150",AH127=2,"300",AH127=3,"450",AH127=4,"600",AH127=5,"750",AH127=6,"900",AH127&gt;=7,"1,000"))))</f>
        <v>#NAME?</v>
      </c>
      <c r="AJ127" s="88" t="str">
        <f t="shared" si="8"/>
        <v>依凡</v>
      </c>
      <c r="AK127" s="89"/>
    </row>
    <row r="128" spans="1:37" ht="18" customHeight="1">
      <c r="A128" s="83" t="s">
        <v>58</v>
      </c>
      <c r="B128" s="84" t="s">
        <v>122</v>
      </c>
      <c r="C128" s="85"/>
      <c r="D128" s="85"/>
      <c r="E128" s="85"/>
      <c r="F128" s="85"/>
      <c r="G128" s="52"/>
      <c r="H128" s="85"/>
      <c r="I128" s="52"/>
      <c r="J128" s="85"/>
      <c r="K128" s="85"/>
      <c r="L128" s="85"/>
      <c r="M128" s="85"/>
      <c r="N128" s="52"/>
      <c r="O128" s="85">
        <v>1</v>
      </c>
      <c r="P128" s="52"/>
      <c r="Q128" s="85"/>
      <c r="R128" s="85"/>
      <c r="S128" s="85"/>
      <c r="T128" s="85"/>
      <c r="U128" s="52"/>
      <c r="V128" s="85"/>
      <c r="W128" s="52"/>
      <c r="X128" s="85"/>
      <c r="Y128" s="85">
        <v>1</v>
      </c>
      <c r="Z128" s="85"/>
      <c r="AA128" s="85"/>
      <c r="AB128" s="52"/>
      <c r="AC128" s="85">
        <v>1</v>
      </c>
      <c r="AD128" s="52"/>
      <c r="AE128" s="85"/>
      <c r="AF128" s="85"/>
      <c r="AG128" s="85"/>
      <c r="AH128" s="86">
        <f t="shared" si="7"/>
        <v>3</v>
      </c>
      <c r="AI128" s="103" t="e">
        <f ca="1">IF(A128="O", (VALUE(_xludf.IFS(AH128=0,"0",AH128=1,"150",AH128=2,"300",AH128=3,"450",AH128=4,"600",AH128=5,"750",AH128&gt;=6,"800"))),(VALUE(_xludf.IFS(AH128=0,"0",AH128=1,"150",AH128=2,"300",AH128=3,"450",AH128=4,"600",AH128=5,"750",AH128=6,"900",AH128&gt;=7,"1,000"))))</f>
        <v>#NAME?</v>
      </c>
      <c r="AJ128" s="88" t="str">
        <f t="shared" si="8"/>
        <v>幸恩</v>
      </c>
      <c r="AK128" s="89"/>
    </row>
    <row r="129" spans="1:37" ht="18" customHeight="1">
      <c r="A129" s="83" t="s">
        <v>58</v>
      </c>
      <c r="B129" s="84" t="s">
        <v>140</v>
      </c>
      <c r="C129" s="85"/>
      <c r="D129" s="85"/>
      <c r="E129" s="85"/>
      <c r="F129" s="85"/>
      <c r="G129" s="52"/>
      <c r="H129" s="85"/>
      <c r="I129" s="52"/>
      <c r="J129" s="85"/>
      <c r="K129" s="85"/>
      <c r="L129" s="85"/>
      <c r="M129" s="85"/>
      <c r="N129" s="52"/>
      <c r="O129" s="85"/>
      <c r="P129" s="52"/>
      <c r="Q129" s="85"/>
      <c r="R129" s="85"/>
      <c r="S129" s="85"/>
      <c r="T129" s="85"/>
      <c r="U129" s="52"/>
      <c r="V129" s="85"/>
      <c r="W129" s="52"/>
      <c r="X129" s="85"/>
      <c r="Y129" s="85"/>
      <c r="Z129" s="85"/>
      <c r="AA129" s="85"/>
      <c r="AB129" s="52"/>
      <c r="AC129" s="85"/>
      <c r="AD129" s="52"/>
      <c r="AE129" s="85"/>
      <c r="AF129" s="85"/>
      <c r="AG129" s="85"/>
      <c r="AH129" s="86">
        <f t="shared" si="7"/>
        <v>0</v>
      </c>
      <c r="AI129" s="103" t="e">
        <f ca="1">IF(A129="O", (VALUE(_xludf.IFS(AH129=0,"0",AH129=1,"150",AH129=2,"300",AH129=3,"450",AH129=4,"600",AH129=5,"750",AH129&gt;=6,"800"))),(VALUE(_xludf.IFS(AH129=0,"0",AH129=1,"150",AH129=2,"300",AH129=3,"450",AH129=4,"600",AH129=5,"750",AH129=6,"900",AH129&gt;=7,"1,000"))))</f>
        <v>#NAME?</v>
      </c>
      <c r="AJ129" s="88" t="str">
        <f t="shared" si="8"/>
        <v>芷琦</v>
      </c>
      <c r="AK129" s="89"/>
    </row>
    <row r="130" spans="1:37" ht="18" customHeight="1">
      <c r="A130" s="83" t="s">
        <v>58</v>
      </c>
      <c r="B130" s="84" t="s">
        <v>106</v>
      </c>
      <c r="C130" s="85"/>
      <c r="D130" s="85"/>
      <c r="E130" s="85"/>
      <c r="F130" s="85"/>
      <c r="G130" s="52"/>
      <c r="H130" s="85"/>
      <c r="I130" s="52"/>
      <c r="J130" s="85"/>
      <c r="K130" s="85"/>
      <c r="L130" s="85">
        <v>1</v>
      </c>
      <c r="M130" s="85"/>
      <c r="N130" s="52"/>
      <c r="O130" s="85"/>
      <c r="P130" s="52"/>
      <c r="Q130" s="85"/>
      <c r="R130" s="85"/>
      <c r="S130" s="85"/>
      <c r="T130" s="85"/>
      <c r="U130" s="52"/>
      <c r="V130" s="85"/>
      <c r="W130" s="52"/>
      <c r="X130" s="85"/>
      <c r="Y130" s="85"/>
      <c r="Z130" s="85"/>
      <c r="AA130" s="85"/>
      <c r="AB130" s="52"/>
      <c r="AC130" s="85"/>
      <c r="AD130" s="52"/>
      <c r="AE130" s="85"/>
      <c r="AF130" s="85"/>
      <c r="AG130" s="85"/>
      <c r="AH130" s="86">
        <f t="shared" si="7"/>
        <v>1</v>
      </c>
      <c r="AI130" s="103" t="e">
        <f ca="1">IF(A130="O", (VALUE(_xludf.IFS(AH130=0,"0",AH130=1,"150",AH130=2,"300",AH130=3,"450",AH130=4,"600",AH130=5,"750",AH130&gt;=6,"800"))),(VALUE(_xludf.IFS(AH130=0,"0",AH130=1,"150",AH130=2,"300",AH130=3,"450",AH130=4,"600",AH130=5,"750",AH130=6,"900",AH130&gt;=7,"1,000"))))</f>
        <v>#NAME?</v>
      </c>
      <c r="AJ130" s="88" t="str">
        <f t="shared" si="8"/>
        <v>Nina</v>
      </c>
      <c r="AK130" s="89"/>
    </row>
    <row r="131" spans="1:37" ht="18" customHeight="1">
      <c r="A131" s="83" t="s">
        <v>58</v>
      </c>
      <c r="B131" s="84" t="s">
        <v>205</v>
      </c>
      <c r="C131" s="85"/>
      <c r="D131" s="85"/>
      <c r="E131" s="85"/>
      <c r="F131" s="85"/>
      <c r="G131" s="52"/>
      <c r="H131" s="85"/>
      <c r="I131" s="52"/>
      <c r="J131" s="85"/>
      <c r="K131" s="85"/>
      <c r="L131" s="85"/>
      <c r="M131" s="85"/>
      <c r="N131" s="52"/>
      <c r="O131" s="85">
        <v>1</v>
      </c>
      <c r="P131" s="52"/>
      <c r="Q131" s="85"/>
      <c r="R131" s="85"/>
      <c r="S131" s="85">
        <v>1</v>
      </c>
      <c r="T131" s="85"/>
      <c r="U131" s="52"/>
      <c r="V131" s="85"/>
      <c r="W131" s="52"/>
      <c r="X131" s="85"/>
      <c r="Y131" s="85"/>
      <c r="Z131" s="85"/>
      <c r="AA131" s="85"/>
      <c r="AB131" s="52"/>
      <c r="AC131" s="85">
        <v>1</v>
      </c>
      <c r="AD131" s="52"/>
      <c r="AE131" s="85"/>
      <c r="AF131" s="85"/>
      <c r="AG131" s="85"/>
      <c r="AH131" s="86">
        <f t="shared" si="7"/>
        <v>3</v>
      </c>
      <c r="AI131" s="103" t="e">
        <f ca="1">IF(A131="O", (VALUE(_xludf.IFS(AH131=0,"0",AH131=1,"150",AH131=2,"300",AH131=3,"450",AH131=4,"600",AH131=5,"750",AH131&gt;=6,"800"))),(VALUE(_xludf.IFS(AH131=0,"0",AH131=1,"150",AH131=2,"300",AH131=3,"450",AH131=4,"600",AH131=5,"750",AH131=6,"900",AH131&gt;=7,"1,000"))))</f>
        <v>#NAME?</v>
      </c>
      <c r="AJ131" s="88" t="str">
        <f t="shared" si="8"/>
        <v>琬琬</v>
      </c>
      <c r="AK131" s="89"/>
    </row>
    <row r="132" spans="1:37" ht="18" customHeight="1">
      <c r="A132" s="104" t="s">
        <v>58</v>
      </c>
      <c r="B132" s="105" t="s">
        <v>41</v>
      </c>
      <c r="C132" s="106"/>
      <c r="D132" s="106"/>
      <c r="E132" s="106"/>
      <c r="F132" s="106"/>
      <c r="G132" s="52"/>
      <c r="H132" s="106"/>
      <c r="I132" s="52"/>
      <c r="J132" s="106"/>
      <c r="K132" s="106"/>
      <c r="L132" s="106"/>
      <c r="M132" s="106"/>
      <c r="N132" s="52"/>
      <c r="O132" s="106"/>
      <c r="P132" s="52"/>
      <c r="Q132" s="106"/>
      <c r="R132" s="106"/>
      <c r="S132" s="106"/>
      <c r="T132" s="106"/>
      <c r="U132" s="52"/>
      <c r="V132" s="106"/>
      <c r="W132" s="52"/>
      <c r="X132" s="106"/>
      <c r="Y132" s="106"/>
      <c r="Z132" s="106"/>
      <c r="AA132" s="106"/>
      <c r="AB132" s="52"/>
      <c r="AC132" s="106"/>
      <c r="AD132" s="52"/>
      <c r="AE132" s="106"/>
      <c r="AF132" s="106"/>
      <c r="AG132" s="106"/>
      <c r="AH132" s="107">
        <f t="shared" ref="AH132:AH163" si="9">COUNTA(C132:AG132)</f>
        <v>0</v>
      </c>
      <c r="AI132" s="108" t="e">
        <f ca="1">IF(A132="O", (VALUE(_xludf.IFS(AH132=0,"0",AH132=1,"150",AH132=2,"300",AH132=3,"450",AH132=4,"600",AH132=5,"750",AH132&gt;=6,"800"))),(VALUE(_xludf.IFS(AH132=0,"0",AH132=1,"150",AH132=2,"300",AH132=3,"450",AH132=4,"600",AH132=5,"750",AH132=6,"900",AH132&gt;=7,"1,000"))))</f>
        <v>#NAME?</v>
      </c>
      <c r="AJ132" s="109" t="str">
        <f t="shared" si="8"/>
        <v>軟軟</v>
      </c>
      <c r="AK132" s="110"/>
    </row>
    <row r="133" spans="1:37" ht="18" customHeight="1">
      <c r="A133" s="104" t="s">
        <v>58</v>
      </c>
      <c r="B133" s="105" t="s">
        <v>38</v>
      </c>
      <c r="C133" s="106"/>
      <c r="D133" s="106"/>
      <c r="E133" s="106"/>
      <c r="F133" s="106"/>
      <c r="G133" s="52"/>
      <c r="H133" s="106"/>
      <c r="I133" s="52"/>
      <c r="J133" s="106"/>
      <c r="K133" s="106"/>
      <c r="L133" s="106"/>
      <c r="M133" s="106">
        <v>1</v>
      </c>
      <c r="N133" s="52"/>
      <c r="O133" s="106">
        <v>1</v>
      </c>
      <c r="P133" s="52"/>
      <c r="Q133" s="106">
        <v>1</v>
      </c>
      <c r="R133" s="106"/>
      <c r="S133" s="106"/>
      <c r="T133" s="106"/>
      <c r="U133" s="52"/>
      <c r="V133" s="106"/>
      <c r="W133" s="52"/>
      <c r="X133" s="106">
        <v>1</v>
      </c>
      <c r="Y133" s="106"/>
      <c r="Z133" s="106"/>
      <c r="AA133" s="106"/>
      <c r="AB133" s="52"/>
      <c r="AC133" s="106"/>
      <c r="AD133" s="52"/>
      <c r="AE133" s="106"/>
      <c r="AF133" s="106"/>
      <c r="AG133" s="106"/>
      <c r="AH133" s="107">
        <f t="shared" si="9"/>
        <v>4</v>
      </c>
      <c r="AI133" s="108">
        <v>1000</v>
      </c>
      <c r="AJ133" s="109" t="str">
        <f t="shared" si="8"/>
        <v>阿龍</v>
      </c>
      <c r="AK133" s="110" t="s">
        <v>215</v>
      </c>
    </row>
    <row r="134" spans="1:37" ht="18" customHeight="1">
      <c r="A134" s="104" t="s">
        <v>58</v>
      </c>
      <c r="B134" s="105" t="s">
        <v>42</v>
      </c>
      <c r="C134" s="106"/>
      <c r="D134" s="106"/>
      <c r="E134" s="106"/>
      <c r="F134" s="106"/>
      <c r="G134" s="52"/>
      <c r="H134" s="106"/>
      <c r="I134" s="52"/>
      <c r="J134" s="106"/>
      <c r="K134" s="106"/>
      <c r="L134" s="106"/>
      <c r="M134" s="106"/>
      <c r="N134" s="52"/>
      <c r="O134" s="106"/>
      <c r="P134" s="52"/>
      <c r="Q134" s="106"/>
      <c r="R134" s="106"/>
      <c r="S134" s="106">
        <v>1</v>
      </c>
      <c r="T134" s="106"/>
      <c r="U134" s="52"/>
      <c r="V134" s="106"/>
      <c r="W134" s="52"/>
      <c r="X134" s="106"/>
      <c r="Y134" s="106"/>
      <c r="Z134" s="106"/>
      <c r="AA134" s="106"/>
      <c r="AB134" s="52"/>
      <c r="AC134" s="106"/>
      <c r="AD134" s="52"/>
      <c r="AE134" s="106"/>
      <c r="AF134" s="106"/>
      <c r="AG134" s="106"/>
      <c r="AH134" s="107">
        <f t="shared" si="9"/>
        <v>1</v>
      </c>
      <c r="AI134" s="108" t="e">
        <f ca="1">IF(A134="O", (VALUE(_xludf.IFS(AH134=0,"0",AH134=1,"150",AH134=2,"300",AH134=3,"450",AH134=4,"600",AH134=5,"750",AH134&gt;=6,"800"))),(VALUE(_xludf.IFS(AH134=0,"0",AH134=1,"150",AH134=2,"300",AH134=3,"450",AH134=4,"600",AH134=5,"750",AH134=6,"900",AH134&gt;=7,"1,000"))))</f>
        <v>#NAME?</v>
      </c>
      <c r="AJ134" s="109" t="str">
        <f t="shared" si="8"/>
        <v>屎蛋</v>
      </c>
      <c r="AK134" s="110"/>
    </row>
  </sheetData>
  <mergeCells count="5">
    <mergeCell ref="AI1:AI3"/>
    <mergeCell ref="AJ1:AJ3"/>
    <mergeCell ref="AH1:AH3"/>
    <mergeCell ref="A1:B1"/>
    <mergeCell ref="AK1:AK2"/>
  </mergeCells>
  <phoneticPr fontId="12" type="noConversion"/>
  <printOptions horizontalCentered="1" gridLines="1"/>
  <pageMargins left="0.25" right="0.25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A9999"/>
    <outlinePr summaryBelow="0" summaryRight="0"/>
  </sheetPr>
  <dimension ref="A1:AJ1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customWidth="1"/>
  </cols>
  <sheetData>
    <row r="1" spans="1:36" ht="18" customHeight="1">
      <c r="A1" s="287" t="s">
        <v>0</v>
      </c>
      <c r="B1" s="280"/>
      <c r="C1" s="51" t="s">
        <v>182</v>
      </c>
      <c r="D1" s="52"/>
      <c r="E1" s="51" t="s">
        <v>183</v>
      </c>
      <c r="F1" s="52"/>
      <c r="G1" s="51" t="s">
        <v>184</v>
      </c>
      <c r="H1" s="51" t="s">
        <v>184</v>
      </c>
      <c r="I1" s="51" t="s">
        <v>186</v>
      </c>
      <c r="J1" s="51" t="s">
        <v>182</v>
      </c>
      <c r="K1" s="52"/>
      <c r="L1" s="51" t="s">
        <v>183</v>
      </c>
      <c r="M1" s="52"/>
      <c r="N1" s="51" t="s">
        <v>184</v>
      </c>
      <c r="O1" s="51" t="s">
        <v>216</v>
      </c>
      <c r="P1" s="51" t="s">
        <v>186</v>
      </c>
      <c r="Q1" s="51" t="s">
        <v>182</v>
      </c>
      <c r="R1" s="52"/>
      <c r="S1" s="51" t="s">
        <v>183</v>
      </c>
      <c r="T1" s="52"/>
      <c r="U1" s="51" t="s">
        <v>184</v>
      </c>
      <c r="V1" s="51"/>
      <c r="W1" s="51" t="s">
        <v>186</v>
      </c>
      <c r="X1" s="51" t="s">
        <v>217</v>
      </c>
      <c r="Y1" s="52"/>
      <c r="Z1" s="51" t="s">
        <v>184</v>
      </c>
      <c r="AA1" s="52"/>
      <c r="AB1" s="51" t="s">
        <v>184</v>
      </c>
      <c r="AC1" s="51"/>
      <c r="AD1" s="51"/>
      <c r="AE1" s="51" t="s">
        <v>184</v>
      </c>
      <c r="AF1" s="52"/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45383</v>
      </c>
      <c r="D2" s="56">
        <v>45384</v>
      </c>
      <c r="E2" s="55">
        <v>45385</v>
      </c>
      <c r="F2" s="56">
        <v>45386</v>
      </c>
      <c r="G2" s="55">
        <v>45387</v>
      </c>
      <c r="H2" s="55">
        <v>45388</v>
      </c>
      <c r="I2" s="55">
        <v>45389</v>
      </c>
      <c r="J2" s="55">
        <v>45390</v>
      </c>
      <c r="K2" s="56">
        <v>45391</v>
      </c>
      <c r="L2" s="55">
        <v>45392</v>
      </c>
      <c r="M2" s="56">
        <v>45393</v>
      </c>
      <c r="N2" s="55">
        <v>45394</v>
      </c>
      <c r="O2" s="55">
        <v>45395</v>
      </c>
      <c r="P2" s="55">
        <v>45396</v>
      </c>
      <c r="Q2" s="55">
        <v>45397</v>
      </c>
      <c r="R2" s="56">
        <v>45398</v>
      </c>
      <c r="S2" s="55">
        <v>45399</v>
      </c>
      <c r="T2" s="56">
        <v>45400</v>
      </c>
      <c r="U2" s="55">
        <v>45401</v>
      </c>
      <c r="V2" s="55">
        <v>45402</v>
      </c>
      <c r="W2" s="55">
        <v>45403</v>
      </c>
      <c r="X2" s="55">
        <v>45404</v>
      </c>
      <c r="Y2" s="56">
        <v>45405</v>
      </c>
      <c r="Z2" s="55">
        <v>45406</v>
      </c>
      <c r="AA2" s="56">
        <v>45407</v>
      </c>
      <c r="AB2" s="55">
        <v>45408</v>
      </c>
      <c r="AC2" s="55">
        <v>45409</v>
      </c>
      <c r="AD2" s="55">
        <v>45410</v>
      </c>
      <c r="AE2" s="55">
        <v>45411</v>
      </c>
      <c r="AF2" s="56">
        <v>45412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1</v>
      </c>
      <c r="D3" s="52">
        <f t="shared" si="0"/>
        <v>2</v>
      </c>
      <c r="E3" s="51">
        <f t="shared" si="0"/>
        <v>3</v>
      </c>
      <c r="F3" s="52">
        <f t="shared" si="0"/>
        <v>4</v>
      </c>
      <c r="G3" s="51">
        <f t="shared" si="0"/>
        <v>5</v>
      </c>
      <c r="H3" s="51">
        <f t="shared" si="0"/>
        <v>6</v>
      </c>
      <c r="I3" s="51">
        <f t="shared" si="0"/>
        <v>7</v>
      </c>
      <c r="J3" s="51">
        <f t="shared" si="0"/>
        <v>1</v>
      </c>
      <c r="K3" s="52">
        <f t="shared" si="0"/>
        <v>2</v>
      </c>
      <c r="L3" s="51">
        <f t="shared" si="0"/>
        <v>3</v>
      </c>
      <c r="M3" s="52">
        <f t="shared" si="0"/>
        <v>4</v>
      </c>
      <c r="N3" s="51">
        <f t="shared" si="0"/>
        <v>5</v>
      </c>
      <c r="O3" s="51">
        <f t="shared" si="0"/>
        <v>6</v>
      </c>
      <c r="P3" s="51">
        <f t="shared" si="0"/>
        <v>7</v>
      </c>
      <c r="Q3" s="51">
        <f t="shared" si="0"/>
        <v>1</v>
      </c>
      <c r="R3" s="52">
        <f t="shared" si="0"/>
        <v>2</v>
      </c>
      <c r="S3" s="51">
        <f t="shared" si="0"/>
        <v>3</v>
      </c>
      <c r="T3" s="52">
        <f t="shared" si="0"/>
        <v>4</v>
      </c>
      <c r="U3" s="51">
        <f t="shared" si="0"/>
        <v>5</v>
      </c>
      <c r="V3" s="51">
        <f t="shared" si="0"/>
        <v>6</v>
      </c>
      <c r="W3" s="51">
        <f t="shared" si="0"/>
        <v>7</v>
      </c>
      <c r="X3" s="51">
        <f t="shared" si="0"/>
        <v>1</v>
      </c>
      <c r="Y3" s="52">
        <f t="shared" si="0"/>
        <v>2</v>
      </c>
      <c r="Z3" s="51">
        <f t="shared" si="0"/>
        <v>3</v>
      </c>
      <c r="AA3" s="52">
        <f t="shared" si="0"/>
        <v>4</v>
      </c>
      <c r="AB3" s="51">
        <f t="shared" si="0"/>
        <v>5</v>
      </c>
      <c r="AC3" s="51">
        <f t="shared" si="0"/>
        <v>6</v>
      </c>
      <c r="AD3" s="51">
        <f t="shared" si="0"/>
        <v>7</v>
      </c>
      <c r="AE3" s="51">
        <f t="shared" si="0"/>
        <v>1</v>
      </c>
      <c r="AF3" s="52">
        <f t="shared" si="0"/>
        <v>2</v>
      </c>
      <c r="AG3" s="283"/>
      <c r="AH3" s="278"/>
      <c r="AI3" s="273"/>
      <c r="AJ3" s="62" t="e">
        <f ca="1">SUM(AH4:AH134)</f>
        <v>#NAME?</v>
      </c>
    </row>
    <row r="4" spans="1:36" ht="18" customHeight="1">
      <c r="A4" s="92" t="s">
        <v>174</v>
      </c>
      <c r="B4" s="93" t="s">
        <v>10</v>
      </c>
      <c r="C4" s="92">
        <v>1</v>
      </c>
      <c r="D4" s="94"/>
      <c r="E4" s="92"/>
      <c r="F4" s="94"/>
      <c r="G4" s="92"/>
      <c r="H4" s="92"/>
      <c r="I4" s="92"/>
      <c r="J4" s="92">
        <v>1</v>
      </c>
      <c r="K4" s="94"/>
      <c r="L4" s="92"/>
      <c r="M4" s="94"/>
      <c r="N4" s="92">
        <v>1</v>
      </c>
      <c r="O4" s="92"/>
      <c r="P4" s="92">
        <v>1</v>
      </c>
      <c r="Q4" s="92"/>
      <c r="R4" s="94"/>
      <c r="S4" s="92"/>
      <c r="T4" s="94"/>
      <c r="U4" s="92">
        <v>1</v>
      </c>
      <c r="V4" s="92"/>
      <c r="W4" s="92">
        <v>1</v>
      </c>
      <c r="X4" s="92"/>
      <c r="Y4" s="94"/>
      <c r="Z4" s="92">
        <v>1</v>
      </c>
      <c r="AA4" s="94"/>
      <c r="AB4" s="92">
        <v>1</v>
      </c>
      <c r="AC4" s="92"/>
      <c r="AD4" s="92"/>
      <c r="AE4" s="92"/>
      <c r="AF4" s="94"/>
      <c r="AG4" s="66">
        <f t="shared" ref="AG4:AG35" si="1">COUNTA(C4:AD4)</f>
        <v>8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2">B4</f>
        <v>阿發</v>
      </c>
      <c r="AJ4" s="70"/>
    </row>
    <row r="5" spans="1:36" ht="18" customHeight="1">
      <c r="A5" s="95" t="s">
        <v>174</v>
      </c>
      <c r="B5" s="96" t="s">
        <v>11</v>
      </c>
      <c r="C5" s="95">
        <v>1</v>
      </c>
      <c r="D5" s="97"/>
      <c r="E5" s="95">
        <v>1</v>
      </c>
      <c r="F5" s="97"/>
      <c r="G5" s="95">
        <v>1</v>
      </c>
      <c r="H5" s="95">
        <v>1</v>
      </c>
      <c r="I5" s="95">
        <v>1</v>
      </c>
      <c r="J5" s="95">
        <v>1</v>
      </c>
      <c r="K5" s="97"/>
      <c r="L5" s="95">
        <v>1</v>
      </c>
      <c r="M5" s="97"/>
      <c r="N5" s="95">
        <v>1</v>
      </c>
      <c r="O5" s="95"/>
      <c r="P5" s="95"/>
      <c r="Q5" s="95">
        <v>1</v>
      </c>
      <c r="R5" s="97"/>
      <c r="S5" s="95">
        <v>1</v>
      </c>
      <c r="T5" s="97"/>
      <c r="U5" s="95">
        <v>1</v>
      </c>
      <c r="V5" s="95"/>
      <c r="W5" s="95">
        <v>1</v>
      </c>
      <c r="X5" s="95">
        <v>1</v>
      </c>
      <c r="Y5" s="97"/>
      <c r="Z5" s="95">
        <v>1</v>
      </c>
      <c r="AA5" s="97"/>
      <c r="AB5" s="95">
        <v>1</v>
      </c>
      <c r="AC5" s="95"/>
      <c r="AD5" s="95"/>
      <c r="AE5" s="95">
        <v>1</v>
      </c>
      <c r="AF5" s="97"/>
      <c r="AG5" s="66">
        <f t="shared" si="1"/>
        <v>15</v>
      </c>
      <c r="AH5" s="68" t="e">
        <f ca="1">IF(A5="O", (VALUE(_xludf.IFS(AG5=0,"0",AG5=1,"150",AG5=2,"300",AG5=3,"450",AG5=4,"600",AG5=5,"750",AG5&gt;=6,"800"))),(VALUE(_xludf.IFS(AG5=0,"0",AG5=1,"150",AG5=2,"300",AG5=3,"450",AG5=4,"600",AG5=5,"750",AG5=6,"900",AG5&gt;=7,"1,000"))))</f>
        <v>#NAME?</v>
      </c>
      <c r="AI5" s="71" t="str">
        <f t="shared" si="2"/>
        <v>捷升</v>
      </c>
      <c r="AJ5" s="70"/>
    </row>
    <row r="6" spans="1:36" ht="18" customHeight="1">
      <c r="A6" s="95" t="s">
        <v>174</v>
      </c>
      <c r="B6" s="96" t="s">
        <v>14</v>
      </c>
      <c r="C6" s="95">
        <v>1</v>
      </c>
      <c r="D6" s="97"/>
      <c r="E6" s="95">
        <v>1</v>
      </c>
      <c r="F6" s="97"/>
      <c r="G6" s="95"/>
      <c r="H6" s="95"/>
      <c r="I6" s="95"/>
      <c r="J6" s="95">
        <v>1</v>
      </c>
      <c r="K6" s="97"/>
      <c r="L6" s="95">
        <v>1</v>
      </c>
      <c r="M6" s="97"/>
      <c r="N6" s="95">
        <v>1</v>
      </c>
      <c r="O6" s="95"/>
      <c r="P6" s="95"/>
      <c r="Q6" s="95">
        <v>1</v>
      </c>
      <c r="R6" s="97"/>
      <c r="S6" s="95"/>
      <c r="T6" s="97"/>
      <c r="U6" s="95"/>
      <c r="V6" s="95"/>
      <c r="W6" s="95"/>
      <c r="X6" s="95"/>
      <c r="Y6" s="97"/>
      <c r="Z6" s="95"/>
      <c r="AA6" s="97"/>
      <c r="AB6" s="95"/>
      <c r="AC6" s="95"/>
      <c r="AD6" s="95"/>
      <c r="AE6" s="95"/>
      <c r="AF6" s="97"/>
      <c r="AG6" s="66">
        <f t="shared" si="1"/>
        <v>6</v>
      </c>
      <c r="AH6" s="68" t="e">
        <f ca="1">IF(A6="O", (VALUE(_xludf.IFS(AG6=0,"0",AG6=1,"150",AG6=2,"300",AG6=3,"450",AG6=4,"600",AG6=5,"750",AG6&gt;=6,"800"))),(VALUE(_xludf.IFS(AG6=0,"0",AG6=1,"150",AG6=2,"300",AG6=3,"450",AG6=4,"600",AG6=5,"750",AG6=6,"900",AG6&gt;=7,"1,000"))))</f>
        <v>#NAME?</v>
      </c>
      <c r="AI6" s="71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95">
        <v>1</v>
      </c>
      <c r="D7" s="97"/>
      <c r="E7" s="95">
        <v>1</v>
      </c>
      <c r="F7" s="97"/>
      <c r="G7" s="95"/>
      <c r="H7" s="95"/>
      <c r="I7" s="95"/>
      <c r="J7" s="95">
        <v>1</v>
      </c>
      <c r="K7" s="97"/>
      <c r="L7" s="95">
        <v>1</v>
      </c>
      <c r="M7" s="97"/>
      <c r="N7" s="95">
        <v>1</v>
      </c>
      <c r="O7" s="95">
        <v>1</v>
      </c>
      <c r="P7" s="95"/>
      <c r="Q7" s="95">
        <v>1</v>
      </c>
      <c r="R7" s="97"/>
      <c r="S7" s="95">
        <v>1</v>
      </c>
      <c r="T7" s="97"/>
      <c r="U7" s="95">
        <v>1</v>
      </c>
      <c r="V7" s="95"/>
      <c r="W7" s="95"/>
      <c r="X7" s="95">
        <v>1</v>
      </c>
      <c r="Y7" s="97"/>
      <c r="Z7" s="95">
        <v>1</v>
      </c>
      <c r="AA7" s="97"/>
      <c r="AB7" s="95">
        <v>1</v>
      </c>
      <c r="AC7" s="95"/>
      <c r="AD7" s="95"/>
      <c r="AE7" s="95">
        <v>1</v>
      </c>
      <c r="AF7" s="97"/>
      <c r="AG7" s="66">
        <f t="shared" si="1"/>
        <v>12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71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95">
        <v>1</v>
      </c>
      <c r="D8" s="97"/>
      <c r="E8" s="95">
        <v>1</v>
      </c>
      <c r="F8" s="97"/>
      <c r="G8" s="95"/>
      <c r="H8" s="95"/>
      <c r="I8" s="95"/>
      <c r="J8" s="95"/>
      <c r="K8" s="97"/>
      <c r="L8" s="95">
        <v>1</v>
      </c>
      <c r="M8" s="97"/>
      <c r="N8" s="95"/>
      <c r="O8" s="95"/>
      <c r="P8" s="95"/>
      <c r="Q8" s="95">
        <v>1</v>
      </c>
      <c r="R8" s="97"/>
      <c r="S8" s="95"/>
      <c r="T8" s="97"/>
      <c r="U8" s="95"/>
      <c r="V8" s="95"/>
      <c r="W8" s="95"/>
      <c r="X8" s="95"/>
      <c r="Y8" s="97"/>
      <c r="Z8" s="95"/>
      <c r="AA8" s="97"/>
      <c r="AB8" s="95"/>
      <c r="AC8" s="95"/>
      <c r="AD8" s="95"/>
      <c r="AE8" s="95"/>
      <c r="AF8" s="97"/>
      <c r="AG8" s="66">
        <f t="shared" si="1"/>
        <v>4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71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95"/>
      <c r="D9" s="97"/>
      <c r="E9" s="95"/>
      <c r="F9" s="97"/>
      <c r="G9" s="95"/>
      <c r="H9" s="95"/>
      <c r="I9" s="95"/>
      <c r="J9" s="95"/>
      <c r="K9" s="97"/>
      <c r="L9" s="95"/>
      <c r="M9" s="97"/>
      <c r="N9" s="95"/>
      <c r="O9" s="95"/>
      <c r="P9" s="95"/>
      <c r="Q9" s="95">
        <v>1</v>
      </c>
      <c r="R9" s="97"/>
      <c r="S9" s="95"/>
      <c r="T9" s="97"/>
      <c r="U9" s="95"/>
      <c r="V9" s="95"/>
      <c r="W9" s="95"/>
      <c r="X9" s="95">
        <v>1</v>
      </c>
      <c r="Y9" s="97"/>
      <c r="Z9" s="95"/>
      <c r="AA9" s="97"/>
      <c r="AB9" s="95"/>
      <c r="AC9" s="95"/>
      <c r="AD9" s="95"/>
      <c r="AE9" s="95">
        <v>1</v>
      </c>
      <c r="AF9" s="97"/>
      <c r="AG9" s="66">
        <f t="shared" si="1"/>
        <v>2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96" t="s">
        <v>13</v>
      </c>
      <c r="C10" s="95">
        <v>1</v>
      </c>
      <c r="D10" s="97"/>
      <c r="E10" s="95"/>
      <c r="F10" s="97"/>
      <c r="G10" s="95"/>
      <c r="H10" s="95"/>
      <c r="I10" s="95"/>
      <c r="J10" s="95">
        <v>1</v>
      </c>
      <c r="K10" s="97"/>
      <c r="L10" s="95">
        <v>1</v>
      </c>
      <c r="M10" s="97"/>
      <c r="N10" s="95"/>
      <c r="O10" s="95"/>
      <c r="P10" s="95"/>
      <c r="Q10" s="95"/>
      <c r="R10" s="97"/>
      <c r="S10" s="95">
        <v>1</v>
      </c>
      <c r="T10" s="97"/>
      <c r="U10" s="95">
        <v>1</v>
      </c>
      <c r="V10" s="95"/>
      <c r="W10" s="95"/>
      <c r="X10" s="95"/>
      <c r="Y10" s="97"/>
      <c r="Z10" s="95"/>
      <c r="AA10" s="97"/>
      <c r="AB10" s="95"/>
      <c r="AC10" s="95"/>
      <c r="AD10" s="95"/>
      <c r="AE10" s="95"/>
      <c r="AF10" s="97"/>
      <c r="AG10" s="66">
        <f t="shared" si="1"/>
        <v>5</v>
      </c>
      <c r="AH10" s="68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</f>
        <v>#NAME?</v>
      </c>
      <c r="AI10" s="69" t="str">
        <f t="shared" si="2"/>
        <v>李洋</v>
      </c>
      <c r="AJ10" s="70"/>
    </row>
    <row r="11" spans="1:36" ht="18" customHeight="1">
      <c r="A11" s="95" t="s">
        <v>174</v>
      </c>
      <c r="B11" s="96" t="s">
        <v>18</v>
      </c>
      <c r="C11" s="95">
        <v>1</v>
      </c>
      <c r="D11" s="97"/>
      <c r="E11" s="95">
        <v>1</v>
      </c>
      <c r="F11" s="97"/>
      <c r="G11" s="95">
        <v>1</v>
      </c>
      <c r="H11" s="95"/>
      <c r="I11" s="95"/>
      <c r="J11" s="95">
        <v>1</v>
      </c>
      <c r="K11" s="97"/>
      <c r="L11" s="95">
        <v>1</v>
      </c>
      <c r="M11" s="97"/>
      <c r="N11" s="95">
        <v>1</v>
      </c>
      <c r="O11" s="95"/>
      <c r="P11" s="95"/>
      <c r="Q11" s="95"/>
      <c r="R11" s="97"/>
      <c r="S11" s="95">
        <v>1</v>
      </c>
      <c r="T11" s="97"/>
      <c r="U11" s="95">
        <v>1</v>
      </c>
      <c r="V11" s="95"/>
      <c r="W11" s="95"/>
      <c r="X11" s="95">
        <v>1</v>
      </c>
      <c r="Y11" s="97"/>
      <c r="Z11" s="95">
        <v>1</v>
      </c>
      <c r="AA11" s="97"/>
      <c r="AB11" s="95">
        <v>1</v>
      </c>
      <c r="AC11" s="95"/>
      <c r="AD11" s="95"/>
      <c r="AE11" s="95">
        <v>1</v>
      </c>
      <c r="AF11" s="97"/>
      <c r="AG11" s="66">
        <f t="shared" si="1"/>
        <v>11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96" t="s">
        <v>19</v>
      </c>
      <c r="C12" s="95">
        <v>1</v>
      </c>
      <c r="D12" s="97"/>
      <c r="E12" s="95">
        <v>1</v>
      </c>
      <c r="F12" s="97"/>
      <c r="G12" s="95"/>
      <c r="H12" s="95"/>
      <c r="I12" s="95"/>
      <c r="J12" s="95">
        <v>1</v>
      </c>
      <c r="K12" s="97"/>
      <c r="L12" s="95">
        <v>1</v>
      </c>
      <c r="M12" s="97"/>
      <c r="N12" s="95"/>
      <c r="O12" s="95"/>
      <c r="P12" s="95"/>
      <c r="Q12" s="95"/>
      <c r="R12" s="97"/>
      <c r="S12" s="95">
        <v>1</v>
      </c>
      <c r="T12" s="97"/>
      <c r="U12" s="95">
        <v>1</v>
      </c>
      <c r="V12" s="95"/>
      <c r="W12" s="95"/>
      <c r="X12" s="95"/>
      <c r="Y12" s="97"/>
      <c r="Z12" s="95"/>
      <c r="AA12" s="97"/>
      <c r="AB12" s="95"/>
      <c r="AC12" s="95"/>
      <c r="AD12" s="95"/>
      <c r="AE12" s="95"/>
      <c r="AF12" s="97"/>
      <c r="AG12" s="66">
        <f t="shared" si="1"/>
        <v>6</v>
      </c>
      <c r="AH12" s="68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69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95">
        <v>1</v>
      </c>
      <c r="D13" s="97"/>
      <c r="E13" s="95"/>
      <c r="F13" s="97"/>
      <c r="G13" s="95"/>
      <c r="H13" s="95"/>
      <c r="I13" s="95"/>
      <c r="J13" s="95"/>
      <c r="K13" s="97"/>
      <c r="L13" s="95"/>
      <c r="M13" s="97"/>
      <c r="N13" s="95"/>
      <c r="O13" s="95"/>
      <c r="P13" s="95"/>
      <c r="Q13" s="95">
        <v>1</v>
      </c>
      <c r="R13" s="97"/>
      <c r="S13" s="95"/>
      <c r="T13" s="97"/>
      <c r="U13" s="95"/>
      <c r="V13" s="95"/>
      <c r="W13" s="95"/>
      <c r="X13" s="95">
        <v>1</v>
      </c>
      <c r="Y13" s="97"/>
      <c r="Z13" s="95">
        <v>1</v>
      </c>
      <c r="AA13" s="97"/>
      <c r="AB13" s="95">
        <v>1</v>
      </c>
      <c r="AC13" s="95"/>
      <c r="AD13" s="95"/>
      <c r="AE13" s="95">
        <v>1</v>
      </c>
      <c r="AF13" s="97"/>
      <c r="AG13" s="66">
        <f t="shared" si="1"/>
        <v>5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95">
        <v>1</v>
      </c>
      <c r="D14" s="97"/>
      <c r="E14" s="95">
        <v>1</v>
      </c>
      <c r="F14" s="97"/>
      <c r="G14" s="95"/>
      <c r="H14" s="95"/>
      <c r="I14" s="95"/>
      <c r="J14" s="95"/>
      <c r="K14" s="97"/>
      <c r="L14" s="95">
        <v>1</v>
      </c>
      <c r="M14" s="97"/>
      <c r="N14" s="95"/>
      <c r="O14" s="95"/>
      <c r="P14" s="95"/>
      <c r="Q14" s="95">
        <v>1</v>
      </c>
      <c r="R14" s="97"/>
      <c r="S14" s="95">
        <v>1</v>
      </c>
      <c r="T14" s="97"/>
      <c r="U14" s="95"/>
      <c r="V14" s="95"/>
      <c r="W14" s="95"/>
      <c r="X14" s="95"/>
      <c r="Y14" s="97"/>
      <c r="Z14" s="95"/>
      <c r="AA14" s="97"/>
      <c r="AB14" s="95"/>
      <c r="AC14" s="95"/>
      <c r="AD14" s="95"/>
      <c r="AE14" s="95"/>
      <c r="AF14" s="97"/>
      <c r="AG14" s="66">
        <f t="shared" si="1"/>
        <v>5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95">
        <v>1</v>
      </c>
      <c r="D15" s="97"/>
      <c r="E15" s="95"/>
      <c r="F15" s="97"/>
      <c r="G15" s="95"/>
      <c r="H15" s="95"/>
      <c r="I15" s="95"/>
      <c r="J15" s="95">
        <v>1</v>
      </c>
      <c r="K15" s="97"/>
      <c r="L15" s="95">
        <v>1</v>
      </c>
      <c r="M15" s="97"/>
      <c r="N15" s="95"/>
      <c r="O15" s="95"/>
      <c r="P15" s="95"/>
      <c r="Q15" s="95">
        <v>1</v>
      </c>
      <c r="R15" s="97"/>
      <c r="S15" s="95"/>
      <c r="T15" s="97"/>
      <c r="U15" s="95"/>
      <c r="V15" s="95"/>
      <c r="W15" s="95"/>
      <c r="X15" s="95">
        <v>1</v>
      </c>
      <c r="Y15" s="97"/>
      <c r="Z15" s="95"/>
      <c r="AA15" s="97"/>
      <c r="AB15" s="95"/>
      <c r="AC15" s="95"/>
      <c r="AD15" s="95"/>
      <c r="AE15" s="95">
        <v>1</v>
      </c>
      <c r="AF15" s="97"/>
      <c r="AG15" s="66">
        <f t="shared" si="1"/>
        <v>5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2"/>
    </row>
    <row r="16" spans="1:36" ht="18" customHeight="1">
      <c r="A16" s="95" t="s">
        <v>174</v>
      </c>
      <c r="B16" s="96" t="s">
        <v>21</v>
      </c>
      <c r="C16" s="95"/>
      <c r="D16" s="97"/>
      <c r="E16" s="95"/>
      <c r="F16" s="97"/>
      <c r="G16" s="95"/>
      <c r="H16" s="95"/>
      <c r="I16" s="95"/>
      <c r="J16" s="95"/>
      <c r="K16" s="97"/>
      <c r="L16" s="95"/>
      <c r="M16" s="97"/>
      <c r="N16" s="95"/>
      <c r="O16" s="95"/>
      <c r="P16" s="95"/>
      <c r="Q16" s="95"/>
      <c r="R16" s="97"/>
      <c r="S16" s="95"/>
      <c r="T16" s="97"/>
      <c r="U16" s="95"/>
      <c r="V16" s="95"/>
      <c r="W16" s="95"/>
      <c r="X16" s="95"/>
      <c r="Y16" s="97"/>
      <c r="Z16" s="95"/>
      <c r="AA16" s="97"/>
      <c r="AB16" s="95"/>
      <c r="AC16" s="95"/>
      <c r="AD16" s="95"/>
      <c r="AE16" s="95"/>
      <c r="AF16" s="97"/>
      <c r="AG16" s="66">
        <f t="shared" si="1"/>
        <v>0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95"/>
      <c r="D17" s="97"/>
      <c r="E17" s="95">
        <v>1</v>
      </c>
      <c r="F17" s="97"/>
      <c r="G17" s="95">
        <v>1</v>
      </c>
      <c r="H17" s="95">
        <v>1</v>
      </c>
      <c r="I17" s="95"/>
      <c r="J17" s="95"/>
      <c r="K17" s="97"/>
      <c r="L17" s="95">
        <v>1</v>
      </c>
      <c r="M17" s="97"/>
      <c r="N17" s="95">
        <v>1</v>
      </c>
      <c r="O17" s="95"/>
      <c r="P17" s="95"/>
      <c r="Q17" s="95"/>
      <c r="R17" s="97"/>
      <c r="S17" s="95">
        <v>1</v>
      </c>
      <c r="T17" s="97"/>
      <c r="U17" s="95"/>
      <c r="V17" s="95"/>
      <c r="W17" s="95">
        <v>1</v>
      </c>
      <c r="X17" s="95">
        <v>1</v>
      </c>
      <c r="Y17" s="97"/>
      <c r="Z17" s="95"/>
      <c r="AA17" s="97"/>
      <c r="AB17" s="95"/>
      <c r="AC17" s="95"/>
      <c r="AD17" s="95"/>
      <c r="AE17" s="95"/>
      <c r="AF17" s="97"/>
      <c r="AG17" s="66">
        <f t="shared" si="1"/>
        <v>8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99">
        <v>1</v>
      </c>
      <c r="D18" s="97"/>
      <c r="E18" s="99"/>
      <c r="F18" s="97"/>
      <c r="G18" s="99"/>
      <c r="H18" s="99"/>
      <c r="I18" s="99"/>
      <c r="J18" s="99"/>
      <c r="K18" s="97"/>
      <c r="L18" s="99">
        <v>1</v>
      </c>
      <c r="M18" s="97"/>
      <c r="N18" s="99"/>
      <c r="O18" s="99"/>
      <c r="P18" s="99"/>
      <c r="Q18" s="99"/>
      <c r="R18" s="97"/>
      <c r="S18" s="99"/>
      <c r="T18" s="97"/>
      <c r="U18" s="99"/>
      <c r="V18" s="99"/>
      <c r="W18" s="99"/>
      <c r="X18" s="99"/>
      <c r="Y18" s="97"/>
      <c r="Z18" s="99"/>
      <c r="AA18" s="97"/>
      <c r="AB18" s="99">
        <v>1</v>
      </c>
      <c r="AC18" s="99"/>
      <c r="AD18" s="99"/>
      <c r="AE18" s="99"/>
      <c r="AF18" s="97"/>
      <c r="AG18" s="77">
        <f t="shared" si="1"/>
        <v>3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99">
        <v>1</v>
      </c>
      <c r="D19" s="97"/>
      <c r="E19" s="99">
        <v>1</v>
      </c>
      <c r="F19" s="97"/>
      <c r="G19" s="99"/>
      <c r="H19" s="99"/>
      <c r="I19" s="99"/>
      <c r="J19" s="99"/>
      <c r="K19" s="97"/>
      <c r="L19" s="99"/>
      <c r="M19" s="97"/>
      <c r="N19" s="99">
        <v>1</v>
      </c>
      <c r="O19" s="99"/>
      <c r="P19" s="99"/>
      <c r="Q19" s="99">
        <v>1</v>
      </c>
      <c r="R19" s="97"/>
      <c r="S19" s="99"/>
      <c r="T19" s="97"/>
      <c r="U19" s="99"/>
      <c r="V19" s="99"/>
      <c r="W19" s="99"/>
      <c r="X19" s="99"/>
      <c r="Y19" s="97"/>
      <c r="Z19" s="99"/>
      <c r="AA19" s="97"/>
      <c r="AB19" s="99"/>
      <c r="AC19" s="99"/>
      <c r="AD19" s="99"/>
      <c r="AE19" s="99"/>
      <c r="AF19" s="97"/>
      <c r="AG19" s="77">
        <f t="shared" si="1"/>
        <v>4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174</v>
      </c>
      <c r="B20" s="100" t="s">
        <v>91</v>
      </c>
      <c r="C20" s="99"/>
      <c r="D20" s="97"/>
      <c r="E20" s="99"/>
      <c r="F20" s="97"/>
      <c r="G20" s="99"/>
      <c r="H20" s="99"/>
      <c r="I20" s="99">
        <v>1</v>
      </c>
      <c r="J20" s="99"/>
      <c r="K20" s="97"/>
      <c r="L20" s="99"/>
      <c r="M20" s="97"/>
      <c r="N20" s="99"/>
      <c r="O20" s="99"/>
      <c r="P20" s="99">
        <v>1</v>
      </c>
      <c r="Q20" s="99"/>
      <c r="R20" s="97"/>
      <c r="S20" s="99"/>
      <c r="T20" s="97"/>
      <c r="U20" s="99"/>
      <c r="V20" s="99"/>
      <c r="W20" s="99"/>
      <c r="X20" s="99"/>
      <c r="Y20" s="97"/>
      <c r="Z20" s="99">
        <v>1</v>
      </c>
      <c r="AA20" s="97"/>
      <c r="AB20" s="99">
        <v>1</v>
      </c>
      <c r="AC20" s="99"/>
      <c r="AD20" s="99"/>
      <c r="AE20" s="99"/>
      <c r="AF20" s="97"/>
      <c r="AG20" s="77">
        <f t="shared" si="1"/>
        <v>4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柔柔</v>
      </c>
      <c r="AJ20" s="80"/>
    </row>
    <row r="21" spans="1:36" ht="18" customHeight="1">
      <c r="A21" s="99" t="s">
        <v>174</v>
      </c>
      <c r="B21" s="100" t="s">
        <v>92</v>
      </c>
      <c r="C21" s="99">
        <v>1</v>
      </c>
      <c r="D21" s="97"/>
      <c r="E21" s="99">
        <v>1</v>
      </c>
      <c r="F21" s="97"/>
      <c r="G21" s="99"/>
      <c r="H21" s="99"/>
      <c r="I21" s="99"/>
      <c r="J21" s="99">
        <v>1</v>
      </c>
      <c r="K21" s="97"/>
      <c r="L21" s="99"/>
      <c r="M21" s="97"/>
      <c r="N21" s="99"/>
      <c r="O21" s="99"/>
      <c r="P21" s="99"/>
      <c r="Q21" s="99"/>
      <c r="R21" s="97"/>
      <c r="S21" s="99">
        <v>1</v>
      </c>
      <c r="T21" s="97"/>
      <c r="U21" s="99"/>
      <c r="V21" s="99"/>
      <c r="W21" s="99"/>
      <c r="X21" s="99"/>
      <c r="Y21" s="97"/>
      <c r="Z21" s="99"/>
      <c r="AA21" s="97"/>
      <c r="AB21" s="99"/>
      <c r="AC21" s="99"/>
      <c r="AD21" s="99"/>
      <c r="AE21" s="99"/>
      <c r="AF21" s="97"/>
      <c r="AG21" s="77">
        <f t="shared" si="1"/>
        <v>4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婉晴</v>
      </c>
      <c r="AJ21" s="80"/>
    </row>
    <row r="22" spans="1:36" ht="18" customHeight="1">
      <c r="A22" s="99" t="s">
        <v>174</v>
      </c>
      <c r="B22" s="100" t="s">
        <v>93</v>
      </c>
      <c r="C22" s="99"/>
      <c r="D22" s="97"/>
      <c r="E22" s="99"/>
      <c r="F22" s="97"/>
      <c r="G22" s="99"/>
      <c r="H22" s="99"/>
      <c r="I22" s="99"/>
      <c r="J22" s="99"/>
      <c r="K22" s="97"/>
      <c r="L22" s="99"/>
      <c r="M22" s="97"/>
      <c r="N22" s="99"/>
      <c r="O22" s="99"/>
      <c r="P22" s="99"/>
      <c r="Q22" s="99"/>
      <c r="R22" s="97"/>
      <c r="S22" s="99"/>
      <c r="T22" s="97"/>
      <c r="U22" s="99"/>
      <c r="V22" s="99"/>
      <c r="W22" s="99"/>
      <c r="X22" s="99">
        <v>1</v>
      </c>
      <c r="Y22" s="97"/>
      <c r="Z22" s="99">
        <v>1</v>
      </c>
      <c r="AA22" s="97"/>
      <c r="AB22" s="99"/>
      <c r="AC22" s="99"/>
      <c r="AD22" s="99"/>
      <c r="AE22" s="99">
        <v>1</v>
      </c>
      <c r="AF22" s="97"/>
      <c r="AG22" s="77">
        <f t="shared" si="1"/>
        <v>2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97"/>
      <c r="E23" s="99"/>
      <c r="F23" s="97"/>
      <c r="G23" s="99"/>
      <c r="H23" s="99"/>
      <c r="I23" s="99"/>
      <c r="J23" s="99"/>
      <c r="K23" s="97"/>
      <c r="L23" s="99"/>
      <c r="M23" s="97"/>
      <c r="N23" s="99"/>
      <c r="O23" s="99"/>
      <c r="P23" s="99"/>
      <c r="Q23" s="99"/>
      <c r="R23" s="97"/>
      <c r="S23" s="99"/>
      <c r="T23" s="97"/>
      <c r="U23" s="99"/>
      <c r="V23" s="99"/>
      <c r="W23" s="99"/>
      <c r="X23" s="99"/>
      <c r="Y23" s="97"/>
      <c r="Z23" s="99"/>
      <c r="AA23" s="97"/>
      <c r="AB23" s="99"/>
      <c r="AC23" s="99"/>
      <c r="AD23" s="99"/>
      <c r="AE23" s="99"/>
      <c r="AF23" s="97"/>
      <c r="AG23" s="77">
        <f t="shared" si="1"/>
        <v>0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97"/>
      <c r="E24" s="99"/>
      <c r="F24" s="97"/>
      <c r="G24" s="99"/>
      <c r="H24" s="99"/>
      <c r="I24" s="99"/>
      <c r="J24" s="99"/>
      <c r="K24" s="97"/>
      <c r="L24" s="99">
        <v>1</v>
      </c>
      <c r="M24" s="97"/>
      <c r="N24" s="99"/>
      <c r="O24" s="99"/>
      <c r="P24" s="99"/>
      <c r="Q24" s="99"/>
      <c r="R24" s="97"/>
      <c r="S24" s="99"/>
      <c r="T24" s="97"/>
      <c r="U24" s="99"/>
      <c r="V24" s="99"/>
      <c r="W24" s="99"/>
      <c r="X24" s="99"/>
      <c r="Y24" s="97"/>
      <c r="Z24" s="99"/>
      <c r="AA24" s="97"/>
      <c r="AB24" s="99"/>
      <c r="AC24" s="99"/>
      <c r="AD24" s="99"/>
      <c r="AE24" s="99"/>
      <c r="AF24" s="97"/>
      <c r="AG24" s="77">
        <f t="shared" si="1"/>
        <v>1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高麗菜</v>
      </c>
      <c r="AJ24" s="80"/>
    </row>
    <row r="25" spans="1:36" ht="18" customHeight="1">
      <c r="A25" s="99" t="s">
        <v>174</v>
      </c>
      <c r="B25" s="100" t="s">
        <v>113</v>
      </c>
      <c r="C25" s="99"/>
      <c r="D25" s="97"/>
      <c r="E25" s="99"/>
      <c r="F25" s="97"/>
      <c r="G25" s="99"/>
      <c r="H25" s="99"/>
      <c r="I25" s="99"/>
      <c r="J25" s="99"/>
      <c r="K25" s="97"/>
      <c r="L25" s="99"/>
      <c r="M25" s="97"/>
      <c r="N25" s="99"/>
      <c r="O25" s="99"/>
      <c r="P25" s="99"/>
      <c r="Q25" s="99"/>
      <c r="R25" s="97"/>
      <c r="S25" s="99"/>
      <c r="T25" s="97"/>
      <c r="U25" s="99"/>
      <c r="V25" s="99"/>
      <c r="W25" s="99"/>
      <c r="X25" s="99"/>
      <c r="Y25" s="97"/>
      <c r="Z25" s="99"/>
      <c r="AA25" s="97"/>
      <c r="AB25" s="99"/>
      <c r="AC25" s="99"/>
      <c r="AD25" s="99"/>
      <c r="AE25" s="99"/>
      <c r="AF25" s="97"/>
      <c r="AG25" s="77">
        <f t="shared" si="1"/>
        <v>0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容容</v>
      </c>
      <c r="AJ25" s="82"/>
    </row>
    <row r="26" spans="1:36" ht="18" customHeight="1">
      <c r="A26" s="99" t="s">
        <v>174</v>
      </c>
      <c r="B26" s="100" t="s">
        <v>94</v>
      </c>
      <c r="C26" s="99"/>
      <c r="D26" s="97"/>
      <c r="E26" s="99"/>
      <c r="F26" s="97"/>
      <c r="G26" s="99"/>
      <c r="H26" s="99"/>
      <c r="I26" s="99"/>
      <c r="J26" s="99"/>
      <c r="K26" s="97"/>
      <c r="L26" s="99"/>
      <c r="M26" s="97"/>
      <c r="N26" s="99"/>
      <c r="O26" s="99"/>
      <c r="P26" s="99"/>
      <c r="Q26" s="99"/>
      <c r="R26" s="97"/>
      <c r="S26" s="99"/>
      <c r="T26" s="97"/>
      <c r="U26" s="99"/>
      <c r="V26" s="99"/>
      <c r="W26" s="99"/>
      <c r="X26" s="99"/>
      <c r="Y26" s="97"/>
      <c r="Z26" s="99"/>
      <c r="AA26" s="97"/>
      <c r="AB26" s="99"/>
      <c r="AC26" s="99"/>
      <c r="AD26" s="99"/>
      <c r="AE26" s="99"/>
      <c r="AF26" s="97"/>
      <c r="AG26" s="77">
        <f t="shared" si="1"/>
        <v>0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小花</v>
      </c>
      <c r="AJ26" s="80"/>
    </row>
    <row r="27" spans="1:36" ht="18" customHeight="1">
      <c r="A27" s="99" t="s">
        <v>174</v>
      </c>
      <c r="B27" s="100" t="s">
        <v>95</v>
      </c>
      <c r="C27" s="99"/>
      <c r="D27" s="97"/>
      <c r="E27" s="99">
        <v>1</v>
      </c>
      <c r="F27" s="97"/>
      <c r="G27" s="99">
        <v>1</v>
      </c>
      <c r="H27" s="99">
        <v>1</v>
      </c>
      <c r="I27" s="99"/>
      <c r="J27" s="99">
        <v>1</v>
      </c>
      <c r="K27" s="97"/>
      <c r="L27" s="99">
        <v>1</v>
      </c>
      <c r="M27" s="97"/>
      <c r="N27" s="99">
        <v>1</v>
      </c>
      <c r="O27" s="99"/>
      <c r="P27" s="99"/>
      <c r="Q27" s="99">
        <v>1</v>
      </c>
      <c r="R27" s="97"/>
      <c r="S27" s="99">
        <v>1</v>
      </c>
      <c r="T27" s="97"/>
      <c r="U27" s="99">
        <v>1</v>
      </c>
      <c r="V27" s="99"/>
      <c r="W27" s="99">
        <v>1</v>
      </c>
      <c r="X27" s="99">
        <v>1</v>
      </c>
      <c r="Y27" s="97"/>
      <c r="Z27" s="99">
        <v>1</v>
      </c>
      <c r="AA27" s="97"/>
      <c r="AB27" s="99">
        <v>1</v>
      </c>
      <c r="AC27" s="99"/>
      <c r="AD27" s="99"/>
      <c r="AE27" s="99"/>
      <c r="AF27" s="97"/>
      <c r="AG27" s="77">
        <f t="shared" si="1"/>
        <v>13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2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97"/>
      <c r="E28" s="99"/>
      <c r="F28" s="97"/>
      <c r="G28" s="99"/>
      <c r="H28" s="99"/>
      <c r="I28" s="99"/>
      <c r="J28" s="99"/>
      <c r="K28" s="97"/>
      <c r="L28" s="99"/>
      <c r="M28" s="97"/>
      <c r="N28" s="99"/>
      <c r="O28" s="99"/>
      <c r="P28" s="99"/>
      <c r="Q28" s="99"/>
      <c r="R28" s="97"/>
      <c r="S28" s="99"/>
      <c r="T28" s="97"/>
      <c r="U28" s="99"/>
      <c r="V28" s="99"/>
      <c r="W28" s="99"/>
      <c r="X28" s="99"/>
      <c r="Y28" s="97"/>
      <c r="Z28" s="99"/>
      <c r="AA28" s="97"/>
      <c r="AB28" s="99"/>
      <c r="AC28" s="99"/>
      <c r="AD28" s="99"/>
      <c r="AE28" s="99"/>
      <c r="AF28" s="97"/>
      <c r="AG28" s="77">
        <f t="shared" si="1"/>
        <v>0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2"/>
        <v>飛飛</v>
      </c>
      <c r="AJ28" s="81"/>
    </row>
    <row r="29" spans="1:36" ht="18" customHeight="1">
      <c r="A29" s="99" t="s">
        <v>174</v>
      </c>
      <c r="B29" s="100" t="s">
        <v>147</v>
      </c>
      <c r="C29" s="99"/>
      <c r="D29" s="97"/>
      <c r="E29" s="99">
        <v>1</v>
      </c>
      <c r="F29" s="97"/>
      <c r="G29" s="99"/>
      <c r="H29" s="99"/>
      <c r="I29" s="99"/>
      <c r="J29" s="99"/>
      <c r="K29" s="97"/>
      <c r="L29" s="99">
        <v>1</v>
      </c>
      <c r="M29" s="97"/>
      <c r="N29" s="99">
        <v>1</v>
      </c>
      <c r="O29" s="99"/>
      <c r="P29" s="99"/>
      <c r="Q29" s="99">
        <v>1</v>
      </c>
      <c r="R29" s="97"/>
      <c r="S29" s="99"/>
      <c r="T29" s="97"/>
      <c r="U29" s="99"/>
      <c r="V29" s="99"/>
      <c r="W29" s="99"/>
      <c r="X29" s="99"/>
      <c r="Y29" s="97"/>
      <c r="Z29" s="99"/>
      <c r="AA29" s="97"/>
      <c r="AB29" s="99"/>
      <c r="AC29" s="99"/>
      <c r="AD29" s="99"/>
      <c r="AE29" s="99"/>
      <c r="AF29" s="97"/>
      <c r="AG29" s="77">
        <f t="shared" si="1"/>
        <v>4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2"/>
        <v>湘苡</v>
      </c>
      <c r="AJ29" s="80"/>
    </row>
    <row r="30" spans="1:36" ht="18" customHeight="1">
      <c r="A30" s="99" t="s">
        <v>174</v>
      </c>
      <c r="B30" s="100" t="s">
        <v>148</v>
      </c>
      <c r="C30" s="99"/>
      <c r="D30" s="97"/>
      <c r="E30" s="99">
        <v>1</v>
      </c>
      <c r="F30" s="97"/>
      <c r="G30" s="99"/>
      <c r="H30" s="99"/>
      <c r="I30" s="99"/>
      <c r="J30" s="99"/>
      <c r="K30" s="97"/>
      <c r="L30" s="99"/>
      <c r="M30" s="97"/>
      <c r="N30" s="99"/>
      <c r="O30" s="99"/>
      <c r="P30" s="99"/>
      <c r="Q30" s="99">
        <v>1</v>
      </c>
      <c r="R30" s="97"/>
      <c r="S30" s="99"/>
      <c r="T30" s="97"/>
      <c r="U30" s="99"/>
      <c r="V30" s="99"/>
      <c r="W30" s="99"/>
      <c r="X30" s="99"/>
      <c r="Y30" s="97"/>
      <c r="Z30" s="99"/>
      <c r="AA30" s="97"/>
      <c r="AB30" s="99"/>
      <c r="AC30" s="99"/>
      <c r="AD30" s="99"/>
      <c r="AE30" s="99"/>
      <c r="AF30" s="97"/>
      <c r="AG30" s="77">
        <f t="shared" si="1"/>
        <v>2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2"/>
        <v>雅雅</v>
      </c>
      <c r="AJ30" s="82"/>
    </row>
    <row r="31" spans="1:36" ht="18" customHeight="1">
      <c r="A31" s="101" t="s">
        <v>174</v>
      </c>
      <c r="B31" s="102" t="s">
        <v>103</v>
      </c>
      <c r="C31" s="101"/>
      <c r="D31" s="97"/>
      <c r="E31" s="101">
        <v>1</v>
      </c>
      <c r="F31" s="97"/>
      <c r="G31" s="101">
        <v>1</v>
      </c>
      <c r="H31" s="101">
        <v>1</v>
      </c>
      <c r="I31" s="101"/>
      <c r="J31" s="101">
        <v>1</v>
      </c>
      <c r="K31" s="97"/>
      <c r="L31" s="101">
        <v>1</v>
      </c>
      <c r="M31" s="97"/>
      <c r="N31" s="101">
        <v>1</v>
      </c>
      <c r="O31" s="101"/>
      <c r="P31" s="101"/>
      <c r="Q31" s="101">
        <v>1</v>
      </c>
      <c r="R31" s="97"/>
      <c r="S31" s="101"/>
      <c r="T31" s="97"/>
      <c r="U31" s="101">
        <v>1</v>
      </c>
      <c r="V31" s="101"/>
      <c r="W31" s="101"/>
      <c r="X31" s="101"/>
      <c r="Y31" s="97"/>
      <c r="Z31" s="101">
        <v>1</v>
      </c>
      <c r="AA31" s="97"/>
      <c r="AB31" s="101">
        <v>1</v>
      </c>
      <c r="AC31" s="101"/>
      <c r="AD31" s="101"/>
      <c r="AE31" s="101">
        <v>1</v>
      </c>
      <c r="AF31" s="97"/>
      <c r="AG31" s="86">
        <f t="shared" si="1"/>
        <v>10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圈圈</v>
      </c>
      <c r="AJ31" s="90"/>
    </row>
    <row r="32" spans="1:36" ht="18" customHeight="1">
      <c r="A32" s="101" t="s">
        <v>174</v>
      </c>
      <c r="B32" s="102" t="s">
        <v>104</v>
      </c>
      <c r="C32" s="101"/>
      <c r="D32" s="97"/>
      <c r="E32" s="101">
        <v>1</v>
      </c>
      <c r="F32" s="97"/>
      <c r="G32" s="101">
        <v>1</v>
      </c>
      <c r="H32" s="101">
        <v>1</v>
      </c>
      <c r="I32" s="101"/>
      <c r="J32" s="101"/>
      <c r="K32" s="97"/>
      <c r="L32" s="101">
        <v>1</v>
      </c>
      <c r="M32" s="97"/>
      <c r="N32" s="101"/>
      <c r="O32" s="101"/>
      <c r="P32" s="101"/>
      <c r="Q32" s="101">
        <v>1</v>
      </c>
      <c r="R32" s="97"/>
      <c r="S32" s="101"/>
      <c r="T32" s="97"/>
      <c r="U32" s="101"/>
      <c r="V32" s="101"/>
      <c r="W32" s="101"/>
      <c r="X32" s="101"/>
      <c r="Y32" s="97"/>
      <c r="Z32" s="101">
        <v>1</v>
      </c>
      <c r="AA32" s="97"/>
      <c r="AB32" s="101">
        <v>1</v>
      </c>
      <c r="AC32" s="101"/>
      <c r="AD32" s="101"/>
      <c r="AE32" s="101"/>
      <c r="AF32" s="97"/>
      <c r="AG32" s="86">
        <f t="shared" si="1"/>
        <v>7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2"/>
        <v>卡丘</v>
      </c>
      <c r="AJ32" s="90"/>
    </row>
    <row r="33" spans="1:36" ht="18" customHeight="1">
      <c r="A33" s="101" t="s">
        <v>174</v>
      </c>
      <c r="B33" s="102" t="s">
        <v>105</v>
      </c>
      <c r="C33" s="101"/>
      <c r="D33" s="97"/>
      <c r="E33" s="101"/>
      <c r="F33" s="97"/>
      <c r="G33" s="101"/>
      <c r="H33" s="101"/>
      <c r="I33" s="101"/>
      <c r="J33" s="101"/>
      <c r="K33" s="97"/>
      <c r="L33" s="101">
        <v>1</v>
      </c>
      <c r="M33" s="97"/>
      <c r="N33" s="101"/>
      <c r="O33" s="101"/>
      <c r="P33" s="101"/>
      <c r="Q33" s="101">
        <v>1</v>
      </c>
      <c r="R33" s="97"/>
      <c r="S33" s="101"/>
      <c r="T33" s="97"/>
      <c r="U33" s="101"/>
      <c r="V33" s="101"/>
      <c r="W33" s="101"/>
      <c r="X33" s="101"/>
      <c r="Y33" s="97"/>
      <c r="Z33" s="101"/>
      <c r="AA33" s="97"/>
      <c r="AB33" s="101"/>
      <c r="AC33" s="101"/>
      <c r="AD33" s="101"/>
      <c r="AE33" s="101"/>
      <c r="AF33" s="97"/>
      <c r="AG33" s="86">
        <f t="shared" si="1"/>
        <v>2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2"/>
        <v>琬蓁</v>
      </c>
      <c r="AJ33" s="90"/>
    </row>
    <row r="34" spans="1:36" ht="18" customHeight="1">
      <c r="A34" s="101" t="s">
        <v>174</v>
      </c>
      <c r="B34" s="102" t="s">
        <v>116</v>
      </c>
      <c r="C34" s="101"/>
      <c r="D34" s="97"/>
      <c r="E34" s="101">
        <v>1</v>
      </c>
      <c r="F34" s="97"/>
      <c r="G34" s="101"/>
      <c r="H34" s="101"/>
      <c r="I34" s="101"/>
      <c r="J34" s="101"/>
      <c r="K34" s="97"/>
      <c r="L34" s="101"/>
      <c r="M34" s="97"/>
      <c r="N34" s="101"/>
      <c r="O34" s="101"/>
      <c r="P34" s="101"/>
      <c r="Q34" s="101"/>
      <c r="R34" s="97"/>
      <c r="S34" s="101"/>
      <c r="T34" s="97"/>
      <c r="U34" s="101"/>
      <c r="V34" s="101"/>
      <c r="W34" s="101"/>
      <c r="X34" s="101"/>
      <c r="Y34" s="97"/>
      <c r="Z34" s="101"/>
      <c r="AA34" s="97"/>
      <c r="AB34" s="101"/>
      <c r="AC34" s="101"/>
      <c r="AD34" s="101"/>
      <c r="AE34" s="101"/>
      <c r="AF34" s="97"/>
      <c r="AG34" s="86">
        <f t="shared" si="1"/>
        <v>1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2"/>
        <v>大汪</v>
      </c>
      <c r="AJ34" s="89"/>
    </row>
    <row r="35" spans="1:36" ht="18" customHeight="1">
      <c r="A35" s="101" t="s">
        <v>174</v>
      </c>
      <c r="B35" s="102" t="s">
        <v>117</v>
      </c>
      <c r="C35" s="101"/>
      <c r="D35" s="97"/>
      <c r="E35" s="101"/>
      <c r="F35" s="97"/>
      <c r="G35" s="101"/>
      <c r="H35" s="101"/>
      <c r="I35" s="101"/>
      <c r="J35" s="101"/>
      <c r="K35" s="97"/>
      <c r="L35" s="101"/>
      <c r="M35" s="97"/>
      <c r="N35" s="101"/>
      <c r="O35" s="101"/>
      <c r="P35" s="101"/>
      <c r="Q35" s="101"/>
      <c r="R35" s="97"/>
      <c r="S35" s="101"/>
      <c r="T35" s="97"/>
      <c r="U35" s="101"/>
      <c r="V35" s="101"/>
      <c r="W35" s="101"/>
      <c r="X35" s="101"/>
      <c r="Y35" s="97"/>
      <c r="Z35" s="101"/>
      <c r="AA35" s="97"/>
      <c r="AB35" s="101"/>
      <c r="AC35" s="101"/>
      <c r="AD35" s="101"/>
      <c r="AE35" s="101"/>
      <c r="AF35" s="97"/>
      <c r="AG35" s="86">
        <f t="shared" si="1"/>
        <v>0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2"/>
        <v>依凡</v>
      </c>
      <c r="AJ35" s="89"/>
    </row>
    <row r="36" spans="1:36" ht="18" customHeight="1">
      <c r="A36" s="101" t="s">
        <v>174</v>
      </c>
      <c r="B36" s="102" t="s">
        <v>118</v>
      </c>
      <c r="C36" s="101"/>
      <c r="D36" s="97"/>
      <c r="E36" s="101"/>
      <c r="F36" s="97"/>
      <c r="G36" s="101"/>
      <c r="H36" s="101"/>
      <c r="I36" s="101"/>
      <c r="J36" s="101"/>
      <c r="K36" s="97"/>
      <c r="L36" s="101"/>
      <c r="M36" s="97"/>
      <c r="N36" s="101"/>
      <c r="O36" s="101"/>
      <c r="P36" s="101"/>
      <c r="Q36" s="101"/>
      <c r="R36" s="97"/>
      <c r="S36" s="101"/>
      <c r="T36" s="97"/>
      <c r="U36" s="101"/>
      <c r="V36" s="101"/>
      <c r="W36" s="101"/>
      <c r="X36" s="101"/>
      <c r="Y36" s="97"/>
      <c r="Z36" s="101"/>
      <c r="AA36" s="97"/>
      <c r="AB36" s="101"/>
      <c r="AC36" s="101"/>
      <c r="AD36" s="101"/>
      <c r="AE36" s="101"/>
      <c r="AF36" s="97"/>
      <c r="AG36" s="86">
        <f t="shared" ref="AG36:AG67" si="3">COUNTA(C36:AD36)</f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4">B36</f>
        <v>雅筑</v>
      </c>
      <c r="AJ36" s="89"/>
    </row>
    <row r="37" spans="1:36" ht="18" customHeight="1">
      <c r="A37" s="101" t="s">
        <v>174</v>
      </c>
      <c r="B37" s="102" t="s">
        <v>119</v>
      </c>
      <c r="C37" s="101"/>
      <c r="D37" s="97"/>
      <c r="E37" s="101"/>
      <c r="F37" s="97"/>
      <c r="G37" s="101">
        <v>1</v>
      </c>
      <c r="H37" s="101"/>
      <c r="I37" s="101"/>
      <c r="J37" s="101"/>
      <c r="K37" s="97"/>
      <c r="L37" s="101"/>
      <c r="M37" s="97"/>
      <c r="N37" s="101">
        <v>1</v>
      </c>
      <c r="O37" s="101"/>
      <c r="P37" s="101"/>
      <c r="Q37" s="101">
        <v>1</v>
      </c>
      <c r="R37" s="97"/>
      <c r="S37" s="101"/>
      <c r="T37" s="97"/>
      <c r="U37" s="101"/>
      <c r="V37" s="101"/>
      <c r="W37" s="101"/>
      <c r="X37" s="101"/>
      <c r="Y37" s="97"/>
      <c r="Z37" s="101"/>
      <c r="AA37" s="97"/>
      <c r="AB37" s="101"/>
      <c r="AC37" s="101"/>
      <c r="AD37" s="101"/>
      <c r="AE37" s="101"/>
      <c r="AF37" s="97"/>
      <c r="AG37" s="86">
        <f t="shared" si="3"/>
        <v>3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4"/>
        <v>ABBY</v>
      </c>
      <c r="AJ37" s="90"/>
    </row>
    <row r="38" spans="1:36" ht="18" customHeight="1">
      <c r="A38" s="101" t="s">
        <v>174</v>
      </c>
      <c r="B38" s="102" t="s">
        <v>120</v>
      </c>
      <c r="C38" s="101"/>
      <c r="D38" s="97"/>
      <c r="E38" s="101"/>
      <c r="F38" s="97"/>
      <c r="G38" s="101"/>
      <c r="H38" s="101"/>
      <c r="I38" s="101"/>
      <c r="J38" s="101"/>
      <c r="K38" s="97"/>
      <c r="L38" s="101"/>
      <c r="M38" s="97"/>
      <c r="N38" s="101"/>
      <c r="O38" s="101"/>
      <c r="P38" s="101"/>
      <c r="Q38" s="101"/>
      <c r="R38" s="97"/>
      <c r="S38" s="101"/>
      <c r="T38" s="97"/>
      <c r="U38" s="101"/>
      <c r="V38" s="101"/>
      <c r="W38" s="101"/>
      <c r="X38" s="101"/>
      <c r="Y38" s="97"/>
      <c r="Z38" s="101"/>
      <c r="AA38" s="97"/>
      <c r="AB38" s="101">
        <v>1</v>
      </c>
      <c r="AC38" s="101"/>
      <c r="AD38" s="101"/>
      <c r="AE38" s="101"/>
      <c r="AF38" s="97"/>
      <c r="AG38" s="86">
        <f t="shared" si="3"/>
        <v>1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4"/>
        <v>品君</v>
      </c>
      <c r="AJ38" s="90"/>
    </row>
    <row r="39" spans="1:36" ht="18" customHeight="1">
      <c r="A39" s="101" t="s">
        <v>174</v>
      </c>
      <c r="B39" s="102" t="s">
        <v>121</v>
      </c>
      <c r="C39" s="101"/>
      <c r="D39" s="97"/>
      <c r="E39" s="101"/>
      <c r="F39" s="97"/>
      <c r="G39" s="101"/>
      <c r="H39" s="101"/>
      <c r="I39" s="101"/>
      <c r="J39" s="101"/>
      <c r="K39" s="97"/>
      <c r="L39" s="101"/>
      <c r="M39" s="97"/>
      <c r="N39" s="101"/>
      <c r="O39" s="101"/>
      <c r="P39" s="101"/>
      <c r="Q39" s="101"/>
      <c r="R39" s="97"/>
      <c r="S39" s="101"/>
      <c r="T39" s="97"/>
      <c r="U39" s="101"/>
      <c r="V39" s="101"/>
      <c r="W39" s="101"/>
      <c r="X39" s="101"/>
      <c r="Y39" s="97"/>
      <c r="Z39" s="101">
        <v>1</v>
      </c>
      <c r="AA39" s="97"/>
      <c r="AB39" s="101"/>
      <c r="AC39" s="101"/>
      <c r="AD39" s="101"/>
      <c r="AE39" s="101"/>
      <c r="AF39" s="97"/>
      <c r="AG39" s="86">
        <f t="shared" si="3"/>
        <v>1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4"/>
        <v>冰沙</v>
      </c>
      <c r="AJ39" s="90"/>
    </row>
    <row r="40" spans="1:36" ht="18" customHeight="1">
      <c r="A40" s="101" t="s">
        <v>174</v>
      </c>
      <c r="B40" s="102" t="s">
        <v>122</v>
      </c>
      <c r="C40" s="101"/>
      <c r="D40" s="97"/>
      <c r="E40" s="101"/>
      <c r="F40" s="97"/>
      <c r="G40" s="101"/>
      <c r="H40" s="101"/>
      <c r="I40" s="101"/>
      <c r="J40" s="101"/>
      <c r="K40" s="97"/>
      <c r="L40" s="101"/>
      <c r="M40" s="97"/>
      <c r="N40" s="101"/>
      <c r="O40" s="101"/>
      <c r="P40" s="101"/>
      <c r="Q40" s="101"/>
      <c r="R40" s="97"/>
      <c r="S40" s="101"/>
      <c r="T40" s="97"/>
      <c r="U40" s="101"/>
      <c r="V40" s="101"/>
      <c r="W40" s="101"/>
      <c r="X40" s="101"/>
      <c r="Y40" s="97"/>
      <c r="Z40" s="101"/>
      <c r="AA40" s="97"/>
      <c r="AB40" s="101"/>
      <c r="AC40" s="101"/>
      <c r="AD40" s="101"/>
      <c r="AE40" s="101"/>
      <c r="AF40" s="97"/>
      <c r="AG40" s="86">
        <f t="shared" si="3"/>
        <v>0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4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97"/>
      <c r="E41" s="101"/>
      <c r="F41" s="97"/>
      <c r="G41" s="101"/>
      <c r="H41" s="101"/>
      <c r="I41" s="101"/>
      <c r="J41" s="101"/>
      <c r="K41" s="97"/>
      <c r="L41" s="101"/>
      <c r="M41" s="97"/>
      <c r="N41" s="101"/>
      <c r="O41" s="101"/>
      <c r="P41" s="101"/>
      <c r="Q41" s="101"/>
      <c r="R41" s="97"/>
      <c r="S41" s="101"/>
      <c r="T41" s="97"/>
      <c r="U41" s="101"/>
      <c r="V41" s="101"/>
      <c r="W41" s="101"/>
      <c r="X41" s="101"/>
      <c r="Y41" s="97"/>
      <c r="Z41" s="101"/>
      <c r="AA41" s="97"/>
      <c r="AB41" s="101"/>
      <c r="AC41" s="101"/>
      <c r="AD41" s="101"/>
      <c r="AE41" s="101"/>
      <c r="AF41" s="97"/>
      <c r="AG41" s="86">
        <f t="shared" si="3"/>
        <v>0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4"/>
        <v>瑤瑤</v>
      </c>
      <c r="AJ41" s="89"/>
    </row>
    <row r="42" spans="1:36" ht="18" customHeight="1">
      <c r="A42" s="95" t="s">
        <v>58</v>
      </c>
      <c r="B42" s="96" t="s">
        <v>23</v>
      </c>
      <c r="C42" s="95"/>
      <c r="D42" s="97"/>
      <c r="E42" s="95"/>
      <c r="F42" s="97"/>
      <c r="G42" s="95"/>
      <c r="H42" s="95"/>
      <c r="I42" s="95">
        <v>1</v>
      </c>
      <c r="J42" s="95"/>
      <c r="K42" s="97"/>
      <c r="L42" s="95"/>
      <c r="M42" s="97"/>
      <c r="N42" s="95"/>
      <c r="O42" s="95"/>
      <c r="P42" s="95">
        <v>1</v>
      </c>
      <c r="Q42" s="95"/>
      <c r="R42" s="97"/>
      <c r="S42" s="95"/>
      <c r="T42" s="97"/>
      <c r="U42" s="95"/>
      <c r="V42" s="95"/>
      <c r="W42" s="95">
        <v>1</v>
      </c>
      <c r="X42" s="95"/>
      <c r="Y42" s="97"/>
      <c r="Z42" s="95">
        <v>1</v>
      </c>
      <c r="AA42" s="97"/>
      <c r="AB42" s="95">
        <v>1</v>
      </c>
      <c r="AC42" s="95"/>
      <c r="AD42" s="95"/>
      <c r="AE42" s="95"/>
      <c r="AF42" s="97"/>
      <c r="AG42" s="66">
        <f t="shared" si="3"/>
        <v>5</v>
      </c>
      <c r="AH42" s="68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69" t="str">
        <f t="shared" si="4"/>
        <v>ㄈㄈ</v>
      </c>
      <c r="AJ42" s="70"/>
    </row>
    <row r="43" spans="1:36" ht="18" customHeight="1">
      <c r="A43" s="95" t="s">
        <v>58</v>
      </c>
      <c r="B43" s="96" t="s">
        <v>24</v>
      </c>
      <c r="C43" s="95"/>
      <c r="D43" s="97"/>
      <c r="E43" s="95">
        <v>1</v>
      </c>
      <c r="F43" s="97"/>
      <c r="G43" s="95"/>
      <c r="H43" s="95">
        <v>1</v>
      </c>
      <c r="I43" s="95"/>
      <c r="J43" s="95">
        <v>1</v>
      </c>
      <c r="K43" s="97"/>
      <c r="L43" s="95">
        <v>1</v>
      </c>
      <c r="M43" s="97"/>
      <c r="N43" s="95"/>
      <c r="O43" s="95">
        <v>1</v>
      </c>
      <c r="P43" s="95"/>
      <c r="Q43" s="95">
        <v>1</v>
      </c>
      <c r="R43" s="97"/>
      <c r="S43" s="95"/>
      <c r="T43" s="97"/>
      <c r="U43" s="95"/>
      <c r="V43" s="95"/>
      <c r="W43" s="95"/>
      <c r="X43" s="95"/>
      <c r="Y43" s="97"/>
      <c r="Z43" s="95"/>
      <c r="AA43" s="97"/>
      <c r="AB43" s="95"/>
      <c r="AC43" s="95"/>
      <c r="AD43" s="95"/>
      <c r="AE43" s="95"/>
      <c r="AF43" s="97"/>
      <c r="AG43" s="66">
        <f t="shared" si="3"/>
        <v>6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71" t="str">
        <f t="shared" si="4"/>
        <v>大熊</v>
      </c>
      <c r="AJ43" s="73"/>
    </row>
    <row r="44" spans="1:36" ht="18" customHeight="1">
      <c r="A44" s="95" t="s">
        <v>58</v>
      </c>
      <c r="B44" s="96" t="s">
        <v>64</v>
      </c>
      <c r="C44" s="95"/>
      <c r="D44" s="97"/>
      <c r="E44" s="95"/>
      <c r="F44" s="97"/>
      <c r="G44" s="95"/>
      <c r="H44" s="95"/>
      <c r="I44" s="95"/>
      <c r="J44" s="95">
        <v>1</v>
      </c>
      <c r="K44" s="97"/>
      <c r="L44" s="95">
        <v>1</v>
      </c>
      <c r="M44" s="97"/>
      <c r="N44" s="95"/>
      <c r="O44" s="95"/>
      <c r="P44" s="95"/>
      <c r="Q44" s="95"/>
      <c r="R44" s="97"/>
      <c r="S44" s="95">
        <v>1</v>
      </c>
      <c r="T44" s="97"/>
      <c r="U44" s="95"/>
      <c r="V44" s="95"/>
      <c r="W44" s="95"/>
      <c r="X44" s="95"/>
      <c r="Y44" s="97"/>
      <c r="Z44" s="95"/>
      <c r="AA44" s="97"/>
      <c r="AB44" s="95"/>
      <c r="AC44" s="95"/>
      <c r="AD44" s="95"/>
      <c r="AE44" s="95"/>
      <c r="AF44" s="97"/>
      <c r="AG44" s="66">
        <f t="shared" si="3"/>
        <v>3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4"/>
        <v>園棠</v>
      </c>
      <c r="AJ44" s="73"/>
    </row>
    <row r="45" spans="1:36" ht="18" customHeight="1">
      <c r="A45" s="95" t="s">
        <v>58</v>
      </c>
      <c r="B45" s="96" t="s">
        <v>178</v>
      </c>
      <c r="C45" s="95">
        <v>1</v>
      </c>
      <c r="D45" s="97"/>
      <c r="E45" s="95"/>
      <c r="F45" s="97"/>
      <c r="G45" s="95"/>
      <c r="H45" s="95"/>
      <c r="I45" s="95"/>
      <c r="J45" s="95">
        <v>1</v>
      </c>
      <c r="K45" s="97"/>
      <c r="L45" s="95"/>
      <c r="M45" s="97"/>
      <c r="N45" s="95"/>
      <c r="O45" s="95">
        <v>1</v>
      </c>
      <c r="P45" s="95"/>
      <c r="Q45" s="95">
        <v>1</v>
      </c>
      <c r="R45" s="97"/>
      <c r="S45" s="95"/>
      <c r="T45" s="97"/>
      <c r="U45" s="95">
        <v>1</v>
      </c>
      <c r="V45" s="95"/>
      <c r="W45" s="95"/>
      <c r="X45" s="95"/>
      <c r="Y45" s="97"/>
      <c r="Z45" s="95"/>
      <c r="AA45" s="97"/>
      <c r="AB45" s="95">
        <v>1</v>
      </c>
      <c r="AC45" s="95"/>
      <c r="AD45" s="95"/>
      <c r="AE45" s="95"/>
      <c r="AF45" s="97"/>
      <c r="AG45" s="66">
        <f t="shared" si="3"/>
        <v>6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4"/>
        <v>Fish</v>
      </c>
      <c r="AJ45" s="73"/>
    </row>
    <row r="46" spans="1:36" ht="18" customHeight="1">
      <c r="A46" s="95" t="s">
        <v>58</v>
      </c>
      <c r="B46" s="96" t="s">
        <v>25</v>
      </c>
      <c r="C46" s="95"/>
      <c r="D46" s="97"/>
      <c r="E46" s="95"/>
      <c r="F46" s="97"/>
      <c r="G46" s="95"/>
      <c r="H46" s="95"/>
      <c r="I46" s="95"/>
      <c r="J46" s="95">
        <v>1</v>
      </c>
      <c r="K46" s="97"/>
      <c r="L46" s="95"/>
      <c r="M46" s="97"/>
      <c r="N46" s="95"/>
      <c r="O46" s="95"/>
      <c r="P46" s="95"/>
      <c r="Q46" s="95"/>
      <c r="R46" s="97"/>
      <c r="S46" s="95"/>
      <c r="T46" s="97"/>
      <c r="U46" s="95"/>
      <c r="V46" s="95"/>
      <c r="W46" s="95"/>
      <c r="X46" s="95"/>
      <c r="Y46" s="97"/>
      <c r="Z46" s="95"/>
      <c r="AA46" s="97"/>
      <c r="AB46" s="95"/>
      <c r="AC46" s="95"/>
      <c r="AD46" s="95"/>
      <c r="AE46" s="95"/>
      <c r="AF46" s="97"/>
      <c r="AG46" s="66">
        <f t="shared" si="3"/>
        <v>1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4"/>
        <v>潘潘</v>
      </c>
      <c r="AJ46" s="73"/>
    </row>
    <row r="47" spans="1:36" ht="18" customHeight="1">
      <c r="A47" s="95" t="s">
        <v>58</v>
      </c>
      <c r="B47" s="96" t="s">
        <v>63</v>
      </c>
      <c r="C47" s="95"/>
      <c r="D47" s="97"/>
      <c r="E47" s="95"/>
      <c r="F47" s="97"/>
      <c r="G47" s="95"/>
      <c r="H47" s="95"/>
      <c r="I47" s="95"/>
      <c r="J47" s="95"/>
      <c r="K47" s="97"/>
      <c r="L47" s="95"/>
      <c r="M47" s="97"/>
      <c r="N47" s="95"/>
      <c r="O47" s="95"/>
      <c r="P47" s="95"/>
      <c r="Q47" s="95"/>
      <c r="R47" s="97"/>
      <c r="S47" s="95"/>
      <c r="T47" s="97"/>
      <c r="U47" s="95"/>
      <c r="V47" s="95"/>
      <c r="W47" s="95"/>
      <c r="X47" s="95"/>
      <c r="Y47" s="97"/>
      <c r="Z47" s="95"/>
      <c r="AA47" s="97"/>
      <c r="AB47" s="95"/>
      <c r="AC47" s="95"/>
      <c r="AD47" s="95"/>
      <c r="AE47" s="95"/>
      <c r="AF47" s="97"/>
      <c r="AG47" s="66">
        <f t="shared" si="3"/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4"/>
        <v>芒果</v>
      </c>
      <c r="AJ47" s="73"/>
    </row>
    <row r="48" spans="1:36" ht="18" customHeight="1">
      <c r="A48" s="95" t="s">
        <v>58</v>
      </c>
      <c r="B48" s="96" t="s">
        <v>62</v>
      </c>
      <c r="C48" s="95"/>
      <c r="D48" s="97"/>
      <c r="E48" s="95"/>
      <c r="F48" s="97"/>
      <c r="G48" s="95"/>
      <c r="H48" s="95"/>
      <c r="I48" s="95">
        <v>1</v>
      </c>
      <c r="J48" s="95"/>
      <c r="K48" s="97"/>
      <c r="L48" s="95"/>
      <c r="M48" s="97"/>
      <c r="N48" s="95"/>
      <c r="O48" s="95">
        <v>1</v>
      </c>
      <c r="P48" s="95">
        <v>1</v>
      </c>
      <c r="Q48" s="95"/>
      <c r="R48" s="97"/>
      <c r="S48" s="95"/>
      <c r="T48" s="97"/>
      <c r="U48" s="95">
        <v>1</v>
      </c>
      <c r="V48" s="95"/>
      <c r="W48" s="95"/>
      <c r="X48" s="95">
        <v>1</v>
      </c>
      <c r="Y48" s="97"/>
      <c r="Z48" s="95"/>
      <c r="AA48" s="97"/>
      <c r="AB48" s="95">
        <v>1</v>
      </c>
      <c r="AC48" s="95"/>
      <c r="AD48" s="95"/>
      <c r="AE48" s="95"/>
      <c r="AF48" s="97"/>
      <c r="AG48" s="66">
        <f t="shared" si="3"/>
        <v>6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4"/>
        <v>國源</v>
      </c>
      <c r="AJ48" s="73"/>
    </row>
    <row r="49" spans="1:36" ht="18" customHeight="1">
      <c r="A49" s="95" t="s">
        <v>58</v>
      </c>
      <c r="B49" s="96" t="s">
        <v>26</v>
      </c>
      <c r="C49" s="95"/>
      <c r="D49" s="97"/>
      <c r="E49" s="95"/>
      <c r="F49" s="97"/>
      <c r="G49" s="95"/>
      <c r="H49" s="95">
        <v>1</v>
      </c>
      <c r="I49" s="95"/>
      <c r="J49" s="95"/>
      <c r="K49" s="97"/>
      <c r="L49" s="95"/>
      <c r="M49" s="97"/>
      <c r="N49" s="95"/>
      <c r="O49" s="95"/>
      <c r="P49" s="95"/>
      <c r="Q49" s="95"/>
      <c r="R49" s="97"/>
      <c r="S49" s="95"/>
      <c r="T49" s="97"/>
      <c r="U49" s="95"/>
      <c r="V49" s="95"/>
      <c r="W49" s="95"/>
      <c r="X49" s="95"/>
      <c r="Y49" s="97"/>
      <c r="Z49" s="95"/>
      <c r="AA49" s="97"/>
      <c r="AB49" s="95"/>
      <c r="AC49" s="95"/>
      <c r="AD49" s="95"/>
      <c r="AE49" s="95">
        <v>1</v>
      </c>
      <c r="AF49" s="97"/>
      <c r="AG49" s="66">
        <f t="shared" si="3"/>
        <v>1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4"/>
        <v>曉強</v>
      </c>
      <c r="AJ49" s="73"/>
    </row>
    <row r="50" spans="1:36" ht="18" customHeight="1">
      <c r="A50" s="95" t="s">
        <v>58</v>
      </c>
      <c r="B50" s="96" t="s">
        <v>59</v>
      </c>
      <c r="C50" s="95"/>
      <c r="D50" s="97"/>
      <c r="E50" s="95"/>
      <c r="F50" s="97"/>
      <c r="G50" s="95"/>
      <c r="H50" s="95"/>
      <c r="I50" s="95"/>
      <c r="J50" s="95"/>
      <c r="K50" s="97"/>
      <c r="L50" s="95"/>
      <c r="M50" s="97"/>
      <c r="N50" s="95"/>
      <c r="O50" s="95"/>
      <c r="P50" s="95"/>
      <c r="Q50" s="95"/>
      <c r="R50" s="97"/>
      <c r="S50" s="95"/>
      <c r="T50" s="97"/>
      <c r="U50" s="95"/>
      <c r="V50" s="95"/>
      <c r="W50" s="95"/>
      <c r="X50" s="95"/>
      <c r="Y50" s="97"/>
      <c r="Z50" s="95"/>
      <c r="AA50" s="97"/>
      <c r="AB50" s="95"/>
      <c r="AC50" s="95"/>
      <c r="AD50" s="95"/>
      <c r="AE50" s="95"/>
      <c r="AF50" s="97"/>
      <c r="AG50" s="66">
        <f t="shared" si="3"/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4"/>
        <v>阿幹</v>
      </c>
      <c r="AJ50" s="73"/>
    </row>
    <row r="51" spans="1:36" ht="18" customHeight="1">
      <c r="A51" s="95" t="s">
        <v>58</v>
      </c>
      <c r="B51" s="96" t="s">
        <v>27</v>
      </c>
      <c r="C51" s="95"/>
      <c r="D51" s="97"/>
      <c r="E51" s="95"/>
      <c r="F51" s="97"/>
      <c r="G51" s="95"/>
      <c r="H51" s="95"/>
      <c r="I51" s="95"/>
      <c r="J51" s="95"/>
      <c r="K51" s="97"/>
      <c r="L51" s="95">
        <v>1</v>
      </c>
      <c r="M51" s="97"/>
      <c r="N51" s="95"/>
      <c r="O51" s="95"/>
      <c r="P51" s="95"/>
      <c r="Q51" s="95"/>
      <c r="R51" s="97"/>
      <c r="S51" s="95">
        <v>1</v>
      </c>
      <c r="T51" s="97"/>
      <c r="U51" s="95"/>
      <c r="V51" s="95"/>
      <c r="W51" s="95"/>
      <c r="X51" s="95"/>
      <c r="Y51" s="97"/>
      <c r="Z51" s="95"/>
      <c r="AA51" s="97"/>
      <c r="AB51" s="95"/>
      <c r="AC51" s="95"/>
      <c r="AD51" s="95"/>
      <c r="AE51" s="95"/>
      <c r="AF51" s="97"/>
      <c r="AG51" s="66">
        <f t="shared" si="3"/>
        <v>2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4"/>
        <v>芋圓</v>
      </c>
      <c r="AJ51" s="73"/>
    </row>
    <row r="52" spans="1:36" ht="18" customHeight="1">
      <c r="A52" s="95" t="s">
        <v>58</v>
      </c>
      <c r="B52" s="96" t="s">
        <v>28</v>
      </c>
      <c r="C52" s="95"/>
      <c r="D52" s="97"/>
      <c r="E52" s="95"/>
      <c r="F52" s="97"/>
      <c r="G52" s="95"/>
      <c r="H52" s="95"/>
      <c r="I52" s="95"/>
      <c r="J52" s="95"/>
      <c r="K52" s="97"/>
      <c r="L52" s="95"/>
      <c r="M52" s="97"/>
      <c r="N52" s="95"/>
      <c r="O52" s="95"/>
      <c r="P52" s="95"/>
      <c r="Q52" s="95">
        <v>1</v>
      </c>
      <c r="R52" s="97"/>
      <c r="S52" s="95"/>
      <c r="T52" s="97"/>
      <c r="U52" s="95"/>
      <c r="V52" s="95"/>
      <c r="W52" s="95"/>
      <c r="X52" s="95">
        <v>1</v>
      </c>
      <c r="Y52" s="97"/>
      <c r="Z52" s="95"/>
      <c r="AA52" s="97"/>
      <c r="AB52" s="95"/>
      <c r="AC52" s="95"/>
      <c r="AD52" s="95"/>
      <c r="AE52" s="95"/>
      <c r="AF52" s="97"/>
      <c r="AG52" s="66">
        <f t="shared" si="3"/>
        <v>2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4"/>
        <v>克勤</v>
      </c>
      <c r="AJ52" s="73"/>
    </row>
    <row r="53" spans="1:36" ht="18" customHeight="1">
      <c r="A53" s="95" t="s">
        <v>58</v>
      </c>
      <c r="B53" s="96" t="s">
        <v>29</v>
      </c>
      <c r="C53" s="95">
        <v>1</v>
      </c>
      <c r="D53" s="97"/>
      <c r="E53" s="95"/>
      <c r="F53" s="97"/>
      <c r="G53" s="95"/>
      <c r="H53" s="95"/>
      <c r="I53" s="95"/>
      <c r="J53" s="95"/>
      <c r="K53" s="97"/>
      <c r="L53" s="95"/>
      <c r="M53" s="97"/>
      <c r="N53" s="95"/>
      <c r="O53" s="95"/>
      <c r="P53" s="95"/>
      <c r="Q53" s="95">
        <v>1</v>
      </c>
      <c r="R53" s="97"/>
      <c r="S53" s="95"/>
      <c r="T53" s="97"/>
      <c r="U53" s="95"/>
      <c r="V53" s="95"/>
      <c r="W53" s="95"/>
      <c r="X53" s="95"/>
      <c r="Y53" s="97"/>
      <c r="Z53" s="95"/>
      <c r="AA53" s="97"/>
      <c r="AB53" s="95">
        <v>1</v>
      </c>
      <c r="AC53" s="95"/>
      <c r="AD53" s="95"/>
      <c r="AE53" s="95"/>
      <c r="AF53" s="97"/>
      <c r="AG53" s="66">
        <f t="shared" si="3"/>
        <v>3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4"/>
        <v>大頭</v>
      </c>
      <c r="AJ53" s="73"/>
    </row>
    <row r="54" spans="1:36" ht="18" customHeight="1">
      <c r="A54" s="95" t="s">
        <v>58</v>
      </c>
      <c r="B54" s="96" t="s">
        <v>65</v>
      </c>
      <c r="C54" s="95"/>
      <c r="D54" s="97"/>
      <c r="E54" s="95"/>
      <c r="F54" s="97"/>
      <c r="G54" s="95"/>
      <c r="H54" s="95"/>
      <c r="I54" s="95"/>
      <c r="J54" s="95"/>
      <c r="K54" s="97"/>
      <c r="L54" s="95"/>
      <c r="M54" s="97"/>
      <c r="N54" s="95"/>
      <c r="O54" s="95"/>
      <c r="P54" s="95"/>
      <c r="Q54" s="95"/>
      <c r="R54" s="97"/>
      <c r="S54" s="95"/>
      <c r="T54" s="97"/>
      <c r="U54" s="95"/>
      <c r="V54" s="95"/>
      <c r="W54" s="95"/>
      <c r="X54" s="95"/>
      <c r="Y54" s="97"/>
      <c r="Z54" s="95"/>
      <c r="AA54" s="97"/>
      <c r="AB54" s="95"/>
      <c r="AC54" s="95"/>
      <c r="AD54" s="95"/>
      <c r="AE54" s="95"/>
      <c r="AF54" s="97"/>
      <c r="AG54" s="66">
        <f t="shared" si="3"/>
        <v>0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4"/>
        <v>文淵</v>
      </c>
      <c r="AJ54" s="73"/>
    </row>
    <row r="55" spans="1:36" ht="18" customHeight="1">
      <c r="A55" s="95" t="s">
        <v>58</v>
      </c>
      <c r="B55" s="96" t="s">
        <v>72</v>
      </c>
      <c r="C55" s="95"/>
      <c r="D55" s="97"/>
      <c r="E55" s="95"/>
      <c r="F55" s="97"/>
      <c r="G55" s="95"/>
      <c r="H55" s="95"/>
      <c r="I55" s="95"/>
      <c r="J55" s="95">
        <v>1</v>
      </c>
      <c r="K55" s="97"/>
      <c r="L55" s="95"/>
      <c r="M55" s="97"/>
      <c r="N55" s="95"/>
      <c r="O55" s="95">
        <v>1</v>
      </c>
      <c r="P55" s="95"/>
      <c r="Q55" s="95"/>
      <c r="R55" s="97"/>
      <c r="S55" s="95"/>
      <c r="T55" s="97"/>
      <c r="U55" s="95">
        <v>1</v>
      </c>
      <c r="V55" s="95"/>
      <c r="W55" s="95"/>
      <c r="X55" s="95"/>
      <c r="Y55" s="97"/>
      <c r="Z55" s="95">
        <v>1</v>
      </c>
      <c r="AA55" s="97"/>
      <c r="AB55" s="95">
        <v>1</v>
      </c>
      <c r="AC55" s="95"/>
      <c r="AD55" s="95"/>
      <c r="AE55" s="95"/>
      <c r="AF55" s="97"/>
      <c r="AG55" s="66">
        <f t="shared" si="3"/>
        <v>5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4"/>
        <v>八卦</v>
      </c>
      <c r="AJ55" s="73"/>
    </row>
    <row r="56" spans="1:36" ht="18" customHeight="1">
      <c r="A56" s="95" t="s">
        <v>58</v>
      </c>
      <c r="B56" s="96" t="s">
        <v>66</v>
      </c>
      <c r="C56" s="95"/>
      <c r="D56" s="97"/>
      <c r="E56" s="95"/>
      <c r="F56" s="97"/>
      <c r="G56" s="95"/>
      <c r="H56" s="95"/>
      <c r="I56" s="95"/>
      <c r="J56" s="95"/>
      <c r="K56" s="97"/>
      <c r="L56" s="95"/>
      <c r="M56" s="97"/>
      <c r="N56" s="95"/>
      <c r="O56" s="95"/>
      <c r="P56" s="95"/>
      <c r="Q56" s="95"/>
      <c r="R56" s="97"/>
      <c r="S56" s="95"/>
      <c r="T56" s="97"/>
      <c r="U56" s="95"/>
      <c r="V56" s="95"/>
      <c r="W56" s="95"/>
      <c r="X56" s="95"/>
      <c r="Y56" s="97"/>
      <c r="Z56" s="95"/>
      <c r="AA56" s="97"/>
      <c r="AB56" s="95"/>
      <c r="AC56" s="95"/>
      <c r="AD56" s="95"/>
      <c r="AE56" s="95"/>
      <c r="AF56" s="97"/>
      <c r="AG56" s="66">
        <f t="shared" si="3"/>
        <v>0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4"/>
        <v>昆佑</v>
      </c>
      <c r="AJ56" s="73"/>
    </row>
    <row r="57" spans="1:36" ht="18" customHeight="1">
      <c r="A57" s="95" t="s">
        <v>58</v>
      </c>
      <c r="B57" s="96" t="s">
        <v>68</v>
      </c>
      <c r="C57" s="95"/>
      <c r="D57" s="97"/>
      <c r="E57" s="95"/>
      <c r="F57" s="97"/>
      <c r="G57" s="95"/>
      <c r="H57" s="95"/>
      <c r="I57" s="95"/>
      <c r="J57" s="95"/>
      <c r="K57" s="97"/>
      <c r="L57" s="95"/>
      <c r="M57" s="97"/>
      <c r="N57" s="95"/>
      <c r="O57" s="95"/>
      <c r="P57" s="95"/>
      <c r="Q57" s="95"/>
      <c r="R57" s="97"/>
      <c r="S57" s="95"/>
      <c r="T57" s="97"/>
      <c r="U57" s="95"/>
      <c r="V57" s="95"/>
      <c r="W57" s="95"/>
      <c r="X57" s="95"/>
      <c r="Y57" s="97"/>
      <c r="Z57" s="95"/>
      <c r="AA57" s="97"/>
      <c r="AB57" s="95"/>
      <c r="AC57" s="95"/>
      <c r="AD57" s="95"/>
      <c r="AE57" s="95"/>
      <c r="AF57" s="97"/>
      <c r="AG57" s="66">
        <f t="shared" si="3"/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4"/>
        <v>兔子</v>
      </c>
      <c r="AJ57" s="73"/>
    </row>
    <row r="58" spans="1:36" ht="18" customHeight="1">
      <c r="A58" s="95" t="s">
        <v>58</v>
      </c>
      <c r="B58" s="96" t="s">
        <v>69</v>
      </c>
      <c r="C58" s="95"/>
      <c r="D58" s="97"/>
      <c r="E58" s="95"/>
      <c r="F58" s="97"/>
      <c r="G58" s="95"/>
      <c r="H58" s="95"/>
      <c r="I58" s="95"/>
      <c r="J58" s="95"/>
      <c r="K58" s="97"/>
      <c r="L58" s="95"/>
      <c r="M58" s="97"/>
      <c r="N58" s="95"/>
      <c r="O58" s="95"/>
      <c r="P58" s="95"/>
      <c r="Q58" s="95"/>
      <c r="R58" s="97"/>
      <c r="S58" s="95"/>
      <c r="T58" s="97"/>
      <c r="U58" s="95"/>
      <c r="V58" s="95"/>
      <c r="W58" s="95"/>
      <c r="X58" s="95"/>
      <c r="Y58" s="97"/>
      <c r="Z58" s="95"/>
      <c r="AA58" s="97"/>
      <c r="AB58" s="95"/>
      <c r="AC58" s="95"/>
      <c r="AD58" s="95"/>
      <c r="AE58" s="95"/>
      <c r="AF58" s="97"/>
      <c r="AG58" s="66">
        <f t="shared" si="3"/>
        <v>0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4"/>
        <v>小馬</v>
      </c>
      <c r="AJ58" s="73"/>
    </row>
    <row r="59" spans="1:36" ht="18" customHeight="1">
      <c r="A59" s="95" t="s">
        <v>58</v>
      </c>
      <c r="B59" s="96" t="s">
        <v>70</v>
      </c>
      <c r="C59" s="95"/>
      <c r="D59" s="97"/>
      <c r="E59" s="95"/>
      <c r="F59" s="97"/>
      <c r="G59" s="95"/>
      <c r="H59" s="95"/>
      <c r="I59" s="95"/>
      <c r="J59" s="95"/>
      <c r="K59" s="97"/>
      <c r="L59" s="95"/>
      <c r="M59" s="97"/>
      <c r="N59" s="95"/>
      <c r="O59" s="95"/>
      <c r="P59" s="95"/>
      <c r="Q59" s="95"/>
      <c r="R59" s="97"/>
      <c r="S59" s="95"/>
      <c r="T59" s="97"/>
      <c r="U59" s="95"/>
      <c r="V59" s="95"/>
      <c r="W59" s="95"/>
      <c r="X59" s="95"/>
      <c r="Y59" s="97"/>
      <c r="Z59" s="95"/>
      <c r="AA59" s="97"/>
      <c r="AB59" s="95"/>
      <c r="AC59" s="95"/>
      <c r="AD59" s="95"/>
      <c r="AE59" s="95"/>
      <c r="AF59" s="97"/>
      <c r="AG59" s="66">
        <f t="shared" si="3"/>
        <v>0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4"/>
        <v>Allen</v>
      </c>
      <c r="AJ59" s="73"/>
    </row>
    <row r="60" spans="1:36" ht="18" customHeight="1">
      <c r="A60" s="95" t="s">
        <v>58</v>
      </c>
      <c r="B60" s="96" t="s">
        <v>71</v>
      </c>
      <c r="C60" s="95"/>
      <c r="D60" s="97"/>
      <c r="E60" s="95"/>
      <c r="F60" s="97"/>
      <c r="G60" s="95"/>
      <c r="H60" s="95"/>
      <c r="I60" s="95"/>
      <c r="J60" s="95"/>
      <c r="K60" s="97"/>
      <c r="L60" s="95"/>
      <c r="M60" s="97"/>
      <c r="N60" s="95"/>
      <c r="O60" s="95"/>
      <c r="P60" s="95"/>
      <c r="Q60" s="95"/>
      <c r="R60" s="97"/>
      <c r="S60" s="95"/>
      <c r="T60" s="97"/>
      <c r="U60" s="95"/>
      <c r="V60" s="95"/>
      <c r="W60" s="95"/>
      <c r="X60" s="95"/>
      <c r="Y60" s="97"/>
      <c r="Z60" s="95"/>
      <c r="AA60" s="97"/>
      <c r="AB60" s="95"/>
      <c r="AC60" s="95"/>
      <c r="AD60" s="95"/>
      <c r="AE60" s="95"/>
      <c r="AF60" s="97"/>
      <c r="AG60" s="66">
        <f t="shared" si="3"/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4"/>
        <v>嘴嘴</v>
      </c>
      <c r="AJ60" s="73"/>
    </row>
    <row r="61" spans="1:36" ht="18" customHeight="1">
      <c r="A61" s="95" t="s">
        <v>58</v>
      </c>
      <c r="B61" s="96" t="s">
        <v>74</v>
      </c>
      <c r="C61" s="95"/>
      <c r="D61" s="97"/>
      <c r="E61" s="95"/>
      <c r="F61" s="97"/>
      <c r="G61" s="95"/>
      <c r="H61" s="95"/>
      <c r="I61" s="95"/>
      <c r="J61" s="95"/>
      <c r="K61" s="97"/>
      <c r="L61" s="95"/>
      <c r="M61" s="97"/>
      <c r="N61" s="95"/>
      <c r="O61" s="95"/>
      <c r="P61" s="95"/>
      <c r="Q61" s="95"/>
      <c r="R61" s="97"/>
      <c r="S61" s="95"/>
      <c r="T61" s="97"/>
      <c r="U61" s="95"/>
      <c r="V61" s="95"/>
      <c r="W61" s="95"/>
      <c r="X61" s="95"/>
      <c r="Y61" s="97"/>
      <c r="Z61" s="95"/>
      <c r="AA61" s="97"/>
      <c r="AB61" s="95"/>
      <c r="AC61" s="95"/>
      <c r="AD61" s="95"/>
      <c r="AE61" s="95"/>
      <c r="AF61" s="97"/>
      <c r="AG61" s="66">
        <f t="shared" si="3"/>
        <v>0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4"/>
        <v>蘆葦</v>
      </c>
      <c r="AJ61" s="73"/>
    </row>
    <row r="62" spans="1:36" ht="18" customHeight="1">
      <c r="A62" s="95" t="s">
        <v>58</v>
      </c>
      <c r="B62" s="96" t="s">
        <v>30</v>
      </c>
      <c r="C62" s="95"/>
      <c r="D62" s="97"/>
      <c r="E62" s="95"/>
      <c r="F62" s="97"/>
      <c r="G62" s="95"/>
      <c r="H62" s="95"/>
      <c r="I62" s="95"/>
      <c r="J62" s="95"/>
      <c r="K62" s="97"/>
      <c r="L62" s="95"/>
      <c r="M62" s="97"/>
      <c r="N62" s="95"/>
      <c r="O62" s="95"/>
      <c r="P62" s="95">
        <v>1</v>
      </c>
      <c r="Q62" s="95"/>
      <c r="R62" s="97"/>
      <c r="S62" s="95"/>
      <c r="T62" s="97"/>
      <c r="U62" s="95"/>
      <c r="V62" s="95"/>
      <c r="W62" s="95"/>
      <c r="X62" s="95"/>
      <c r="Y62" s="97"/>
      <c r="Z62" s="95"/>
      <c r="AA62" s="97"/>
      <c r="AB62" s="95"/>
      <c r="AC62" s="95"/>
      <c r="AD62" s="95"/>
      <c r="AE62" s="95"/>
      <c r="AF62" s="97"/>
      <c r="AG62" s="66">
        <f t="shared" si="3"/>
        <v>1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4"/>
        <v>鯰魚</v>
      </c>
      <c r="AJ62" s="73"/>
    </row>
    <row r="63" spans="1:36" ht="18" customHeight="1">
      <c r="A63" s="95" t="s">
        <v>58</v>
      </c>
      <c r="B63" s="96" t="s">
        <v>31</v>
      </c>
      <c r="C63" s="95"/>
      <c r="D63" s="97"/>
      <c r="E63" s="95"/>
      <c r="F63" s="97"/>
      <c r="G63" s="95"/>
      <c r="H63" s="95"/>
      <c r="I63" s="95"/>
      <c r="J63" s="95"/>
      <c r="K63" s="97"/>
      <c r="L63" s="95"/>
      <c r="M63" s="97"/>
      <c r="N63" s="95"/>
      <c r="O63" s="95"/>
      <c r="P63" s="95"/>
      <c r="Q63" s="95"/>
      <c r="R63" s="97"/>
      <c r="S63" s="95"/>
      <c r="T63" s="97"/>
      <c r="U63" s="95"/>
      <c r="V63" s="95"/>
      <c r="W63" s="95"/>
      <c r="X63" s="95"/>
      <c r="Y63" s="97"/>
      <c r="Z63" s="95"/>
      <c r="AA63" s="97"/>
      <c r="AB63" s="95"/>
      <c r="AC63" s="95"/>
      <c r="AD63" s="95"/>
      <c r="AE63" s="95"/>
      <c r="AF63" s="97"/>
      <c r="AG63" s="66">
        <f t="shared" si="3"/>
        <v>0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4"/>
        <v>阿美</v>
      </c>
      <c r="AJ63" s="73"/>
    </row>
    <row r="64" spans="1:36" ht="18" customHeight="1">
      <c r="A64" s="95" t="s">
        <v>58</v>
      </c>
      <c r="B64" s="96" t="s">
        <v>73</v>
      </c>
      <c r="C64" s="95"/>
      <c r="D64" s="97"/>
      <c r="E64" s="95"/>
      <c r="F64" s="97"/>
      <c r="G64" s="95"/>
      <c r="H64" s="95"/>
      <c r="I64" s="95"/>
      <c r="J64" s="95"/>
      <c r="K64" s="97"/>
      <c r="L64" s="95"/>
      <c r="M64" s="97"/>
      <c r="N64" s="95"/>
      <c r="O64" s="95"/>
      <c r="P64" s="95"/>
      <c r="Q64" s="95"/>
      <c r="R64" s="97"/>
      <c r="S64" s="95"/>
      <c r="T64" s="97"/>
      <c r="U64" s="95"/>
      <c r="V64" s="95"/>
      <c r="W64" s="95"/>
      <c r="X64" s="95"/>
      <c r="Y64" s="97"/>
      <c r="Z64" s="95"/>
      <c r="AA64" s="97"/>
      <c r="AB64" s="95"/>
      <c r="AC64" s="95"/>
      <c r="AD64" s="95"/>
      <c r="AE64" s="95"/>
      <c r="AF64" s="97"/>
      <c r="AG64" s="66">
        <f t="shared" si="3"/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4"/>
        <v>冠軍</v>
      </c>
      <c r="AJ64" s="73"/>
    </row>
    <row r="65" spans="1:36" ht="18" customHeight="1">
      <c r="A65" s="95" t="s">
        <v>58</v>
      </c>
      <c r="B65" s="96" t="s">
        <v>198</v>
      </c>
      <c r="C65" s="95"/>
      <c r="D65" s="97"/>
      <c r="E65" s="95"/>
      <c r="F65" s="97"/>
      <c r="G65" s="95"/>
      <c r="H65" s="95"/>
      <c r="I65" s="95"/>
      <c r="J65" s="95"/>
      <c r="K65" s="97"/>
      <c r="L65" s="95"/>
      <c r="M65" s="97"/>
      <c r="N65" s="95"/>
      <c r="O65" s="95"/>
      <c r="P65" s="95"/>
      <c r="Q65" s="95"/>
      <c r="R65" s="97"/>
      <c r="S65" s="95"/>
      <c r="T65" s="97"/>
      <c r="U65" s="95"/>
      <c r="V65" s="95"/>
      <c r="W65" s="95"/>
      <c r="X65" s="95"/>
      <c r="Y65" s="97"/>
      <c r="Z65" s="95"/>
      <c r="AA65" s="97"/>
      <c r="AB65" s="95"/>
      <c r="AC65" s="95"/>
      <c r="AD65" s="95"/>
      <c r="AE65" s="95"/>
      <c r="AF65" s="97"/>
      <c r="AG65" s="66">
        <f t="shared" si="3"/>
        <v>0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4"/>
        <v>郁翔</v>
      </c>
      <c r="AJ65" s="73"/>
    </row>
    <row r="66" spans="1:36" ht="18" customHeight="1">
      <c r="A66" s="95" t="s">
        <v>58</v>
      </c>
      <c r="B66" s="96" t="s">
        <v>67</v>
      </c>
      <c r="C66" s="95"/>
      <c r="D66" s="97"/>
      <c r="E66" s="95"/>
      <c r="F66" s="97"/>
      <c r="G66" s="95"/>
      <c r="H66" s="95"/>
      <c r="I66" s="95"/>
      <c r="J66" s="95"/>
      <c r="K66" s="97"/>
      <c r="L66" s="95"/>
      <c r="M66" s="97"/>
      <c r="N66" s="95"/>
      <c r="O66" s="95"/>
      <c r="P66" s="95"/>
      <c r="Q66" s="95"/>
      <c r="R66" s="97"/>
      <c r="S66" s="95"/>
      <c r="T66" s="97"/>
      <c r="U66" s="95"/>
      <c r="V66" s="95"/>
      <c r="W66" s="95"/>
      <c r="X66" s="95"/>
      <c r="Y66" s="97"/>
      <c r="Z66" s="95"/>
      <c r="AA66" s="97"/>
      <c r="AB66" s="95"/>
      <c r="AC66" s="95"/>
      <c r="AD66" s="95"/>
      <c r="AE66" s="95"/>
      <c r="AF66" s="97"/>
      <c r="AG66" s="66">
        <f t="shared" si="3"/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4"/>
        <v>歐吉</v>
      </c>
      <c r="AJ66" s="73"/>
    </row>
    <row r="67" spans="1:36" ht="18" customHeight="1">
      <c r="A67" s="95" t="s">
        <v>58</v>
      </c>
      <c r="B67" s="96" t="s">
        <v>75</v>
      </c>
      <c r="C67" s="95"/>
      <c r="D67" s="97"/>
      <c r="E67" s="95"/>
      <c r="F67" s="97"/>
      <c r="G67" s="95"/>
      <c r="H67" s="95"/>
      <c r="I67" s="95"/>
      <c r="J67" s="95"/>
      <c r="K67" s="97"/>
      <c r="L67" s="95"/>
      <c r="M67" s="97"/>
      <c r="N67" s="95"/>
      <c r="O67" s="95"/>
      <c r="P67" s="95"/>
      <c r="Q67" s="95"/>
      <c r="R67" s="97"/>
      <c r="S67" s="95"/>
      <c r="T67" s="97"/>
      <c r="U67" s="95"/>
      <c r="V67" s="95"/>
      <c r="W67" s="95"/>
      <c r="X67" s="95"/>
      <c r="Y67" s="97"/>
      <c r="Z67" s="95"/>
      <c r="AA67" s="97"/>
      <c r="AB67" s="95"/>
      <c r="AC67" s="95"/>
      <c r="AD67" s="95"/>
      <c r="AE67" s="95"/>
      <c r="AF67" s="97"/>
      <c r="AG67" s="66">
        <f t="shared" si="3"/>
        <v>0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4"/>
        <v>叮噹</v>
      </c>
      <c r="AJ67" s="73"/>
    </row>
    <row r="68" spans="1:36" ht="18" customHeight="1">
      <c r="A68" s="95" t="s">
        <v>58</v>
      </c>
      <c r="B68" s="96" t="s">
        <v>76</v>
      </c>
      <c r="C68" s="95"/>
      <c r="D68" s="97"/>
      <c r="E68" s="95"/>
      <c r="F68" s="97"/>
      <c r="G68" s="95"/>
      <c r="H68" s="95"/>
      <c r="I68" s="95"/>
      <c r="J68" s="95"/>
      <c r="K68" s="97"/>
      <c r="L68" s="95"/>
      <c r="M68" s="97"/>
      <c r="N68" s="95"/>
      <c r="O68" s="95"/>
      <c r="P68" s="95"/>
      <c r="Q68" s="95"/>
      <c r="R68" s="97"/>
      <c r="S68" s="95"/>
      <c r="T68" s="97"/>
      <c r="U68" s="95"/>
      <c r="V68" s="95"/>
      <c r="W68" s="95"/>
      <c r="X68" s="95"/>
      <c r="Y68" s="97"/>
      <c r="Z68" s="95"/>
      <c r="AA68" s="97"/>
      <c r="AB68" s="95"/>
      <c r="AC68" s="95"/>
      <c r="AD68" s="95"/>
      <c r="AE68" s="95"/>
      <c r="AF68" s="97"/>
      <c r="AG68" s="66">
        <f t="shared" ref="AG68:AG99" si="5">COUNTA(C68:AD68)</f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99" si="6">B68</f>
        <v>肥肥</v>
      </c>
      <c r="AJ68" s="73"/>
    </row>
    <row r="69" spans="1:36" ht="18" customHeight="1">
      <c r="A69" s="95" t="s">
        <v>58</v>
      </c>
      <c r="B69" s="96" t="s">
        <v>77</v>
      </c>
      <c r="C69" s="95"/>
      <c r="D69" s="97"/>
      <c r="E69" s="95"/>
      <c r="F69" s="97"/>
      <c r="G69" s="95"/>
      <c r="H69" s="95"/>
      <c r="I69" s="95"/>
      <c r="J69" s="95"/>
      <c r="K69" s="97"/>
      <c r="L69" s="95"/>
      <c r="M69" s="97"/>
      <c r="N69" s="95"/>
      <c r="O69" s="95"/>
      <c r="P69" s="95"/>
      <c r="Q69" s="95"/>
      <c r="R69" s="97"/>
      <c r="S69" s="95"/>
      <c r="T69" s="97"/>
      <c r="U69" s="95"/>
      <c r="V69" s="95"/>
      <c r="W69" s="95"/>
      <c r="X69" s="95"/>
      <c r="Y69" s="97"/>
      <c r="Z69" s="95"/>
      <c r="AA69" s="97"/>
      <c r="AB69" s="95"/>
      <c r="AC69" s="95"/>
      <c r="AD69" s="95"/>
      <c r="AE69" s="95"/>
      <c r="AF69" s="97"/>
      <c r="AG69" s="66">
        <f t="shared" si="5"/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6"/>
        <v>小夫</v>
      </c>
      <c r="AJ69" s="73"/>
    </row>
    <row r="70" spans="1:36" ht="18" customHeight="1">
      <c r="A70" s="95" t="s">
        <v>58</v>
      </c>
      <c r="B70" s="96" t="s">
        <v>78</v>
      </c>
      <c r="C70" s="95"/>
      <c r="D70" s="97"/>
      <c r="E70" s="95"/>
      <c r="F70" s="97"/>
      <c r="G70" s="95"/>
      <c r="H70" s="95"/>
      <c r="I70" s="95"/>
      <c r="J70" s="95"/>
      <c r="K70" s="97"/>
      <c r="L70" s="95"/>
      <c r="M70" s="97"/>
      <c r="N70" s="95"/>
      <c r="O70" s="95"/>
      <c r="P70" s="95"/>
      <c r="Q70" s="95"/>
      <c r="R70" s="97"/>
      <c r="S70" s="95"/>
      <c r="T70" s="97"/>
      <c r="U70" s="95"/>
      <c r="V70" s="95"/>
      <c r="W70" s="95"/>
      <c r="X70" s="95"/>
      <c r="Y70" s="97"/>
      <c r="Z70" s="95"/>
      <c r="AA70" s="97"/>
      <c r="AB70" s="95"/>
      <c r="AC70" s="95"/>
      <c r="AD70" s="95"/>
      <c r="AE70" s="95"/>
      <c r="AF70" s="97"/>
      <c r="AG70" s="66">
        <f t="shared" si="5"/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6"/>
        <v>小邱</v>
      </c>
      <c r="AJ70" s="73"/>
    </row>
    <row r="71" spans="1:36" ht="18" customHeight="1">
      <c r="A71" s="95" t="s">
        <v>58</v>
      </c>
      <c r="B71" s="96" t="s">
        <v>79</v>
      </c>
      <c r="C71" s="95"/>
      <c r="D71" s="97"/>
      <c r="E71" s="95"/>
      <c r="F71" s="97"/>
      <c r="G71" s="95"/>
      <c r="H71" s="95"/>
      <c r="I71" s="95"/>
      <c r="J71" s="95"/>
      <c r="K71" s="97"/>
      <c r="L71" s="95"/>
      <c r="M71" s="97"/>
      <c r="N71" s="95"/>
      <c r="O71" s="95"/>
      <c r="P71" s="95"/>
      <c r="Q71" s="95"/>
      <c r="R71" s="97"/>
      <c r="S71" s="95"/>
      <c r="T71" s="97"/>
      <c r="U71" s="95"/>
      <c r="V71" s="95"/>
      <c r="W71" s="95"/>
      <c r="X71" s="95"/>
      <c r="Y71" s="97"/>
      <c r="Z71" s="95"/>
      <c r="AA71" s="97"/>
      <c r="AB71" s="95"/>
      <c r="AC71" s="95"/>
      <c r="AD71" s="95"/>
      <c r="AE71" s="95"/>
      <c r="AF71" s="97"/>
      <c r="AG71" s="66">
        <f t="shared" si="5"/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6"/>
        <v>淳淳</v>
      </c>
      <c r="AJ71" s="73"/>
    </row>
    <row r="72" spans="1:36" ht="18" customHeight="1">
      <c r="A72" s="95" t="s">
        <v>58</v>
      </c>
      <c r="B72" s="96" t="s">
        <v>80</v>
      </c>
      <c r="C72" s="95"/>
      <c r="D72" s="97"/>
      <c r="E72" s="95"/>
      <c r="F72" s="97"/>
      <c r="G72" s="95"/>
      <c r="H72" s="95"/>
      <c r="I72" s="95"/>
      <c r="J72" s="95"/>
      <c r="K72" s="97"/>
      <c r="L72" s="95"/>
      <c r="M72" s="97"/>
      <c r="N72" s="95"/>
      <c r="O72" s="95"/>
      <c r="P72" s="95"/>
      <c r="Q72" s="95"/>
      <c r="R72" s="97"/>
      <c r="S72" s="95"/>
      <c r="T72" s="97"/>
      <c r="U72" s="95"/>
      <c r="V72" s="95"/>
      <c r="W72" s="95"/>
      <c r="X72" s="95"/>
      <c r="Y72" s="97"/>
      <c r="Z72" s="95"/>
      <c r="AA72" s="97"/>
      <c r="AB72" s="95"/>
      <c r="AC72" s="95"/>
      <c r="AD72" s="95"/>
      <c r="AE72" s="95"/>
      <c r="AF72" s="97"/>
      <c r="AG72" s="66">
        <f t="shared" si="5"/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6"/>
        <v>禿鷹</v>
      </c>
      <c r="AJ72" s="73"/>
    </row>
    <row r="73" spans="1:36" ht="18" customHeight="1">
      <c r="A73" s="95" t="s">
        <v>58</v>
      </c>
      <c r="B73" s="96" t="s">
        <v>81</v>
      </c>
      <c r="C73" s="95"/>
      <c r="D73" s="97"/>
      <c r="E73" s="95"/>
      <c r="F73" s="97"/>
      <c r="G73" s="95"/>
      <c r="H73" s="95"/>
      <c r="I73" s="95"/>
      <c r="J73" s="95"/>
      <c r="K73" s="97"/>
      <c r="L73" s="95"/>
      <c r="M73" s="97"/>
      <c r="N73" s="95"/>
      <c r="O73" s="95"/>
      <c r="P73" s="95"/>
      <c r="Q73" s="95"/>
      <c r="R73" s="97"/>
      <c r="S73" s="95"/>
      <c r="T73" s="97"/>
      <c r="U73" s="95"/>
      <c r="V73" s="95"/>
      <c r="W73" s="95"/>
      <c r="X73" s="95"/>
      <c r="Y73" s="97"/>
      <c r="Z73" s="95"/>
      <c r="AA73" s="97"/>
      <c r="AB73" s="95"/>
      <c r="AC73" s="95"/>
      <c r="AD73" s="95"/>
      <c r="AE73" s="95"/>
      <c r="AF73" s="97"/>
      <c r="AG73" s="66">
        <f t="shared" si="5"/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6"/>
        <v>王宏</v>
      </c>
      <c r="AJ73" s="73"/>
    </row>
    <row r="74" spans="1:36" ht="18" customHeight="1">
      <c r="A74" s="95" t="s">
        <v>58</v>
      </c>
      <c r="B74" s="96" t="s">
        <v>82</v>
      </c>
      <c r="C74" s="95"/>
      <c r="D74" s="97"/>
      <c r="E74" s="95"/>
      <c r="F74" s="97"/>
      <c r="G74" s="95"/>
      <c r="H74" s="95"/>
      <c r="I74" s="95"/>
      <c r="J74" s="95"/>
      <c r="K74" s="97"/>
      <c r="L74" s="95"/>
      <c r="M74" s="97"/>
      <c r="N74" s="95"/>
      <c r="O74" s="95"/>
      <c r="P74" s="95"/>
      <c r="Q74" s="95"/>
      <c r="R74" s="97"/>
      <c r="S74" s="95"/>
      <c r="T74" s="97"/>
      <c r="U74" s="95"/>
      <c r="V74" s="95"/>
      <c r="W74" s="95"/>
      <c r="X74" s="95"/>
      <c r="Y74" s="97"/>
      <c r="Z74" s="95"/>
      <c r="AA74" s="97"/>
      <c r="AB74" s="95"/>
      <c r="AC74" s="95"/>
      <c r="AD74" s="95"/>
      <c r="AE74" s="95"/>
      <c r="AF74" s="97"/>
      <c r="AG74" s="66">
        <f t="shared" si="5"/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6"/>
        <v>犀牛</v>
      </c>
      <c r="AJ74" s="73"/>
    </row>
    <row r="75" spans="1:36" ht="18" customHeight="1">
      <c r="A75" s="95" t="s">
        <v>58</v>
      </c>
      <c r="B75" s="96" t="s">
        <v>83</v>
      </c>
      <c r="C75" s="95"/>
      <c r="D75" s="97"/>
      <c r="E75" s="95"/>
      <c r="F75" s="97"/>
      <c r="G75" s="95"/>
      <c r="H75" s="95"/>
      <c r="I75" s="95"/>
      <c r="J75" s="95"/>
      <c r="K75" s="97"/>
      <c r="L75" s="95"/>
      <c r="M75" s="97"/>
      <c r="N75" s="95"/>
      <c r="O75" s="95"/>
      <c r="P75" s="95"/>
      <c r="Q75" s="95"/>
      <c r="R75" s="97"/>
      <c r="S75" s="95"/>
      <c r="T75" s="97"/>
      <c r="U75" s="95"/>
      <c r="V75" s="95"/>
      <c r="W75" s="95"/>
      <c r="X75" s="95"/>
      <c r="Y75" s="97"/>
      <c r="Z75" s="95"/>
      <c r="AA75" s="97"/>
      <c r="AB75" s="95"/>
      <c r="AC75" s="95"/>
      <c r="AD75" s="95"/>
      <c r="AE75" s="95"/>
      <c r="AF75" s="97"/>
      <c r="AG75" s="66">
        <f t="shared" si="5"/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6"/>
        <v>來福</v>
      </c>
      <c r="AJ75" s="73"/>
    </row>
    <row r="76" spans="1:36" ht="18" customHeight="1">
      <c r="A76" s="95" t="s">
        <v>58</v>
      </c>
      <c r="B76" s="96" t="s">
        <v>84</v>
      </c>
      <c r="C76" s="95"/>
      <c r="D76" s="97"/>
      <c r="E76" s="95"/>
      <c r="F76" s="97"/>
      <c r="G76" s="95"/>
      <c r="H76" s="95"/>
      <c r="I76" s="95"/>
      <c r="J76" s="95"/>
      <c r="K76" s="97"/>
      <c r="L76" s="95"/>
      <c r="M76" s="97"/>
      <c r="N76" s="95"/>
      <c r="O76" s="95"/>
      <c r="P76" s="95"/>
      <c r="Q76" s="95"/>
      <c r="R76" s="97"/>
      <c r="S76" s="95"/>
      <c r="T76" s="97"/>
      <c r="U76" s="95"/>
      <c r="V76" s="95"/>
      <c r="W76" s="95"/>
      <c r="X76" s="95"/>
      <c r="Y76" s="97"/>
      <c r="Z76" s="95"/>
      <c r="AA76" s="97"/>
      <c r="AB76" s="95"/>
      <c r="AC76" s="95"/>
      <c r="AD76" s="95"/>
      <c r="AE76" s="95"/>
      <c r="AF76" s="97"/>
      <c r="AG76" s="66">
        <f t="shared" si="5"/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6"/>
        <v>誌誌</v>
      </c>
      <c r="AJ76" s="73"/>
    </row>
    <row r="77" spans="1:36" ht="18" customHeight="1">
      <c r="A77" s="95" t="s">
        <v>58</v>
      </c>
      <c r="B77" s="96" t="s">
        <v>86</v>
      </c>
      <c r="C77" s="95"/>
      <c r="D77" s="97"/>
      <c r="E77" s="95"/>
      <c r="F77" s="97"/>
      <c r="G77" s="95"/>
      <c r="H77" s="95"/>
      <c r="I77" s="95"/>
      <c r="J77" s="95"/>
      <c r="K77" s="97"/>
      <c r="L77" s="95"/>
      <c r="M77" s="97"/>
      <c r="N77" s="95"/>
      <c r="O77" s="95"/>
      <c r="P77" s="95"/>
      <c r="Q77" s="95"/>
      <c r="R77" s="97"/>
      <c r="S77" s="95"/>
      <c r="T77" s="97"/>
      <c r="U77" s="95"/>
      <c r="V77" s="95"/>
      <c r="W77" s="95"/>
      <c r="X77" s="95"/>
      <c r="Y77" s="97"/>
      <c r="Z77" s="95"/>
      <c r="AA77" s="97"/>
      <c r="AB77" s="95"/>
      <c r="AC77" s="95"/>
      <c r="AD77" s="95"/>
      <c r="AE77" s="95"/>
      <c r="AF77" s="97"/>
      <c r="AG77" s="66">
        <f t="shared" si="5"/>
        <v>0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6"/>
        <v>正誼</v>
      </c>
      <c r="AJ77" s="73"/>
    </row>
    <row r="78" spans="1:36" ht="18" customHeight="1">
      <c r="A78" s="95" t="s">
        <v>58</v>
      </c>
      <c r="B78" s="96" t="s">
        <v>32</v>
      </c>
      <c r="C78" s="95"/>
      <c r="D78" s="97"/>
      <c r="E78" s="95"/>
      <c r="F78" s="97"/>
      <c r="G78" s="95"/>
      <c r="H78" s="95"/>
      <c r="I78" s="95"/>
      <c r="J78" s="95"/>
      <c r="K78" s="97"/>
      <c r="L78" s="95"/>
      <c r="M78" s="97"/>
      <c r="N78" s="95"/>
      <c r="O78" s="95"/>
      <c r="P78" s="95"/>
      <c r="Q78" s="95"/>
      <c r="R78" s="97"/>
      <c r="S78" s="95"/>
      <c r="T78" s="97"/>
      <c r="U78" s="95"/>
      <c r="V78" s="95"/>
      <c r="W78" s="95"/>
      <c r="X78" s="95"/>
      <c r="Y78" s="97"/>
      <c r="Z78" s="95"/>
      <c r="AA78" s="97"/>
      <c r="AB78" s="95"/>
      <c r="AC78" s="95"/>
      <c r="AD78" s="95"/>
      <c r="AE78" s="95"/>
      <c r="AF78" s="97"/>
      <c r="AG78" s="66">
        <f t="shared" si="5"/>
        <v>0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6"/>
        <v>小翔</v>
      </c>
      <c r="AJ78" s="73"/>
    </row>
    <row r="79" spans="1:36" ht="18" customHeight="1">
      <c r="A79" s="95" t="s">
        <v>58</v>
      </c>
      <c r="B79" s="96" t="s">
        <v>179</v>
      </c>
      <c r="C79" s="95"/>
      <c r="D79" s="97"/>
      <c r="E79" s="95"/>
      <c r="F79" s="97"/>
      <c r="G79" s="95"/>
      <c r="H79" s="95"/>
      <c r="I79" s="95"/>
      <c r="J79" s="95"/>
      <c r="K79" s="97"/>
      <c r="L79" s="95"/>
      <c r="M79" s="97"/>
      <c r="N79" s="95"/>
      <c r="O79" s="95"/>
      <c r="P79" s="95"/>
      <c r="Q79" s="95"/>
      <c r="R79" s="97"/>
      <c r="S79" s="95"/>
      <c r="T79" s="97"/>
      <c r="U79" s="95"/>
      <c r="V79" s="95"/>
      <c r="W79" s="95"/>
      <c r="X79" s="95">
        <v>1</v>
      </c>
      <c r="Y79" s="97"/>
      <c r="Z79" s="95"/>
      <c r="AA79" s="97"/>
      <c r="AB79" s="95"/>
      <c r="AC79" s="95"/>
      <c r="AD79" s="95"/>
      <c r="AE79" s="95"/>
      <c r="AF79" s="97"/>
      <c r="AG79" s="66">
        <f t="shared" si="5"/>
        <v>1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6"/>
        <v>玹玹</v>
      </c>
      <c r="AJ79" s="73"/>
    </row>
    <row r="80" spans="1:36" ht="18" customHeight="1">
      <c r="A80" s="95" t="s">
        <v>58</v>
      </c>
      <c r="B80" s="96" t="s">
        <v>85</v>
      </c>
      <c r="C80" s="95"/>
      <c r="D80" s="97"/>
      <c r="E80" s="95"/>
      <c r="F80" s="97"/>
      <c r="G80" s="95"/>
      <c r="H80" s="95"/>
      <c r="I80" s="95"/>
      <c r="J80" s="95"/>
      <c r="K80" s="97"/>
      <c r="L80" s="95"/>
      <c r="M80" s="97"/>
      <c r="N80" s="95"/>
      <c r="O80" s="95"/>
      <c r="P80" s="95"/>
      <c r="Q80" s="95"/>
      <c r="R80" s="97"/>
      <c r="S80" s="95"/>
      <c r="T80" s="97"/>
      <c r="U80" s="95"/>
      <c r="V80" s="95"/>
      <c r="W80" s="95"/>
      <c r="X80" s="95"/>
      <c r="Y80" s="97"/>
      <c r="Z80" s="95"/>
      <c r="AA80" s="97"/>
      <c r="AB80" s="95"/>
      <c r="AC80" s="95"/>
      <c r="AD80" s="95"/>
      <c r="AE80" s="95"/>
      <c r="AF80" s="97"/>
      <c r="AG80" s="66">
        <f t="shared" si="5"/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6"/>
        <v>阿璽</v>
      </c>
      <c r="AJ80" s="73"/>
    </row>
    <row r="81" spans="1:36" ht="18" customHeight="1">
      <c r="A81" s="95" t="s">
        <v>58</v>
      </c>
      <c r="B81" s="96" t="s">
        <v>33</v>
      </c>
      <c r="C81" s="95"/>
      <c r="D81" s="97"/>
      <c r="E81" s="95"/>
      <c r="F81" s="97"/>
      <c r="G81" s="95"/>
      <c r="H81" s="95"/>
      <c r="I81" s="95"/>
      <c r="J81" s="95"/>
      <c r="K81" s="97"/>
      <c r="L81" s="95"/>
      <c r="M81" s="97"/>
      <c r="N81" s="95"/>
      <c r="O81" s="95"/>
      <c r="P81" s="95"/>
      <c r="Q81" s="95"/>
      <c r="R81" s="97"/>
      <c r="S81" s="95"/>
      <c r="T81" s="97"/>
      <c r="U81" s="95"/>
      <c r="V81" s="95"/>
      <c r="W81" s="95"/>
      <c r="X81" s="95"/>
      <c r="Y81" s="97"/>
      <c r="Z81" s="95"/>
      <c r="AA81" s="97"/>
      <c r="AB81" s="95"/>
      <c r="AC81" s="95"/>
      <c r="AD81" s="95"/>
      <c r="AE81" s="95"/>
      <c r="AF81" s="97"/>
      <c r="AG81" s="66">
        <f t="shared" si="5"/>
        <v>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6"/>
        <v>一飛</v>
      </c>
      <c r="AJ81" s="73"/>
    </row>
    <row r="82" spans="1:36" ht="18" customHeight="1">
      <c r="A82" s="95" t="s">
        <v>58</v>
      </c>
      <c r="B82" s="96" t="s">
        <v>34</v>
      </c>
      <c r="C82" s="95"/>
      <c r="D82" s="97"/>
      <c r="E82" s="95"/>
      <c r="F82" s="97"/>
      <c r="G82" s="95"/>
      <c r="H82" s="95"/>
      <c r="I82" s="95"/>
      <c r="J82" s="95"/>
      <c r="K82" s="97"/>
      <c r="L82" s="95"/>
      <c r="M82" s="97"/>
      <c r="N82" s="95"/>
      <c r="O82" s="95"/>
      <c r="P82" s="95"/>
      <c r="Q82" s="95"/>
      <c r="R82" s="97"/>
      <c r="S82" s="95"/>
      <c r="T82" s="97"/>
      <c r="U82" s="95"/>
      <c r="V82" s="95"/>
      <c r="W82" s="95"/>
      <c r="X82" s="95"/>
      <c r="Y82" s="97"/>
      <c r="Z82" s="95"/>
      <c r="AA82" s="97"/>
      <c r="AB82" s="95"/>
      <c r="AC82" s="95"/>
      <c r="AD82" s="95"/>
      <c r="AE82" s="95"/>
      <c r="AF82" s="97"/>
      <c r="AG82" s="66">
        <f t="shared" si="5"/>
        <v>0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6"/>
        <v>雲翔</v>
      </c>
      <c r="AJ82" s="70"/>
    </row>
    <row r="83" spans="1:36" ht="18" customHeight="1">
      <c r="A83" s="95" t="s">
        <v>58</v>
      </c>
      <c r="B83" s="96" t="s">
        <v>88</v>
      </c>
      <c r="C83" s="95"/>
      <c r="D83" s="97"/>
      <c r="E83" s="95"/>
      <c r="F83" s="97"/>
      <c r="G83" s="95"/>
      <c r="H83" s="95"/>
      <c r="I83" s="95"/>
      <c r="J83" s="95"/>
      <c r="K83" s="97"/>
      <c r="L83" s="95"/>
      <c r="M83" s="97"/>
      <c r="N83" s="95"/>
      <c r="O83" s="95"/>
      <c r="P83" s="95"/>
      <c r="Q83" s="95"/>
      <c r="R83" s="97"/>
      <c r="S83" s="95"/>
      <c r="T83" s="97"/>
      <c r="U83" s="95"/>
      <c r="V83" s="95"/>
      <c r="W83" s="95"/>
      <c r="X83" s="95"/>
      <c r="Y83" s="97"/>
      <c r="Z83" s="95"/>
      <c r="AA83" s="97"/>
      <c r="AB83" s="95"/>
      <c r="AC83" s="95"/>
      <c r="AD83" s="95"/>
      <c r="AE83" s="95"/>
      <c r="AF83" s="97"/>
      <c r="AG83" s="66">
        <f t="shared" si="5"/>
        <v>0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6"/>
        <v>皓皓</v>
      </c>
      <c r="AJ83" s="70"/>
    </row>
    <row r="84" spans="1:36" ht="18" customHeight="1">
      <c r="A84" s="95" t="s">
        <v>58</v>
      </c>
      <c r="B84" s="96" t="s">
        <v>35</v>
      </c>
      <c r="C84" s="95"/>
      <c r="D84" s="97"/>
      <c r="E84" s="95"/>
      <c r="F84" s="97"/>
      <c r="G84" s="95"/>
      <c r="H84" s="95"/>
      <c r="I84" s="95"/>
      <c r="J84" s="95"/>
      <c r="K84" s="97"/>
      <c r="L84" s="95"/>
      <c r="M84" s="97"/>
      <c r="N84" s="95"/>
      <c r="O84" s="95"/>
      <c r="P84" s="95"/>
      <c r="Q84" s="95"/>
      <c r="R84" s="97"/>
      <c r="S84" s="95"/>
      <c r="T84" s="97"/>
      <c r="U84" s="95"/>
      <c r="V84" s="95"/>
      <c r="W84" s="95"/>
      <c r="X84" s="95"/>
      <c r="Y84" s="97"/>
      <c r="Z84" s="95"/>
      <c r="AA84" s="97"/>
      <c r="AB84" s="95"/>
      <c r="AC84" s="95"/>
      <c r="AD84" s="95"/>
      <c r="AE84" s="95"/>
      <c r="AF84" s="97"/>
      <c r="AG84" s="66">
        <f t="shared" si="5"/>
        <v>0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6"/>
        <v>阿戴</v>
      </c>
      <c r="AJ84" s="70"/>
    </row>
    <row r="85" spans="1:36" ht="18" customHeight="1">
      <c r="A85" s="95" t="s">
        <v>58</v>
      </c>
      <c r="B85" s="96" t="s">
        <v>36</v>
      </c>
      <c r="C85" s="95"/>
      <c r="D85" s="97"/>
      <c r="E85" s="95"/>
      <c r="F85" s="97"/>
      <c r="G85" s="95"/>
      <c r="H85" s="95"/>
      <c r="I85" s="95"/>
      <c r="J85" s="95"/>
      <c r="K85" s="97"/>
      <c r="L85" s="95"/>
      <c r="M85" s="97"/>
      <c r="N85" s="95"/>
      <c r="O85" s="95"/>
      <c r="P85" s="95"/>
      <c r="Q85" s="95"/>
      <c r="R85" s="97"/>
      <c r="S85" s="95"/>
      <c r="T85" s="97"/>
      <c r="U85" s="95"/>
      <c r="V85" s="95"/>
      <c r="W85" s="95"/>
      <c r="X85" s="95"/>
      <c r="Y85" s="97"/>
      <c r="Z85" s="95"/>
      <c r="AA85" s="97"/>
      <c r="AB85" s="95"/>
      <c r="AC85" s="95"/>
      <c r="AD85" s="95"/>
      <c r="AE85" s="95"/>
      <c r="AF85" s="97"/>
      <c r="AG85" s="66">
        <f t="shared" si="5"/>
        <v>0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6"/>
        <v>子澔</v>
      </c>
      <c r="AJ85" s="70"/>
    </row>
    <row r="86" spans="1:36" ht="18" customHeight="1">
      <c r="A86" s="95" t="s">
        <v>58</v>
      </c>
      <c r="B86" s="96" t="s">
        <v>37</v>
      </c>
      <c r="C86" s="95"/>
      <c r="D86" s="97"/>
      <c r="E86" s="95"/>
      <c r="F86" s="97"/>
      <c r="G86" s="95"/>
      <c r="H86" s="95"/>
      <c r="I86" s="95"/>
      <c r="J86" s="95"/>
      <c r="K86" s="97"/>
      <c r="L86" s="95"/>
      <c r="M86" s="97"/>
      <c r="N86" s="95"/>
      <c r="O86" s="95"/>
      <c r="P86" s="95"/>
      <c r="Q86" s="95"/>
      <c r="R86" s="97"/>
      <c r="S86" s="95"/>
      <c r="T86" s="97"/>
      <c r="U86" s="95"/>
      <c r="V86" s="95"/>
      <c r="W86" s="95"/>
      <c r="X86" s="95"/>
      <c r="Y86" s="97"/>
      <c r="Z86" s="95"/>
      <c r="AA86" s="97"/>
      <c r="AB86" s="95">
        <v>1</v>
      </c>
      <c r="AC86" s="95"/>
      <c r="AD86" s="95"/>
      <c r="AE86" s="95"/>
      <c r="AF86" s="97"/>
      <c r="AG86" s="66">
        <f t="shared" si="5"/>
        <v>1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6"/>
        <v>魚仔</v>
      </c>
      <c r="AJ86" s="70"/>
    </row>
    <row r="87" spans="1:36" ht="18" customHeight="1">
      <c r="A87" s="95" t="s">
        <v>58</v>
      </c>
      <c r="B87" s="96" t="s">
        <v>87</v>
      </c>
      <c r="C87" s="95"/>
      <c r="D87" s="97"/>
      <c r="E87" s="95"/>
      <c r="F87" s="97"/>
      <c r="G87" s="95"/>
      <c r="H87" s="95"/>
      <c r="I87" s="95"/>
      <c r="J87" s="95"/>
      <c r="K87" s="97"/>
      <c r="L87" s="95"/>
      <c r="M87" s="97"/>
      <c r="N87" s="95"/>
      <c r="O87" s="95"/>
      <c r="P87" s="95"/>
      <c r="Q87" s="95"/>
      <c r="R87" s="97"/>
      <c r="S87" s="95"/>
      <c r="T87" s="97"/>
      <c r="U87" s="95"/>
      <c r="V87" s="95"/>
      <c r="W87" s="95"/>
      <c r="X87" s="95"/>
      <c r="Y87" s="97"/>
      <c r="Z87" s="95"/>
      <c r="AA87" s="97"/>
      <c r="AB87" s="95"/>
      <c r="AC87" s="95"/>
      <c r="AD87" s="95"/>
      <c r="AE87" s="95"/>
      <c r="AF87" s="97"/>
      <c r="AG87" s="66">
        <f t="shared" si="5"/>
        <v>0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6"/>
        <v>Mango</v>
      </c>
      <c r="AJ87" s="70"/>
    </row>
    <row r="88" spans="1:36" ht="18" customHeight="1">
      <c r="A88" s="99" t="s">
        <v>58</v>
      </c>
      <c r="B88" s="100" t="s">
        <v>151</v>
      </c>
      <c r="C88" s="99"/>
      <c r="D88" s="97"/>
      <c r="E88" s="99"/>
      <c r="F88" s="97"/>
      <c r="G88" s="99"/>
      <c r="H88" s="99"/>
      <c r="I88" s="99"/>
      <c r="J88" s="99">
        <v>1</v>
      </c>
      <c r="K88" s="97"/>
      <c r="L88" s="99">
        <v>1</v>
      </c>
      <c r="M88" s="97"/>
      <c r="N88" s="99"/>
      <c r="O88" s="99"/>
      <c r="P88" s="99"/>
      <c r="Q88" s="99"/>
      <c r="R88" s="97"/>
      <c r="S88" s="99">
        <v>1</v>
      </c>
      <c r="T88" s="97"/>
      <c r="U88" s="99">
        <v>1</v>
      </c>
      <c r="V88" s="99"/>
      <c r="W88" s="99"/>
      <c r="X88" s="99"/>
      <c r="Y88" s="97"/>
      <c r="Z88" s="99"/>
      <c r="AA88" s="97"/>
      <c r="AB88" s="99"/>
      <c r="AC88" s="99"/>
      <c r="AD88" s="99"/>
      <c r="AE88" s="99"/>
      <c r="AF88" s="97"/>
      <c r="AG88" s="77">
        <f t="shared" si="5"/>
        <v>4</v>
      </c>
      <c r="AH88" s="9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79" t="str">
        <f t="shared" si="6"/>
        <v>宇嬅</v>
      </c>
      <c r="AJ88" s="82"/>
    </row>
    <row r="89" spans="1:36" ht="18" customHeight="1">
      <c r="A89" s="99" t="s">
        <v>58</v>
      </c>
      <c r="B89" s="100" t="s">
        <v>152</v>
      </c>
      <c r="C89" s="99"/>
      <c r="D89" s="97"/>
      <c r="E89" s="99"/>
      <c r="F89" s="97"/>
      <c r="G89" s="99"/>
      <c r="H89" s="99"/>
      <c r="I89" s="99"/>
      <c r="J89" s="99"/>
      <c r="K89" s="97"/>
      <c r="L89" s="99"/>
      <c r="M89" s="97"/>
      <c r="N89" s="99"/>
      <c r="O89" s="99"/>
      <c r="P89" s="99"/>
      <c r="Q89" s="99"/>
      <c r="R89" s="97"/>
      <c r="S89" s="99"/>
      <c r="T89" s="97"/>
      <c r="U89" s="99"/>
      <c r="V89" s="99"/>
      <c r="W89" s="99"/>
      <c r="X89" s="99"/>
      <c r="Y89" s="97"/>
      <c r="Z89" s="99"/>
      <c r="AA89" s="97"/>
      <c r="AB89" s="99"/>
      <c r="AC89" s="99"/>
      <c r="AD89" s="99"/>
      <c r="AE89" s="99"/>
      <c r="AF89" s="97"/>
      <c r="AG89" s="77">
        <f t="shared" si="5"/>
        <v>0</v>
      </c>
      <c r="AH89" s="9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79" t="str">
        <f t="shared" si="6"/>
        <v>阿俗</v>
      </c>
      <c r="AJ89" s="81"/>
    </row>
    <row r="90" spans="1:36" ht="18" customHeight="1">
      <c r="A90" s="99" t="s">
        <v>58</v>
      </c>
      <c r="B90" s="100" t="s">
        <v>153</v>
      </c>
      <c r="C90" s="99"/>
      <c r="D90" s="97"/>
      <c r="E90" s="99"/>
      <c r="F90" s="97"/>
      <c r="G90" s="99"/>
      <c r="H90" s="99"/>
      <c r="I90" s="99"/>
      <c r="J90" s="99"/>
      <c r="K90" s="97"/>
      <c r="L90" s="99"/>
      <c r="M90" s="97"/>
      <c r="N90" s="99"/>
      <c r="O90" s="99"/>
      <c r="P90" s="99"/>
      <c r="Q90" s="99"/>
      <c r="R90" s="97"/>
      <c r="S90" s="99"/>
      <c r="T90" s="97"/>
      <c r="U90" s="99"/>
      <c r="V90" s="99"/>
      <c r="W90" s="99"/>
      <c r="X90" s="99"/>
      <c r="Y90" s="97"/>
      <c r="Z90" s="99"/>
      <c r="AA90" s="97"/>
      <c r="AB90" s="99"/>
      <c r="AC90" s="99"/>
      <c r="AD90" s="99"/>
      <c r="AE90" s="99"/>
      <c r="AF90" s="97"/>
      <c r="AG90" s="77">
        <f t="shared" si="5"/>
        <v>0</v>
      </c>
      <c r="AH90" s="9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79" t="str">
        <f t="shared" si="6"/>
        <v>傻妹</v>
      </c>
      <c r="AJ90" s="81"/>
    </row>
    <row r="91" spans="1:36" ht="18" customHeight="1">
      <c r="A91" s="99" t="s">
        <v>58</v>
      </c>
      <c r="B91" s="100" t="s">
        <v>96</v>
      </c>
      <c r="C91" s="99"/>
      <c r="D91" s="97"/>
      <c r="E91" s="99"/>
      <c r="F91" s="97"/>
      <c r="G91" s="99"/>
      <c r="H91" s="99"/>
      <c r="I91" s="99"/>
      <c r="J91" s="99"/>
      <c r="K91" s="97"/>
      <c r="L91" s="99"/>
      <c r="M91" s="97"/>
      <c r="N91" s="99"/>
      <c r="O91" s="99"/>
      <c r="P91" s="99"/>
      <c r="Q91" s="99"/>
      <c r="R91" s="97"/>
      <c r="S91" s="99"/>
      <c r="T91" s="97"/>
      <c r="U91" s="99"/>
      <c r="V91" s="99"/>
      <c r="W91" s="99"/>
      <c r="X91" s="99"/>
      <c r="Y91" s="97"/>
      <c r="Z91" s="99"/>
      <c r="AA91" s="97"/>
      <c r="AB91" s="99"/>
      <c r="AC91" s="99"/>
      <c r="AD91" s="99"/>
      <c r="AE91" s="99"/>
      <c r="AF91" s="97"/>
      <c r="AG91" s="77">
        <f t="shared" si="5"/>
        <v>0</v>
      </c>
      <c r="AH91" s="98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79" t="str">
        <f t="shared" si="6"/>
        <v>靜婷</v>
      </c>
      <c r="AJ91" s="81"/>
    </row>
    <row r="92" spans="1:36" ht="18" customHeight="1">
      <c r="A92" s="99" t="s">
        <v>58</v>
      </c>
      <c r="B92" s="100" t="s">
        <v>154</v>
      </c>
      <c r="C92" s="99"/>
      <c r="D92" s="97"/>
      <c r="E92" s="99"/>
      <c r="F92" s="97"/>
      <c r="G92" s="99"/>
      <c r="H92" s="99"/>
      <c r="I92" s="99"/>
      <c r="J92" s="99"/>
      <c r="K92" s="97"/>
      <c r="L92" s="99"/>
      <c r="M92" s="97"/>
      <c r="N92" s="99"/>
      <c r="O92" s="99"/>
      <c r="P92" s="99"/>
      <c r="Q92" s="99"/>
      <c r="R92" s="97"/>
      <c r="S92" s="99"/>
      <c r="T92" s="97"/>
      <c r="U92" s="99"/>
      <c r="V92" s="99"/>
      <c r="W92" s="99"/>
      <c r="X92" s="99"/>
      <c r="Y92" s="97"/>
      <c r="Z92" s="99"/>
      <c r="AA92" s="97"/>
      <c r="AB92" s="99"/>
      <c r="AC92" s="99"/>
      <c r="AD92" s="99"/>
      <c r="AE92" s="99"/>
      <c r="AF92" s="97"/>
      <c r="AG92" s="77">
        <f t="shared" si="5"/>
        <v>0</v>
      </c>
      <c r="AH92" s="98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79" t="str">
        <f t="shared" si="6"/>
        <v>筱攸</v>
      </c>
      <c r="AJ92" s="81"/>
    </row>
    <row r="93" spans="1:36" ht="18" customHeight="1">
      <c r="A93" s="99" t="s">
        <v>58</v>
      </c>
      <c r="B93" s="100" t="s">
        <v>155</v>
      </c>
      <c r="C93" s="99"/>
      <c r="D93" s="97"/>
      <c r="E93" s="99"/>
      <c r="F93" s="97"/>
      <c r="G93" s="99"/>
      <c r="H93" s="99"/>
      <c r="I93" s="99"/>
      <c r="J93" s="99"/>
      <c r="K93" s="97"/>
      <c r="L93" s="99"/>
      <c r="M93" s="97"/>
      <c r="N93" s="99"/>
      <c r="O93" s="99"/>
      <c r="P93" s="99"/>
      <c r="Q93" s="99"/>
      <c r="R93" s="97"/>
      <c r="S93" s="99"/>
      <c r="T93" s="97"/>
      <c r="U93" s="99"/>
      <c r="V93" s="99"/>
      <c r="W93" s="99"/>
      <c r="X93" s="99"/>
      <c r="Y93" s="97"/>
      <c r="Z93" s="99"/>
      <c r="AA93" s="97"/>
      <c r="AB93" s="99"/>
      <c r="AC93" s="99"/>
      <c r="AD93" s="99"/>
      <c r="AE93" s="99"/>
      <c r="AF93" s="97"/>
      <c r="AG93" s="77">
        <f t="shared" si="5"/>
        <v>0</v>
      </c>
      <c r="AH93" s="9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79" t="str">
        <f t="shared" si="6"/>
        <v>康康</v>
      </c>
      <c r="AJ93" s="81"/>
    </row>
    <row r="94" spans="1:36" ht="18" customHeight="1">
      <c r="A94" s="99" t="s">
        <v>58</v>
      </c>
      <c r="B94" s="100" t="s">
        <v>156</v>
      </c>
      <c r="C94" s="99"/>
      <c r="D94" s="97"/>
      <c r="E94" s="99"/>
      <c r="F94" s="97"/>
      <c r="G94" s="99"/>
      <c r="H94" s="99"/>
      <c r="I94" s="99"/>
      <c r="J94" s="99"/>
      <c r="K94" s="97"/>
      <c r="L94" s="99"/>
      <c r="M94" s="97"/>
      <c r="N94" s="99"/>
      <c r="O94" s="99"/>
      <c r="P94" s="99"/>
      <c r="Q94" s="99"/>
      <c r="R94" s="97"/>
      <c r="S94" s="99"/>
      <c r="T94" s="97"/>
      <c r="U94" s="99"/>
      <c r="V94" s="99"/>
      <c r="W94" s="99"/>
      <c r="X94" s="99"/>
      <c r="Y94" s="97"/>
      <c r="Z94" s="99"/>
      <c r="AA94" s="97"/>
      <c r="AB94" s="99"/>
      <c r="AC94" s="99"/>
      <c r="AD94" s="99"/>
      <c r="AE94" s="99"/>
      <c r="AF94" s="97"/>
      <c r="AG94" s="77">
        <f t="shared" si="5"/>
        <v>0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si="6"/>
        <v>阿金</v>
      </c>
      <c r="AJ94" s="81"/>
    </row>
    <row r="95" spans="1:36" ht="18" customHeight="1">
      <c r="A95" s="99" t="s">
        <v>58</v>
      </c>
      <c r="B95" s="100" t="s">
        <v>157</v>
      </c>
      <c r="C95" s="99"/>
      <c r="D95" s="97"/>
      <c r="E95" s="99"/>
      <c r="F95" s="97"/>
      <c r="G95" s="99"/>
      <c r="H95" s="99"/>
      <c r="I95" s="99"/>
      <c r="J95" s="99"/>
      <c r="K95" s="97"/>
      <c r="L95" s="99"/>
      <c r="M95" s="97"/>
      <c r="N95" s="99"/>
      <c r="O95" s="99"/>
      <c r="P95" s="99"/>
      <c r="Q95" s="99"/>
      <c r="R95" s="97"/>
      <c r="S95" s="99"/>
      <c r="T95" s="97"/>
      <c r="U95" s="99"/>
      <c r="V95" s="99"/>
      <c r="W95" s="99"/>
      <c r="X95" s="99"/>
      <c r="Y95" s="97"/>
      <c r="Z95" s="99"/>
      <c r="AA95" s="97"/>
      <c r="AB95" s="99"/>
      <c r="AC95" s="99"/>
      <c r="AD95" s="99"/>
      <c r="AE95" s="99"/>
      <c r="AF95" s="97"/>
      <c r="AG95" s="77">
        <f t="shared" si="5"/>
        <v>0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6"/>
        <v>派大</v>
      </c>
      <c r="AJ95" s="81"/>
    </row>
    <row r="96" spans="1:36" ht="18" customHeight="1">
      <c r="A96" s="99" t="s">
        <v>58</v>
      </c>
      <c r="B96" s="100" t="s">
        <v>158</v>
      </c>
      <c r="C96" s="99"/>
      <c r="D96" s="97"/>
      <c r="E96" s="99"/>
      <c r="F96" s="97"/>
      <c r="G96" s="99"/>
      <c r="H96" s="99"/>
      <c r="I96" s="99"/>
      <c r="J96" s="99"/>
      <c r="K96" s="97"/>
      <c r="L96" s="99"/>
      <c r="M96" s="97"/>
      <c r="N96" s="99"/>
      <c r="O96" s="99"/>
      <c r="P96" s="99"/>
      <c r="Q96" s="99"/>
      <c r="R96" s="97"/>
      <c r="S96" s="99"/>
      <c r="T96" s="97"/>
      <c r="U96" s="99"/>
      <c r="V96" s="99"/>
      <c r="W96" s="99"/>
      <c r="X96" s="99"/>
      <c r="Y96" s="97"/>
      <c r="Z96" s="99"/>
      <c r="AA96" s="97"/>
      <c r="AB96" s="99"/>
      <c r="AC96" s="99"/>
      <c r="AD96" s="99"/>
      <c r="AE96" s="99"/>
      <c r="AF96" s="97"/>
      <c r="AG96" s="77">
        <f t="shared" si="5"/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6"/>
        <v>吉娃</v>
      </c>
      <c r="AJ96" s="81"/>
    </row>
    <row r="97" spans="1:36" ht="18" customHeight="1">
      <c r="A97" s="99" t="s">
        <v>58</v>
      </c>
      <c r="B97" s="100" t="s">
        <v>159</v>
      </c>
      <c r="C97" s="99"/>
      <c r="D97" s="97"/>
      <c r="E97" s="99"/>
      <c r="F97" s="97"/>
      <c r="G97" s="99"/>
      <c r="H97" s="99"/>
      <c r="I97" s="99"/>
      <c r="J97" s="99"/>
      <c r="K97" s="97"/>
      <c r="L97" s="99"/>
      <c r="M97" s="97"/>
      <c r="N97" s="99"/>
      <c r="O97" s="99"/>
      <c r="P97" s="99"/>
      <c r="Q97" s="99"/>
      <c r="R97" s="97"/>
      <c r="S97" s="99"/>
      <c r="T97" s="97"/>
      <c r="U97" s="99"/>
      <c r="V97" s="99"/>
      <c r="W97" s="99"/>
      <c r="X97" s="99"/>
      <c r="Y97" s="97"/>
      <c r="Z97" s="99"/>
      <c r="AA97" s="97"/>
      <c r="AB97" s="99"/>
      <c r="AC97" s="99"/>
      <c r="AD97" s="99"/>
      <c r="AE97" s="99"/>
      <c r="AF97" s="97"/>
      <c r="AG97" s="77">
        <f t="shared" si="5"/>
        <v>0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6"/>
        <v>小寧</v>
      </c>
      <c r="AJ97" s="81"/>
    </row>
    <row r="98" spans="1:36" ht="18" customHeight="1">
      <c r="A98" s="99" t="s">
        <v>58</v>
      </c>
      <c r="B98" s="100" t="s">
        <v>160</v>
      </c>
      <c r="C98" s="99"/>
      <c r="D98" s="97"/>
      <c r="E98" s="99"/>
      <c r="F98" s="97"/>
      <c r="G98" s="99"/>
      <c r="H98" s="99"/>
      <c r="I98" s="99"/>
      <c r="J98" s="99"/>
      <c r="K98" s="97"/>
      <c r="L98" s="99"/>
      <c r="M98" s="97"/>
      <c r="N98" s="99"/>
      <c r="O98" s="99"/>
      <c r="P98" s="99"/>
      <c r="Q98" s="99"/>
      <c r="R98" s="97"/>
      <c r="S98" s="99"/>
      <c r="T98" s="97"/>
      <c r="U98" s="99"/>
      <c r="V98" s="99"/>
      <c r="W98" s="99"/>
      <c r="X98" s="99"/>
      <c r="Y98" s="97"/>
      <c r="Z98" s="99"/>
      <c r="AA98" s="97"/>
      <c r="AB98" s="99"/>
      <c r="AC98" s="99"/>
      <c r="AD98" s="99"/>
      <c r="AE98" s="99"/>
      <c r="AF98" s="97"/>
      <c r="AG98" s="77">
        <f t="shared" si="5"/>
        <v>0</v>
      </c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6"/>
        <v>小妹</v>
      </c>
      <c r="AJ98" s="81"/>
    </row>
    <row r="99" spans="1:36" ht="18" customHeight="1">
      <c r="A99" s="99" t="s">
        <v>58</v>
      </c>
      <c r="B99" s="100" t="s">
        <v>101</v>
      </c>
      <c r="C99" s="99"/>
      <c r="D99" s="97"/>
      <c r="E99" s="99"/>
      <c r="F99" s="97"/>
      <c r="G99" s="99"/>
      <c r="H99" s="99"/>
      <c r="I99" s="99"/>
      <c r="J99" s="99"/>
      <c r="K99" s="97"/>
      <c r="L99" s="99"/>
      <c r="M99" s="97"/>
      <c r="N99" s="99"/>
      <c r="O99" s="99"/>
      <c r="P99" s="99">
        <v>1</v>
      </c>
      <c r="Q99" s="99"/>
      <c r="R99" s="97"/>
      <c r="S99" s="99"/>
      <c r="T99" s="97"/>
      <c r="U99" s="99"/>
      <c r="V99" s="99"/>
      <c r="W99" s="99"/>
      <c r="X99" s="99"/>
      <c r="Y99" s="97"/>
      <c r="Z99" s="99"/>
      <c r="AA99" s="97"/>
      <c r="AB99" s="99"/>
      <c r="AC99" s="99"/>
      <c r="AD99" s="99"/>
      <c r="AE99" s="99"/>
      <c r="AF99" s="97"/>
      <c r="AG99" s="77">
        <f t="shared" si="5"/>
        <v>1</v>
      </c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6"/>
        <v>文媛</v>
      </c>
      <c r="AJ99" s="81"/>
    </row>
    <row r="100" spans="1:36" ht="18" customHeight="1">
      <c r="A100" s="99" t="s">
        <v>58</v>
      </c>
      <c r="B100" s="100" t="s">
        <v>161</v>
      </c>
      <c r="C100" s="99"/>
      <c r="D100" s="97"/>
      <c r="E100" s="99"/>
      <c r="F100" s="97"/>
      <c r="G100" s="99"/>
      <c r="H100" s="99"/>
      <c r="I100" s="99"/>
      <c r="J100" s="99"/>
      <c r="K100" s="97"/>
      <c r="L100" s="99"/>
      <c r="M100" s="97"/>
      <c r="N100" s="99"/>
      <c r="O100" s="99"/>
      <c r="P100" s="99"/>
      <c r="Q100" s="99"/>
      <c r="R100" s="97"/>
      <c r="S100" s="99"/>
      <c r="T100" s="97"/>
      <c r="U100" s="99"/>
      <c r="V100" s="99"/>
      <c r="W100" s="99"/>
      <c r="X100" s="99"/>
      <c r="Y100" s="97"/>
      <c r="Z100" s="99"/>
      <c r="AA100" s="97"/>
      <c r="AB100" s="99"/>
      <c r="AC100" s="99"/>
      <c r="AD100" s="99"/>
      <c r="AE100" s="99"/>
      <c r="AF100" s="97"/>
      <c r="AG100" s="77">
        <f t="shared" ref="AG100:AG133" si="7">COUNTA(C100:AD100)</f>
        <v>0</v>
      </c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ref="AI100:AI133" si="8">B100</f>
        <v>佩鈺</v>
      </c>
      <c r="AJ100" s="81"/>
    </row>
    <row r="101" spans="1:36" ht="18" customHeight="1">
      <c r="A101" s="99" t="s">
        <v>58</v>
      </c>
      <c r="B101" s="100" t="s">
        <v>162</v>
      </c>
      <c r="C101" s="99"/>
      <c r="D101" s="97"/>
      <c r="E101" s="99"/>
      <c r="F101" s="97"/>
      <c r="G101" s="99"/>
      <c r="H101" s="99"/>
      <c r="I101" s="99"/>
      <c r="J101" s="99"/>
      <c r="K101" s="97"/>
      <c r="L101" s="99"/>
      <c r="M101" s="97"/>
      <c r="N101" s="99"/>
      <c r="O101" s="99"/>
      <c r="P101" s="99"/>
      <c r="Q101" s="99"/>
      <c r="R101" s="97"/>
      <c r="S101" s="99"/>
      <c r="T101" s="97"/>
      <c r="U101" s="99"/>
      <c r="V101" s="99"/>
      <c r="W101" s="99"/>
      <c r="X101" s="99"/>
      <c r="Y101" s="97"/>
      <c r="Z101" s="99"/>
      <c r="AA101" s="97"/>
      <c r="AB101" s="99"/>
      <c r="AC101" s="99"/>
      <c r="AD101" s="99"/>
      <c r="AE101" s="99"/>
      <c r="AF101" s="97"/>
      <c r="AG101" s="77">
        <f t="shared" si="7"/>
        <v>0</v>
      </c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8"/>
        <v>阿布</v>
      </c>
      <c r="AJ101" s="81"/>
    </row>
    <row r="102" spans="1:36" ht="18" customHeight="1">
      <c r="A102" s="99" t="s">
        <v>58</v>
      </c>
      <c r="B102" s="100" t="s">
        <v>100</v>
      </c>
      <c r="C102" s="99"/>
      <c r="D102" s="97"/>
      <c r="E102" s="99"/>
      <c r="F102" s="97"/>
      <c r="G102" s="99"/>
      <c r="H102" s="99"/>
      <c r="I102" s="99"/>
      <c r="J102" s="99"/>
      <c r="K102" s="97"/>
      <c r="L102" s="99"/>
      <c r="M102" s="97"/>
      <c r="N102" s="99"/>
      <c r="O102" s="99"/>
      <c r="P102" s="99"/>
      <c r="Q102" s="99"/>
      <c r="R102" s="97"/>
      <c r="S102" s="99"/>
      <c r="T102" s="97"/>
      <c r="U102" s="99"/>
      <c r="V102" s="99"/>
      <c r="W102" s="99"/>
      <c r="X102" s="99"/>
      <c r="Y102" s="97"/>
      <c r="Z102" s="99"/>
      <c r="AA102" s="97"/>
      <c r="AB102" s="99"/>
      <c r="AC102" s="99"/>
      <c r="AD102" s="99"/>
      <c r="AE102" s="99"/>
      <c r="AF102" s="97"/>
      <c r="AG102" s="77">
        <f t="shared" si="7"/>
        <v>0</v>
      </c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8"/>
        <v>餅餅</v>
      </c>
      <c r="AJ102" s="81"/>
    </row>
    <row r="103" spans="1:36" ht="18" customHeight="1">
      <c r="A103" s="99" t="s">
        <v>58</v>
      </c>
      <c r="B103" s="100" t="s">
        <v>163</v>
      </c>
      <c r="C103" s="99"/>
      <c r="D103" s="97"/>
      <c r="E103" s="99"/>
      <c r="F103" s="97"/>
      <c r="G103" s="99"/>
      <c r="H103" s="99"/>
      <c r="I103" s="99"/>
      <c r="J103" s="99"/>
      <c r="K103" s="97"/>
      <c r="L103" s="99"/>
      <c r="M103" s="97"/>
      <c r="N103" s="99"/>
      <c r="O103" s="99"/>
      <c r="P103" s="99"/>
      <c r="Q103" s="99"/>
      <c r="R103" s="97"/>
      <c r="S103" s="99"/>
      <c r="T103" s="97"/>
      <c r="U103" s="99"/>
      <c r="V103" s="99"/>
      <c r="W103" s="99"/>
      <c r="X103" s="99"/>
      <c r="Y103" s="97"/>
      <c r="Z103" s="99"/>
      <c r="AA103" s="97"/>
      <c r="AB103" s="99"/>
      <c r="AC103" s="99"/>
      <c r="AD103" s="99"/>
      <c r="AE103" s="99"/>
      <c r="AF103" s="97"/>
      <c r="AG103" s="77">
        <f t="shared" si="7"/>
        <v>0</v>
      </c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8"/>
        <v>小個</v>
      </c>
      <c r="AJ103" s="81"/>
    </row>
    <row r="104" spans="1:36" ht="18" customHeight="1">
      <c r="A104" s="99" t="s">
        <v>58</v>
      </c>
      <c r="B104" s="100" t="s">
        <v>164</v>
      </c>
      <c r="C104" s="99"/>
      <c r="D104" s="97"/>
      <c r="E104" s="99"/>
      <c r="F104" s="97"/>
      <c r="G104" s="99"/>
      <c r="H104" s="99"/>
      <c r="I104" s="99"/>
      <c r="J104" s="99"/>
      <c r="K104" s="97"/>
      <c r="L104" s="99"/>
      <c r="M104" s="97"/>
      <c r="N104" s="99"/>
      <c r="O104" s="99"/>
      <c r="P104" s="99"/>
      <c r="Q104" s="99"/>
      <c r="R104" s="97"/>
      <c r="S104" s="99"/>
      <c r="T104" s="97"/>
      <c r="U104" s="99"/>
      <c r="V104" s="99"/>
      <c r="W104" s="99"/>
      <c r="X104" s="99"/>
      <c r="Y104" s="97"/>
      <c r="Z104" s="99"/>
      <c r="AA104" s="97"/>
      <c r="AB104" s="99"/>
      <c r="AC104" s="99"/>
      <c r="AD104" s="99"/>
      <c r="AE104" s="99"/>
      <c r="AF104" s="97"/>
      <c r="AG104" s="77">
        <f t="shared" si="7"/>
        <v>0</v>
      </c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8"/>
        <v>小菜</v>
      </c>
      <c r="AJ104" s="81"/>
    </row>
    <row r="105" spans="1:36" ht="18" customHeight="1">
      <c r="A105" s="99" t="s">
        <v>58</v>
      </c>
      <c r="B105" s="100" t="s">
        <v>102</v>
      </c>
      <c r="C105" s="99"/>
      <c r="D105" s="97"/>
      <c r="E105" s="99"/>
      <c r="F105" s="97"/>
      <c r="G105" s="99"/>
      <c r="H105" s="99"/>
      <c r="I105" s="99"/>
      <c r="J105" s="99"/>
      <c r="K105" s="97"/>
      <c r="L105" s="99"/>
      <c r="M105" s="97"/>
      <c r="N105" s="99"/>
      <c r="O105" s="99"/>
      <c r="P105" s="99">
        <v>1</v>
      </c>
      <c r="Q105" s="99"/>
      <c r="R105" s="97"/>
      <c r="S105" s="99"/>
      <c r="T105" s="97"/>
      <c r="U105" s="99"/>
      <c r="V105" s="99"/>
      <c r="W105" s="99"/>
      <c r="X105" s="99"/>
      <c r="Y105" s="97"/>
      <c r="Z105" s="99"/>
      <c r="AA105" s="97"/>
      <c r="AB105" s="99">
        <v>1</v>
      </c>
      <c r="AC105" s="99"/>
      <c r="AD105" s="99"/>
      <c r="AE105" s="99"/>
      <c r="AF105" s="97"/>
      <c r="AG105" s="77">
        <f t="shared" si="7"/>
        <v>2</v>
      </c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8"/>
        <v>妮妮</v>
      </c>
      <c r="AJ105" s="81"/>
    </row>
    <row r="106" spans="1:36" ht="18" customHeight="1">
      <c r="A106" s="99" t="s">
        <v>58</v>
      </c>
      <c r="B106" s="100" t="s">
        <v>165</v>
      </c>
      <c r="C106" s="99"/>
      <c r="D106" s="97"/>
      <c r="E106" s="99"/>
      <c r="F106" s="97"/>
      <c r="G106" s="99"/>
      <c r="H106" s="99"/>
      <c r="I106" s="99"/>
      <c r="J106" s="99">
        <v>1</v>
      </c>
      <c r="K106" s="97"/>
      <c r="L106" s="99"/>
      <c r="M106" s="97"/>
      <c r="N106" s="99"/>
      <c r="O106" s="99"/>
      <c r="P106" s="99"/>
      <c r="Q106" s="99"/>
      <c r="R106" s="97"/>
      <c r="S106" s="99"/>
      <c r="T106" s="97"/>
      <c r="U106" s="99">
        <v>1</v>
      </c>
      <c r="V106" s="99"/>
      <c r="W106" s="99"/>
      <c r="X106" s="99"/>
      <c r="Y106" s="97"/>
      <c r="Z106" s="99"/>
      <c r="AA106" s="97"/>
      <c r="AB106" s="99">
        <v>1</v>
      </c>
      <c r="AC106" s="99"/>
      <c r="AD106" s="99"/>
      <c r="AE106" s="99"/>
      <c r="AF106" s="97"/>
      <c r="AG106" s="77">
        <f t="shared" si="7"/>
        <v>3</v>
      </c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8"/>
        <v>小貓</v>
      </c>
      <c r="AJ106" s="81"/>
    </row>
    <row r="107" spans="1:36" ht="18" customHeight="1">
      <c r="A107" s="99" t="s">
        <v>58</v>
      </c>
      <c r="B107" s="100" t="s">
        <v>166</v>
      </c>
      <c r="C107" s="99"/>
      <c r="D107" s="97"/>
      <c r="E107" s="99"/>
      <c r="F107" s="97"/>
      <c r="G107" s="99"/>
      <c r="H107" s="99"/>
      <c r="I107" s="99"/>
      <c r="J107" s="99"/>
      <c r="K107" s="97"/>
      <c r="L107" s="99"/>
      <c r="M107" s="97"/>
      <c r="N107" s="99"/>
      <c r="O107" s="99"/>
      <c r="P107" s="99"/>
      <c r="Q107" s="99"/>
      <c r="R107" s="97"/>
      <c r="S107" s="99"/>
      <c r="T107" s="97"/>
      <c r="U107" s="99"/>
      <c r="V107" s="99"/>
      <c r="W107" s="99"/>
      <c r="X107" s="99"/>
      <c r="Y107" s="97"/>
      <c r="Z107" s="99"/>
      <c r="AA107" s="97"/>
      <c r="AB107" s="99"/>
      <c r="AC107" s="99"/>
      <c r="AD107" s="99"/>
      <c r="AE107" s="99"/>
      <c r="AF107" s="97"/>
      <c r="AG107" s="77">
        <f t="shared" si="7"/>
        <v>0</v>
      </c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8"/>
        <v>哈比</v>
      </c>
      <c r="AJ107" s="81"/>
    </row>
    <row r="108" spans="1:36" ht="18" customHeight="1">
      <c r="A108" s="101" t="s">
        <v>58</v>
      </c>
      <c r="B108" s="102" t="s">
        <v>124</v>
      </c>
      <c r="C108" s="101"/>
      <c r="D108" s="97"/>
      <c r="E108" s="101"/>
      <c r="F108" s="97"/>
      <c r="G108" s="101"/>
      <c r="H108" s="101">
        <v>1</v>
      </c>
      <c r="I108" s="101"/>
      <c r="J108" s="101"/>
      <c r="K108" s="97"/>
      <c r="L108" s="101"/>
      <c r="M108" s="97"/>
      <c r="N108" s="101"/>
      <c r="O108" s="101"/>
      <c r="P108" s="101"/>
      <c r="Q108" s="101"/>
      <c r="R108" s="97"/>
      <c r="S108" s="101"/>
      <c r="T108" s="97"/>
      <c r="U108" s="101"/>
      <c r="V108" s="101"/>
      <c r="W108" s="101"/>
      <c r="X108" s="101"/>
      <c r="Y108" s="97"/>
      <c r="Z108" s="101"/>
      <c r="AA108" s="97"/>
      <c r="AB108" s="101"/>
      <c r="AC108" s="101"/>
      <c r="AD108" s="101"/>
      <c r="AE108" s="101"/>
      <c r="AF108" s="97"/>
      <c r="AG108" s="86">
        <f t="shared" si="7"/>
        <v>1</v>
      </c>
      <c r="AH108" s="103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88" t="str">
        <f t="shared" si="8"/>
        <v>玉蕙</v>
      </c>
      <c r="AJ108" s="89"/>
    </row>
    <row r="109" spans="1:36" ht="18" customHeight="1">
      <c r="A109" s="101" t="s">
        <v>58</v>
      </c>
      <c r="B109" s="102" t="s">
        <v>125</v>
      </c>
      <c r="C109" s="101"/>
      <c r="D109" s="97"/>
      <c r="E109" s="101"/>
      <c r="F109" s="97"/>
      <c r="G109" s="101"/>
      <c r="H109" s="101"/>
      <c r="I109" s="101"/>
      <c r="J109" s="101"/>
      <c r="K109" s="97"/>
      <c r="L109" s="101"/>
      <c r="M109" s="97"/>
      <c r="N109" s="101"/>
      <c r="O109" s="101"/>
      <c r="P109" s="101"/>
      <c r="Q109" s="101"/>
      <c r="R109" s="97"/>
      <c r="S109" s="101"/>
      <c r="T109" s="97"/>
      <c r="U109" s="101"/>
      <c r="V109" s="101"/>
      <c r="W109" s="101"/>
      <c r="X109" s="101"/>
      <c r="Y109" s="97"/>
      <c r="Z109" s="101"/>
      <c r="AA109" s="97"/>
      <c r="AB109" s="101"/>
      <c r="AC109" s="101"/>
      <c r="AD109" s="101"/>
      <c r="AE109" s="101"/>
      <c r="AF109" s="97"/>
      <c r="AG109" s="86">
        <f t="shared" si="7"/>
        <v>0</v>
      </c>
      <c r="AH109" s="103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88" t="str">
        <f t="shared" si="8"/>
        <v>沛緁</v>
      </c>
      <c r="AJ109" s="89"/>
    </row>
    <row r="110" spans="1:36" ht="18" customHeight="1">
      <c r="A110" s="101" t="s">
        <v>58</v>
      </c>
      <c r="B110" s="102" t="s">
        <v>126</v>
      </c>
      <c r="C110" s="101"/>
      <c r="D110" s="97"/>
      <c r="E110" s="101"/>
      <c r="F110" s="97"/>
      <c r="G110" s="101"/>
      <c r="H110" s="101"/>
      <c r="I110" s="101"/>
      <c r="J110" s="101"/>
      <c r="K110" s="97"/>
      <c r="L110" s="101"/>
      <c r="M110" s="97"/>
      <c r="N110" s="101"/>
      <c r="O110" s="101"/>
      <c r="P110" s="101"/>
      <c r="Q110" s="101"/>
      <c r="R110" s="97"/>
      <c r="S110" s="101">
        <v>1</v>
      </c>
      <c r="T110" s="97"/>
      <c r="U110" s="101"/>
      <c r="V110" s="101"/>
      <c r="W110" s="101"/>
      <c r="X110" s="101"/>
      <c r="Y110" s="97"/>
      <c r="Z110" s="101"/>
      <c r="AA110" s="97"/>
      <c r="AB110" s="101"/>
      <c r="AC110" s="101"/>
      <c r="AD110" s="101"/>
      <c r="AE110" s="101"/>
      <c r="AF110" s="97"/>
      <c r="AG110" s="86">
        <f t="shared" si="7"/>
        <v>1</v>
      </c>
      <c r="AH110" s="103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88" t="str">
        <f t="shared" si="8"/>
        <v>妹妹</v>
      </c>
      <c r="AJ110" s="89"/>
    </row>
    <row r="111" spans="1:36" ht="18" customHeight="1">
      <c r="A111" s="101" t="s">
        <v>58</v>
      </c>
      <c r="B111" s="102" t="s">
        <v>127</v>
      </c>
      <c r="C111" s="101">
        <v>1</v>
      </c>
      <c r="D111" s="97"/>
      <c r="E111" s="101"/>
      <c r="F111" s="97"/>
      <c r="G111" s="101"/>
      <c r="H111" s="101"/>
      <c r="I111" s="101"/>
      <c r="J111" s="101">
        <v>1</v>
      </c>
      <c r="K111" s="97"/>
      <c r="L111" s="101"/>
      <c r="M111" s="97"/>
      <c r="N111" s="101"/>
      <c r="O111" s="101"/>
      <c r="P111" s="101"/>
      <c r="Q111" s="101">
        <v>1</v>
      </c>
      <c r="R111" s="97"/>
      <c r="S111" s="101"/>
      <c r="T111" s="97"/>
      <c r="U111" s="101"/>
      <c r="V111" s="101"/>
      <c r="W111" s="101"/>
      <c r="X111" s="101"/>
      <c r="Y111" s="97"/>
      <c r="Z111" s="101">
        <v>1</v>
      </c>
      <c r="AA111" s="97"/>
      <c r="AB111" s="101">
        <v>1</v>
      </c>
      <c r="AC111" s="101"/>
      <c r="AD111" s="101"/>
      <c r="AE111" s="101"/>
      <c r="AF111" s="97"/>
      <c r="AG111" s="86">
        <f t="shared" si="7"/>
        <v>5</v>
      </c>
      <c r="AH111" s="103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88" t="str">
        <f t="shared" si="8"/>
        <v>小雞</v>
      </c>
      <c r="AJ111" s="89"/>
    </row>
    <row r="112" spans="1:36" ht="18" customHeight="1">
      <c r="A112" s="101" t="s">
        <v>58</v>
      </c>
      <c r="B112" s="102" t="s">
        <v>128</v>
      </c>
      <c r="C112" s="101"/>
      <c r="D112" s="97"/>
      <c r="E112" s="101"/>
      <c r="F112" s="97"/>
      <c r="G112" s="101"/>
      <c r="H112" s="101"/>
      <c r="I112" s="101"/>
      <c r="J112" s="101"/>
      <c r="K112" s="97"/>
      <c r="L112" s="101"/>
      <c r="M112" s="97"/>
      <c r="N112" s="101"/>
      <c r="O112" s="101"/>
      <c r="P112" s="101"/>
      <c r="Q112" s="101"/>
      <c r="R112" s="97"/>
      <c r="S112" s="101"/>
      <c r="T112" s="97"/>
      <c r="U112" s="101"/>
      <c r="V112" s="101"/>
      <c r="W112" s="101"/>
      <c r="X112" s="101"/>
      <c r="Y112" s="97"/>
      <c r="Z112" s="101"/>
      <c r="AA112" s="97"/>
      <c r="AB112" s="101"/>
      <c r="AC112" s="101"/>
      <c r="AD112" s="101"/>
      <c r="AE112" s="101"/>
      <c r="AF112" s="97"/>
      <c r="AG112" s="86">
        <f t="shared" si="7"/>
        <v>0</v>
      </c>
      <c r="AH112" s="103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88" t="str">
        <f t="shared" si="8"/>
        <v>雨昕</v>
      </c>
      <c r="AJ112" s="89"/>
    </row>
    <row r="113" spans="1:36" ht="18" customHeight="1">
      <c r="A113" s="101" t="s">
        <v>58</v>
      </c>
      <c r="B113" s="102" t="s">
        <v>129</v>
      </c>
      <c r="C113" s="101"/>
      <c r="D113" s="97"/>
      <c r="E113" s="101"/>
      <c r="F113" s="97"/>
      <c r="G113" s="101"/>
      <c r="H113" s="101"/>
      <c r="I113" s="101"/>
      <c r="J113" s="101"/>
      <c r="K113" s="97"/>
      <c r="L113" s="101"/>
      <c r="M113" s="97"/>
      <c r="N113" s="101"/>
      <c r="O113" s="101"/>
      <c r="P113" s="101"/>
      <c r="Q113" s="101"/>
      <c r="R113" s="97"/>
      <c r="S113" s="101"/>
      <c r="T113" s="97"/>
      <c r="U113" s="101"/>
      <c r="V113" s="101"/>
      <c r="W113" s="101"/>
      <c r="X113" s="101"/>
      <c r="Y113" s="97"/>
      <c r="Z113" s="101"/>
      <c r="AA113" s="97"/>
      <c r="AB113" s="101"/>
      <c r="AC113" s="101"/>
      <c r="AD113" s="101"/>
      <c r="AE113" s="101"/>
      <c r="AF113" s="97"/>
      <c r="AG113" s="86">
        <f t="shared" si="7"/>
        <v>0</v>
      </c>
      <c r="AH113" s="103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88" t="str">
        <f t="shared" si="8"/>
        <v>矮矮</v>
      </c>
      <c r="AJ113" s="89"/>
    </row>
    <row r="114" spans="1:36" ht="18" customHeight="1">
      <c r="A114" s="101" t="s">
        <v>58</v>
      </c>
      <c r="B114" s="102" t="s">
        <v>130</v>
      </c>
      <c r="C114" s="101"/>
      <c r="D114" s="97"/>
      <c r="E114" s="101"/>
      <c r="F114" s="97"/>
      <c r="G114" s="101"/>
      <c r="H114" s="101"/>
      <c r="I114" s="101"/>
      <c r="J114" s="101"/>
      <c r="K114" s="97"/>
      <c r="L114" s="101"/>
      <c r="M114" s="97"/>
      <c r="N114" s="101"/>
      <c r="O114" s="101"/>
      <c r="P114" s="101"/>
      <c r="Q114" s="101"/>
      <c r="R114" s="97"/>
      <c r="S114" s="101"/>
      <c r="T114" s="97"/>
      <c r="U114" s="101"/>
      <c r="V114" s="101"/>
      <c r="W114" s="101"/>
      <c r="X114" s="101"/>
      <c r="Y114" s="97"/>
      <c r="Z114" s="101"/>
      <c r="AA114" s="97"/>
      <c r="AB114" s="101"/>
      <c r="AC114" s="101"/>
      <c r="AD114" s="101"/>
      <c r="AE114" s="101"/>
      <c r="AF114" s="97"/>
      <c r="AG114" s="86">
        <f t="shared" si="7"/>
        <v>0</v>
      </c>
      <c r="AH114" s="103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88" t="str">
        <f t="shared" si="8"/>
        <v>猛女</v>
      </c>
      <c r="AJ114" s="89"/>
    </row>
    <row r="115" spans="1:36" ht="18" customHeight="1">
      <c r="A115" s="101" t="s">
        <v>58</v>
      </c>
      <c r="B115" s="102" t="s">
        <v>131</v>
      </c>
      <c r="C115" s="101"/>
      <c r="D115" s="97"/>
      <c r="E115" s="101"/>
      <c r="F115" s="97"/>
      <c r="G115" s="101"/>
      <c r="H115" s="101"/>
      <c r="I115" s="101"/>
      <c r="J115" s="101"/>
      <c r="K115" s="97"/>
      <c r="L115" s="101"/>
      <c r="M115" s="97"/>
      <c r="N115" s="101"/>
      <c r="O115" s="101"/>
      <c r="P115" s="101"/>
      <c r="Q115" s="101"/>
      <c r="R115" s="97"/>
      <c r="S115" s="101"/>
      <c r="T115" s="97"/>
      <c r="U115" s="101"/>
      <c r="V115" s="101"/>
      <c r="W115" s="101"/>
      <c r="X115" s="101"/>
      <c r="Y115" s="97"/>
      <c r="Z115" s="101"/>
      <c r="AA115" s="97"/>
      <c r="AB115" s="101"/>
      <c r="AC115" s="101"/>
      <c r="AD115" s="101"/>
      <c r="AE115" s="101"/>
      <c r="AF115" s="97"/>
      <c r="AG115" s="86">
        <f t="shared" si="7"/>
        <v>0</v>
      </c>
      <c r="AH115" s="103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88" t="str">
        <f t="shared" si="8"/>
        <v>欣容</v>
      </c>
      <c r="AJ115" s="89"/>
    </row>
    <row r="116" spans="1:36" ht="18" customHeight="1">
      <c r="A116" s="101" t="s">
        <v>58</v>
      </c>
      <c r="B116" s="102" t="s">
        <v>132</v>
      </c>
      <c r="C116" s="101"/>
      <c r="D116" s="97"/>
      <c r="E116" s="101"/>
      <c r="F116" s="97"/>
      <c r="G116" s="101"/>
      <c r="H116" s="101"/>
      <c r="I116" s="101"/>
      <c r="J116" s="101"/>
      <c r="K116" s="97"/>
      <c r="L116" s="101"/>
      <c r="M116" s="97"/>
      <c r="N116" s="101"/>
      <c r="O116" s="101"/>
      <c r="P116" s="101"/>
      <c r="Q116" s="101"/>
      <c r="R116" s="97"/>
      <c r="S116" s="101"/>
      <c r="T116" s="97"/>
      <c r="U116" s="101"/>
      <c r="V116" s="101"/>
      <c r="W116" s="101"/>
      <c r="X116" s="101"/>
      <c r="Y116" s="97"/>
      <c r="Z116" s="101"/>
      <c r="AA116" s="97"/>
      <c r="AB116" s="101"/>
      <c r="AC116" s="101"/>
      <c r="AD116" s="101"/>
      <c r="AE116" s="101"/>
      <c r="AF116" s="97"/>
      <c r="AG116" s="86">
        <f t="shared" si="7"/>
        <v>0</v>
      </c>
      <c r="AH116" s="103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88" t="str">
        <f t="shared" si="8"/>
        <v>萁萁</v>
      </c>
      <c r="AJ116" s="89"/>
    </row>
    <row r="117" spans="1:36" ht="18" customHeight="1">
      <c r="A117" s="101" t="s">
        <v>58</v>
      </c>
      <c r="B117" s="102" t="s">
        <v>133</v>
      </c>
      <c r="C117" s="101"/>
      <c r="D117" s="97"/>
      <c r="E117" s="101"/>
      <c r="F117" s="97"/>
      <c r="G117" s="101"/>
      <c r="H117" s="101"/>
      <c r="I117" s="101"/>
      <c r="J117" s="101"/>
      <c r="K117" s="97"/>
      <c r="L117" s="101"/>
      <c r="M117" s="97"/>
      <c r="N117" s="101"/>
      <c r="O117" s="101"/>
      <c r="P117" s="101"/>
      <c r="Q117" s="101"/>
      <c r="R117" s="97"/>
      <c r="S117" s="101"/>
      <c r="T117" s="97"/>
      <c r="U117" s="101"/>
      <c r="V117" s="101"/>
      <c r="W117" s="101"/>
      <c r="X117" s="101"/>
      <c r="Y117" s="97"/>
      <c r="Z117" s="101"/>
      <c r="AA117" s="97"/>
      <c r="AB117" s="101"/>
      <c r="AC117" s="101"/>
      <c r="AD117" s="101"/>
      <c r="AE117" s="101"/>
      <c r="AF117" s="97"/>
      <c r="AG117" s="86">
        <f t="shared" si="7"/>
        <v>0</v>
      </c>
      <c r="AH117" s="87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si="8"/>
        <v>萱</v>
      </c>
      <c r="AJ117" s="91"/>
    </row>
    <row r="118" spans="1:36" ht="18" customHeight="1">
      <c r="A118" s="101" t="s">
        <v>58</v>
      </c>
      <c r="B118" s="102" t="s">
        <v>134</v>
      </c>
      <c r="C118" s="101"/>
      <c r="D118" s="97"/>
      <c r="E118" s="101"/>
      <c r="F118" s="97"/>
      <c r="G118" s="101"/>
      <c r="H118" s="101"/>
      <c r="I118" s="101"/>
      <c r="J118" s="101"/>
      <c r="K118" s="97"/>
      <c r="L118" s="101"/>
      <c r="M118" s="97"/>
      <c r="N118" s="101"/>
      <c r="O118" s="101"/>
      <c r="P118" s="101"/>
      <c r="Q118" s="101"/>
      <c r="R118" s="97"/>
      <c r="S118" s="101"/>
      <c r="T118" s="97"/>
      <c r="U118" s="101"/>
      <c r="V118" s="101"/>
      <c r="W118" s="101"/>
      <c r="X118" s="101"/>
      <c r="Y118" s="97"/>
      <c r="Z118" s="101"/>
      <c r="AA118" s="97"/>
      <c r="AB118" s="101"/>
      <c r="AC118" s="101"/>
      <c r="AD118" s="101"/>
      <c r="AE118" s="101"/>
      <c r="AF118" s="97"/>
      <c r="AG118" s="86">
        <f t="shared" si="7"/>
        <v>0</v>
      </c>
      <c r="AH118" s="87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8"/>
        <v>Mei</v>
      </c>
      <c r="AJ118" s="91"/>
    </row>
    <row r="119" spans="1:36" ht="18" customHeight="1">
      <c r="A119" s="101" t="s">
        <v>58</v>
      </c>
      <c r="B119" s="102" t="s">
        <v>135</v>
      </c>
      <c r="C119" s="101"/>
      <c r="D119" s="97"/>
      <c r="E119" s="101"/>
      <c r="F119" s="97"/>
      <c r="G119" s="101"/>
      <c r="H119" s="101"/>
      <c r="I119" s="101"/>
      <c r="J119" s="101"/>
      <c r="K119" s="97"/>
      <c r="L119" s="101"/>
      <c r="M119" s="97"/>
      <c r="N119" s="101"/>
      <c r="O119" s="101"/>
      <c r="P119" s="101"/>
      <c r="Q119" s="101"/>
      <c r="R119" s="97"/>
      <c r="S119" s="101"/>
      <c r="T119" s="97"/>
      <c r="U119" s="101"/>
      <c r="V119" s="101"/>
      <c r="W119" s="101"/>
      <c r="X119" s="101"/>
      <c r="Y119" s="97"/>
      <c r="Z119" s="101"/>
      <c r="AA119" s="97"/>
      <c r="AB119" s="101"/>
      <c r="AC119" s="101"/>
      <c r="AD119" s="101"/>
      <c r="AE119" s="101"/>
      <c r="AF119" s="97"/>
      <c r="AG119" s="86">
        <f t="shared" si="7"/>
        <v>0</v>
      </c>
      <c r="AH119" s="87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8"/>
        <v>屁屁</v>
      </c>
      <c r="AJ119" s="91"/>
    </row>
    <row r="120" spans="1:36" ht="18" customHeight="1">
      <c r="A120" s="101" t="s">
        <v>58</v>
      </c>
      <c r="B120" s="102" t="s">
        <v>136</v>
      </c>
      <c r="C120" s="101"/>
      <c r="D120" s="97"/>
      <c r="E120" s="101"/>
      <c r="F120" s="97"/>
      <c r="G120" s="101"/>
      <c r="H120" s="101"/>
      <c r="I120" s="101"/>
      <c r="J120" s="101"/>
      <c r="K120" s="97"/>
      <c r="L120" s="101"/>
      <c r="M120" s="97"/>
      <c r="N120" s="101"/>
      <c r="O120" s="101"/>
      <c r="P120" s="101"/>
      <c r="Q120" s="101"/>
      <c r="R120" s="97"/>
      <c r="S120" s="101"/>
      <c r="T120" s="97"/>
      <c r="U120" s="101"/>
      <c r="V120" s="101"/>
      <c r="W120" s="101"/>
      <c r="X120" s="101"/>
      <c r="Y120" s="97"/>
      <c r="Z120" s="101"/>
      <c r="AA120" s="97"/>
      <c r="AB120" s="101"/>
      <c r="AC120" s="101"/>
      <c r="AD120" s="101"/>
      <c r="AE120" s="101"/>
      <c r="AF120" s="97"/>
      <c r="AG120" s="86">
        <f t="shared" si="7"/>
        <v>0</v>
      </c>
      <c r="AH120" s="87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8"/>
        <v>泡泡</v>
      </c>
      <c r="AJ120" s="91"/>
    </row>
    <row r="121" spans="1:36" ht="18" customHeight="1">
      <c r="A121" s="101" t="s">
        <v>58</v>
      </c>
      <c r="B121" s="102" t="s">
        <v>137</v>
      </c>
      <c r="C121" s="101"/>
      <c r="D121" s="97"/>
      <c r="E121" s="101"/>
      <c r="F121" s="97"/>
      <c r="G121" s="101"/>
      <c r="H121" s="101"/>
      <c r="I121" s="101"/>
      <c r="J121" s="101"/>
      <c r="K121" s="97"/>
      <c r="L121" s="101"/>
      <c r="M121" s="97"/>
      <c r="N121" s="101"/>
      <c r="O121" s="101"/>
      <c r="P121" s="101"/>
      <c r="Q121" s="101"/>
      <c r="R121" s="97"/>
      <c r="S121" s="101"/>
      <c r="T121" s="97"/>
      <c r="U121" s="101"/>
      <c r="V121" s="101"/>
      <c r="W121" s="101"/>
      <c r="X121" s="101"/>
      <c r="Y121" s="97"/>
      <c r="Z121" s="101"/>
      <c r="AA121" s="97"/>
      <c r="AB121" s="101"/>
      <c r="AC121" s="101"/>
      <c r="AD121" s="101"/>
      <c r="AE121" s="101"/>
      <c r="AF121" s="97"/>
      <c r="AG121" s="86">
        <f t="shared" si="7"/>
        <v>0</v>
      </c>
      <c r="AH121" s="87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8"/>
        <v>姚</v>
      </c>
      <c r="AJ121" s="91"/>
    </row>
    <row r="122" spans="1:36" ht="18" customHeight="1">
      <c r="A122" s="101" t="s">
        <v>58</v>
      </c>
      <c r="B122" s="102" t="s">
        <v>138</v>
      </c>
      <c r="C122" s="101"/>
      <c r="D122" s="97"/>
      <c r="E122" s="101"/>
      <c r="F122" s="97"/>
      <c r="G122" s="101"/>
      <c r="H122" s="101"/>
      <c r="I122" s="101"/>
      <c r="J122" s="101"/>
      <c r="K122" s="97"/>
      <c r="L122" s="101"/>
      <c r="M122" s="97"/>
      <c r="N122" s="101"/>
      <c r="O122" s="101"/>
      <c r="P122" s="101"/>
      <c r="Q122" s="101"/>
      <c r="R122" s="97"/>
      <c r="S122" s="101"/>
      <c r="T122" s="97"/>
      <c r="U122" s="101"/>
      <c r="V122" s="101"/>
      <c r="W122" s="101"/>
      <c r="X122" s="101"/>
      <c r="Y122" s="97"/>
      <c r="Z122" s="101"/>
      <c r="AA122" s="97"/>
      <c r="AB122" s="101"/>
      <c r="AC122" s="101"/>
      <c r="AD122" s="101"/>
      <c r="AE122" s="101"/>
      <c r="AF122" s="97"/>
      <c r="AG122" s="86">
        <f t="shared" si="7"/>
        <v>0</v>
      </c>
      <c r="AH122" s="87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8"/>
        <v>奜茜</v>
      </c>
      <c r="AJ122" s="91"/>
    </row>
    <row r="123" spans="1:36" ht="18" customHeight="1">
      <c r="A123" s="101" t="s">
        <v>58</v>
      </c>
      <c r="B123" s="115" t="s">
        <v>139</v>
      </c>
      <c r="C123" s="101"/>
      <c r="D123" s="97"/>
      <c r="E123" s="101"/>
      <c r="F123" s="97"/>
      <c r="G123" s="101"/>
      <c r="H123" s="101">
        <v>1</v>
      </c>
      <c r="I123" s="101"/>
      <c r="J123" s="101"/>
      <c r="K123" s="97"/>
      <c r="L123" s="101"/>
      <c r="M123" s="97"/>
      <c r="N123" s="101"/>
      <c r="O123" s="101"/>
      <c r="P123" s="101"/>
      <c r="Q123" s="101"/>
      <c r="R123" s="97"/>
      <c r="S123" s="101"/>
      <c r="T123" s="97"/>
      <c r="U123" s="101"/>
      <c r="V123" s="101"/>
      <c r="W123" s="101"/>
      <c r="X123" s="101"/>
      <c r="Y123" s="97"/>
      <c r="Z123" s="101">
        <v>1</v>
      </c>
      <c r="AA123" s="97"/>
      <c r="AB123" s="101">
        <v>1</v>
      </c>
      <c r="AC123" s="101"/>
      <c r="AD123" s="101"/>
      <c r="AE123" s="101"/>
      <c r="AF123" s="97"/>
      <c r="AG123" s="86">
        <f t="shared" si="7"/>
        <v>3</v>
      </c>
      <c r="AH123" s="87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8"/>
        <v>Tina</v>
      </c>
      <c r="AJ123" s="91"/>
    </row>
    <row r="124" spans="1:36" ht="18" customHeight="1">
      <c r="A124" s="101" t="s">
        <v>58</v>
      </c>
      <c r="B124" s="115" t="s">
        <v>140</v>
      </c>
      <c r="C124" s="101"/>
      <c r="D124" s="97"/>
      <c r="E124" s="101"/>
      <c r="F124" s="97"/>
      <c r="G124" s="101"/>
      <c r="H124" s="101"/>
      <c r="I124" s="101"/>
      <c r="J124" s="101"/>
      <c r="K124" s="97"/>
      <c r="L124" s="101"/>
      <c r="M124" s="97"/>
      <c r="N124" s="101"/>
      <c r="O124" s="101"/>
      <c r="P124" s="101"/>
      <c r="Q124" s="101"/>
      <c r="R124" s="97"/>
      <c r="S124" s="101"/>
      <c r="T124" s="97"/>
      <c r="U124" s="101"/>
      <c r="V124" s="101"/>
      <c r="W124" s="101"/>
      <c r="X124" s="101"/>
      <c r="Y124" s="97"/>
      <c r="Z124" s="101"/>
      <c r="AA124" s="97"/>
      <c r="AB124" s="101"/>
      <c r="AC124" s="101"/>
      <c r="AD124" s="101"/>
      <c r="AE124" s="101"/>
      <c r="AF124" s="97"/>
      <c r="AG124" s="86">
        <f t="shared" si="7"/>
        <v>0</v>
      </c>
      <c r="AH124" s="87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8"/>
        <v>芷琦</v>
      </c>
      <c r="AJ124" s="91"/>
    </row>
    <row r="125" spans="1:36" ht="18" customHeight="1">
      <c r="A125" s="101" t="s">
        <v>58</v>
      </c>
      <c r="B125" s="115" t="s">
        <v>106</v>
      </c>
      <c r="C125" s="101"/>
      <c r="D125" s="97"/>
      <c r="E125" s="101"/>
      <c r="F125" s="97"/>
      <c r="G125" s="101"/>
      <c r="H125" s="101"/>
      <c r="I125" s="101"/>
      <c r="J125" s="101"/>
      <c r="K125" s="97"/>
      <c r="L125" s="101"/>
      <c r="M125" s="97"/>
      <c r="N125" s="101"/>
      <c r="O125" s="101"/>
      <c r="P125" s="101"/>
      <c r="Q125" s="101"/>
      <c r="R125" s="97"/>
      <c r="S125" s="101"/>
      <c r="T125" s="97"/>
      <c r="U125" s="101"/>
      <c r="V125" s="101"/>
      <c r="W125" s="101"/>
      <c r="X125" s="101"/>
      <c r="Y125" s="97"/>
      <c r="Z125" s="101"/>
      <c r="AA125" s="97"/>
      <c r="AB125" s="101"/>
      <c r="AC125" s="101"/>
      <c r="AD125" s="101"/>
      <c r="AE125" s="101"/>
      <c r="AF125" s="97"/>
      <c r="AG125" s="86">
        <f t="shared" si="7"/>
        <v>0</v>
      </c>
      <c r="AH125" s="87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8"/>
        <v>Nina</v>
      </c>
      <c r="AJ125" s="91"/>
    </row>
    <row r="126" spans="1:36" ht="18" customHeight="1">
      <c r="A126" s="101" t="s">
        <v>58</v>
      </c>
      <c r="B126" s="102" t="s">
        <v>141</v>
      </c>
      <c r="C126" s="101"/>
      <c r="D126" s="97"/>
      <c r="E126" s="101"/>
      <c r="F126" s="97"/>
      <c r="G126" s="101"/>
      <c r="H126" s="101"/>
      <c r="I126" s="101"/>
      <c r="J126" s="101"/>
      <c r="K126" s="97"/>
      <c r="L126" s="101"/>
      <c r="M126" s="97"/>
      <c r="N126" s="101"/>
      <c r="O126" s="101"/>
      <c r="P126" s="101"/>
      <c r="Q126" s="101"/>
      <c r="R126" s="97"/>
      <c r="S126" s="101"/>
      <c r="T126" s="97"/>
      <c r="U126" s="101"/>
      <c r="V126" s="101"/>
      <c r="W126" s="101"/>
      <c r="X126" s="101"/>
      <c r="Y126" s="97"/>
      <c r="Z126" s="101"/>
      <c r="AA126" s="97"/>
      <c r="AB126" s="101"/>
      <c r="AC126" s="101"/>
      <c r="AD126" s="101"/>
      <c r="AE126" s="101"/>
      <c r="AF126" s="97"/>
      <c r="AG126" s="86">
        <f t="shared" si="7"/>
        <v>0</v>
      </c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8"/>
        <v>Cindy</v>
      </c>
      <c r="AJ126" s="91"/>
    </row>
    <row r="127" spans="1:36" ht="18" customHeight="1">
      <c r="A127" s="101" t="s">
        <v>58</v>
      </c>
      <c r="B127" s="102" t="s">
        <v>142</v>
      </c>
      <c r="C127" s="101"/>
      <c r="D127" s="97"/>
      <c r="E127" s="101"/>
      <c r="F127" s="97"/>
      <c r="G127" s="101"/>
      <c r="H127" s="101"/>
      <c r="I127" s="101"/>
      <c r="J127" s="101"/>
      <c r="K127" s="97"/>
      <c r="L127" s="101"/>
      <c r="M127" s="97"/>
      <c r="N127" s="101"/>
      <c r="O127" s="101"/>
      <c r="P127" s="101"/>
      <c r="Q127" s="101"/>
      <c r="R127" s="97"/>
      <c r="S127" s="101"/>
      <c r="T127" s="97"/>
      <c r="U127" s="101"/>
      <c r="V127" s="101"/>
      <c r="W127" s="101"/>
      <c r="X127" s="101"/>
      <c r="Y127" s="97"/>
      <c r="Z127" s="101"/>
      <c r="AA127" s="97"/>
      <c r="AB127" s="101"/>
      <c r="AC127" s="101"/>
      <c r="AD127" s="101"/>
      <c r="AE127" s="101"/>
      <c r="AF127" s="97"/>
      <c r="AG127" s="86">
        <f t="shared" si="7"/>
        <v>0</v>
      </c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8"/>
        <v>如靜</v>
      </c>
      <c r="AJ127" s="91"/>
    </row>
    <row r="128" spans="1:36" ht="18" customHeight="1">
      <c r="A128" s="101" t="s">
        <v>58</v>
      </c>
      <c r="B128" s="102" t="s">
        <v>143</v>
      </c>
      <c r="C128" s="101"/>
      <c r="D128" s="97"/>
      <c r="E128" s="101"/>
      <c r="F128" s="97"/>
      <c r="G128" s="101"/>
      <c r="H128" s="101"/>
      <c r="I128" s="101"/>
      <c r="J128" s="101"/>
      <c r="K128" s="97"/>
      <c r="L128" s="101"/>
      <c r="M128" s="97"/>
      <c r="N128" s="101"/>
      <c r="O128" s="101"/>
      <c r="P128" s="101"/>
      <c r="Q128" s="101"/>
      <c r="R128" s="97"/>
      <c r="S128" s="101"/>
      <c r="T128" s="97"/>
      <c r="U128" s="101"/>
      <c r="V128" s="101"/>
      <c r="W128" s="101"/>
      <c r="X128" s="101"/>
      <c r="Y128" s="97"/>
      <c r="Z128" s="101"/>
      <c r="AA128" s="97"/>
      <c r="AB128" s="101"/>
      <c r="AC128" s="101"/>
      <c r="AD128" s="101"/>
      <c r="AE128" s="101"/>
      <c r="AF128" s="97"/>
      <c r="AG128" s="86">
        <f t="shared" si="7"/>
        <v>0</v>
      </c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8"/>
        <v>毓玫</v>
      </c>
      <c r="AJ128" s="91"/>
    </row>
    <row r="129" spans="1:36" ht="18" customHeight="1">
      <c r="A129" s="101" t="s">
        <v>58</v>
      </c>
      <c r="B129" s="102" t="s">
        <v>144</v>
      </c>
      <c r="C129" s="101"/>
      <c r="D129" s="97"/>
      <c r="E129" s="101"/>
      <c r="F129" s="97"/>
      <c r="G129" s="101"/>
      <c r="H129" s="101"/>
      <c r="I129" s="101"/>
      <c r="J129" s="101"/>
      <c r="K129" s="97"/>
      <c r="L129" s="101"/>
      <c r="M129" s="97"/>
      <c r="N129" s="101"/>
      <c r="O129" s="101"/>
      <c r="P129" s="101"/>
      <c r="Q129" s="101"/>
      <c r="R129" s="97"/>
      <c r="S129" s="101"/>
      <c r="T129" s="97"/>
      <c r="U129" s="101"/>
      <c r="V129" s="101"/>
      <c r="W129" s="101"/>
      <c r="X129" s="101"/>
      <c r="Y129" s="97"/>
      <c r="Z129" s="101"/>
      <c r="AA129" s="97"/>
      <c r="AB129" s="101"/>
      <c r="AC129" s="101"/>
      <c r="AD129" s="101"/>
      <c r="AE129" s="101"/>
      <c r="AF129" s="97"/>
      <c r="AG129" s="86">
        <f t="shared" si="7"/>
        <v>0</v>
      </c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8"/>
        <v>美枝</v>
      </c>
      <c r="AJ129" s="91"/>
    </row>
    <row r="130" spans="1:36" ht="18" customHeight="1">
      <c r="A130" s="101" t="s">
        <v>58</v>
      </c>
      <c r="B130" s="102" t="s">
        <v>145</v>
      </c>
      <c r="C130" s="101"/>
      <c r="D130" s="97"/>
      <c r="E130" s="101"/>
      <c r="F130" s="97"/>
      <c r="G130" s="101"/>
      <c r="H130" s="101"/>
      <c r="I130" s="101"/>
      <c r="J130" s="101"/>
      <c r="K130" s="97"/>
      <c r="L130" s="101"/>
      <c r="M130" s="97"/>
      <c r="N130" s="101"/>
      <c r="O130" s="101"/>
      <c r="P130" s="101"/>
      <c r="Q130" s="101"/>
      <c r="R130" s="97"/>
      <c r="S130" s="101"/>
      <c r="T130" s="97"/>
      <c r="U130" s="101"/>
      <c r="V130" s="101"/>
      <c r="W130" s="101"/>
      <c r="X130" s="101"/>
      <c r="Y130" s="97"/>
      <c r="Z130" s="101"/>
      <c r="AA130" s="97"/>
      <c r="AB130" s="101"/>
      <c r="AC130" s="101"/>
      <c r="AD130" s="101"/>
      <c r="AE130" s="101"/>
      <c r="AF130" s="97"/>
      <c r="AG130" s="86">
        <f t="shared" si="7"/>
        <v>0</v>
      </c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8"/>
        <v>魯魯咪</v>
      </c>
      <c r="AJ130" s="91"/>
    </row>
    <row r="131" spans="1:36" ht="18" customHeight="1">
      <c r="A131" s="120" t="s">
        <v>58</v>
      </c>
      <c r="B131" s="121" t="s">
        <v>41</v>
      </c>
      <c r="C131" s="120"/>
      <c r="D131" s="97"/>
      <c r="E131" s="120"/>
      <c r="F131" s="97"/>
      <c r="G131" s="120"/>
      <c r="H131" s="120"/>
      <c r="I131" s="120"/>
      <c r="J131" s="120"/>
      <c r="K131" s="97"/>
      <c r="L131" s="120"/>
      <c r="M131" s="97"/>
      <c r="N131" s="120"/>
      <c r="O131" s="120"/>
      <c r="P131" s="120"/>
      <c r="Q131" s="120"/>
      <c r="R131" s="97"/>
      <c r="S131" s="120"/>
      <c r="T131" s="97"/>
      <c r="U131" s="120"/>
      <c r="V131" s="120"/>
      <c r="W131" s="120"/>
      <c r="X131" s="120"/>
      <c r="Y131" s="97"/>
      <c r="Z131" s="120"/>
      <c r="AA131" s="97"/>
      <c r="AB131" s="120"/>
      <c r="AC131" s="120"/>
      <c r="AD131" s="120"/>
      <c r="AE131" s="120"/>
      <c r="AF131" s="97"/>
      <c r="AG131" s="107">
        <f t="shared" si="7"/>
        <v>0</v>
      </c>
      <c r="AH131" s="108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109" t="str">
        <f t="shared" si="8"/>
        <v>軟軟</v>
      </c>
      <c r="AJ131" s="110"/>
    </row>
    <row r="132" spans="1:36" ht="18" customHeight="1">
      <c r="A132" s="120" t="s">
        <v>58</v>
      </c>
      <c r="B132" s="121" t="s">
        <v>38</v>
      </c>
      <c r="C132" s="120"/>
      <c r="D132" s="97"/>
      <c r="E132" s="120"/>
      <c r="F132" s="97"/>
      <c r="G132" s="120"/>
      <c r="H132" s="120"/>
      <c r="I132" s="120"/>
      <c r="J132" s="120"/>
      <c r="K132" s="97"/>
      <c r="L132" s="120"/>
      <c r="M132" s="97"/>
      <c r="N132" s="120"/>
      <c r="O132" s="120"/>
      <c r="P132" s="120"/>
      <c r="Q132" s="120"/>
      <c r="R132" s="97"/>
      <c r="S132" s="120"/>
      <c r="T132" s="97"/>
      <c r="U132" s="120"/>
      <c r="V132" s="120"/>
      <c r="W132" s="120"/>
      <c r="X132" s="120"/>
      <c r="Y132" s="97"/>
      <c r="Z132" s="120"/>
      <c r="AA132" s="97"/>
      <c r="AB132" s="120"/>
      <c r="AC132" s="120"/>
      <c r="AD132" s="120"/>
      <c r="AE132" s="120"/>
      <c r="AF132" s="97"/>
      <c r="AG132" s="107">
        <f t="shared" si="7"/>
        <v>0</v>
      </c>
      <c r="AH132" s="108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109" t="str">
        <f t="shared" si="8"/>
        <v>阿龍</v>
      </c>
      <c r="AJ132" s="110"/>
    </row>
    <row r="133" spans="1:36" ht="18" customHeight="1">
      <c r="A133" s="120" t="s">
        <v>58</v>
      </c>
      <c r="B133" s="121" t="s">
        <v>42</v>
      </c>
      <c r="C133" s="120"/>
      <c r="D133" s="97"/>
      <c r="E133" s="120"/>
      <c r="F133" s="97"/>
      <c r="G133" s="120"/>
      <c r="H133" s="120"/>
      <c r="I133" s="120"/>
      <c r="J133" s="120"/>
      <c r="K133" s="97"/>
      <c r="L133" s="120"/>
      <c r="M133" s="97"/>
      <c r="N133" s="120"/>
      <c r="O133" s="120"/>
      <c r="P133" s="120"/>
      <c r="Q133" s="120"/>
      <c r="R133" s="97"/>
      <c r="S133" s="120"/>
      <c r="T133" s="97"/>
      <c r="U133" s="120"/>
      <c r="V133" s="120"/>
      <c r="W133" s="120"/>
      <c r="X133" s="120"/>
      <c r="Y133" s="97"/>
      <c r="Z133" s="120"/>
      <c r="AA133" s="97"/>
      <c r="AB133" s="120"/>
      <c r="AC133" s="120"/>
      <c r="AD133" s="120"/>
      <c r="AE133" s="120"/>
      <c r="AF133" s="97"/>
      <c r="AG133" s="107">
        <f t="shared" si="7"/>
        <v>0</v>
      </c>
      <c r="AH133" s="108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109" t="str">
        <f t="shared" si="8"/>
        <v>屎蛋</v>
      </c>
      <c r="AJ133" s="110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1:B133">
    <cfRule type="expression" dxfId="22" priority="1">
      <formula>COUNTIF($B:$B,$B1)&gt;1</formula>
    </cfRule>
  </conditionalFormatting>
  <printOptions horizontalCentered="1" gridLines="1"/>
  <pageMargins left="0.25" right="0.25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A9999"/>
    <outlinePr summaryBelow="0" summaryRight="0"/>
  </sheetPr>
  <dimension ref="A1:AK1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3" width="4.81640625" customWidth="1"/>
    <col min="34" max="34" width="4.453125" customWidth="1"/>
    <col min="35" max="35" width="6" customWidth="1"/>
    <col min="36" max="36" width="6.1796875" customWidth="1"/>
    <col min="37" max="37" width="13.26953125" customWidth="1"/>
  </cols>
  <sheetData>
    <row r="1" spans="1:37" ht="18" customHeight="1">
      <c r="A1" s="287" t="s">
        <v>0</v>
      </c>
      <c r="B1" s="280"/>
      <c r="C1" s="51"/>
      <c r="D1" s="52"/>
      <c r="E1" s="51"/>
      <c r="F1" s="51" t="s">
        <v>185</v>
      </c>
      <c r="G1" s="51"/>
      <c r="H1" s="51" t="s">
        <v>182</v>
      </c>
      <c r="I1" s="52"/>
      <c r="J1" s="51" t="s">
        <v>183</v>
      </c>
      <c r="K1" s="52"/>
      <c r="L1" s="51"/>
      <c r="M1" s="51"/>
      <c r="N1" s="51"/>
      <c r="O1" s="51"/>
      <c r="P1" s="52"/>
      <c r="Q1" s="51"/>
      <c r="R1" s="52"/>
      <c r="S1" s="51"/>
      <c r="T1" s="51"/>
      <c r="U1" s="51"/>
      <c r="V1" s="51"/>
      <c r="W1" s="52"/>
      <c r="X1" s="51"/>
      <c r="Y1" s="52"/>
      <c r="Z1" s="51"/>
      <c r="AA1" s="51"/>
      <c r="AB1" s="51"/>
      <c r="AC1" s="51"/>
      <c r="AD1" s="52"/>
      <c r="AE1" s="51"/>
      <c r="AF1" s="52"/>
      <c r="AG1" s="51"/>
      <c r="AH1" s="286" t="s">
        <v>6</v>
      </c>
      <c r="AI1" s="284" t="s">
        <v>7</v>
      </c>
      <c r="AJ1" s="285" t="s">
        <v>172</v>
      </c>
      <c r="AK1" s="288" t="s">
        <v>1</v>
      </c>
    </row>
    <row r="2" spans="1:37" ht="18" customHeight="1">
      <c r="A2" s="53" t="s">
        <v>2</v>
      </c>
      <c r="B2" s="54" t="s">
        <v>3</v>
      </c>
      <c r="C2" s="55">
        <v>45413</v>
      </c>
      <c r="D2" s="56">
        <v>45414</v>
      </c>
      <c r="E2" s="55">
        <v>45415</v>
      </c>
      <c r="F2" s="55">
        <v>45416</v>
      </c>
      <c r="G2" s="55">
        <v>45417</v>
      </c>
      <c r="H2" s="55">
        <v>45418</v>
      </c>
      <c r="I2" s="56">
        <v>45419</v>
      </c>
      <c r="J2" s="55">
        <v>45420</v>
      </c>
      <c r="K2" s="56">
        <v>45421</v>
      </c>
      <c r="L2" s="55">
        <v>45422</v>
      </c>
      <c r="M2" s="55">
        <v>45423</v>
      </c>
      <c r="N2" s="55">
        <v>45424</v>
      </c>
      <c r="O2" s="55">
        <v>45425</v>
      </c>
      <c r="P2" s="56">
        <v>45426</v>
      </c>
      <c r="Q2" s="55">
        <v>45427</v>
      </c>
      <c r="R2" s="56">
        <v>45428</v>
      </c>
      <c r="S2" s="55">
        <v>45429</v>
      </c>
      <c r="T2" s="55">
        <v>45430</v>
      </c>
      <c r="U2" s="55">
        <v>45431</v>
      </c>
      <c r="V2" s="55">
        <v>45432</v>
      </c>
      <c r="W2" s="56">
        <v>45433</v>
      </c>
      <c r="X2" s="55">
        <v>45434</v>
      </c>
      <c r="Y2" s="56">
        <v>45435</v>
      </c>
      <c r="Z2" s="55">
        <v>45436</v>
      </c>
      <c r="AA2" s="55">
        <v>45437</v>
      </c>
      <c r="AB2" s="55">
        <v>45438</v>
      </c>
      <c r="AC2" s="55">
        <v>45439</v>
      </c>
      <c r="AD2" s="56">
        <v>45440</v>
      </c>
      <c r="AE2" s="55">
        <v>45441</v>
      </c>
      <c r="AF2" s="56">
        <v>45442</v>
      </c>
      <c r="AG2" s="55">
        <v>45443</v>
      </c>
      <c r="AH2" s="282"/>
      <c r="AI2" s="277"/>
      <c r="AJ2" s="272"/>
      <c r="AK2" s="275"/>
    </row>
    <row r="3" spans="1:37" ht="18" customHeight="1">
      <c r="A3" s="53" t="s">
        <v>4</v>
      </c>
      <c r="B3" s="54" t="s">
        <v>5</v>
      </c>
      <c r="C3" s="51">
        <f t="shared" ref="C3:AG3" si="0">WEEKDAY(C2-1)</f>
        <v>3</v>
      </c>
      <c r="D3" s="52">
        <f t="shared" si="0"/>
        <v>4</v>
      </c>
      <c r="E3" s="51">
        <f t="shared" si="0"/>
        <v>5</v>
      </c>
      <c r="F3" s="51">
        <f t="shared" si="0"/>
        <v>6</v>
      </c>
      <c r="G3" s="51">
        <f t="shared" si="0"/>
        <v>7</v>
      </c>
      <c r="H3" s="51">
        <f t="shared" si="0"/>
        <v>1</v>
      </c>
      <c r="I3" s="52">
        <f t="shared" si="0"/>
        <v>2</v>
      </c>
      <c r="J3" s="51">
        <f t="shared" si="0"/>
        <v>3</v>
      </c>
      <c r="K3" s="52">
        <f t="shared" si="0"/>
        <v>4</v>
      </c>
      <c r="L3" s="51">
        <f t="shared" si="0"/>
        <v>5</v>
      </c>
      <c r="M3" s="51">
        <f t="shared" si="0"/>
        <v>6</v>
      </c>
      <c r="N3" s="51">
        <f t="shared" si="0"/>
        <v>7</v>
      </c>
      <c r="O3" s="51">
        <f t="shared" si="0"/>
        <v>1</v>
      </c>
      <c r="P3" s="52">
        <f t="shared" si="0"/>
        <v>2</v>
      </c>
      <c r="Q3" s="51">
        <f t="shared" si="0"/>
        <v>3</v>
      </c>
      <c r="R3" s="52">
        <f t="shared" si="0"/>
        <v>4</v>
      </c>
      <c r="S3" s="51">
        <f t="shared" si="0"/>
        <v>5</v>
      </c>
      <c r="T3" s="51">
        <f t="shared" si="0"/>
        <v>6</v>
      </c>
      <c r="U3" s="51">
        <f t="shared" si="0"/>
        <v>7</v>
      </c>
      <c r="V3" s="51">
        <f t="shared" si="0"/>
        <v>1</v>
      </c>
      <c r="W3" s="52">
        <f t="shared" si="0"/>
        <v>2</v>
      </c>
      <c r="X3" s="51">
        <f t="shared" si="0"/>
        <v>3</v>
      </c>
      <c r="Y3" s="52">
        <f t="shared" si="0"/>
        <v>4</v>
      </c>
      <c r="Z3" s="51">
        <f t="shared" si="0"/>
        <v>5</v>
      </c>
      <c r="AA3" s="51">
        <f t="shared" si="0"/>
        <v>6</v>
      </c>
      <c r="AB3" s="51">
        <f t="shared" si="0"/>
        <v>7</v>
      </c>
      <c r="AC3" s="51">
        <f t="shared" si="0"/>
        <v>1</v>
      </c>
      <c r="AD3" s="52">
        <f t="shared" si="0"/>
        <v>2</v>
      </c>
      <c r="AE3" s="51">
        <f t="shared" si="0"/>
        <v>3</v>
      </c>
      <c r="AF3" s="52">
        <f t="shared" si="0"/>
        <v>4</v>
      </c>
      <c r="AG3" s="51">
        <f t="shared" si="0"/>
        <v>5</v>
      </c>
      <c r="AH3" s="283"/>
      <c r="AI3" s="278"/>
      <c r="AJ3" s="273"/>
      <c r="AK3" s="62" t="e">
        <f ca="1">SUM(AI4:AI134)</f>
        <v>#NAME?</v>
      </c>
    </row>
    <row r="4" spans="1:37" ht="18" customHeight="1">
      <c r="A4" s="92" t="s">
        <v>174</v>
      </c>
      <c r="B4" s="93" t="s">
        <v>10</v>
      </c>
      <c r="C4" s="92"/>
      <c r="D4" s="94"/>
      <c r="E4" s="92"/>
      <c r="F4" s="92"/>
      <c r="G4" s="92"/>
      <c r="H4" s="92"/>
      <c r="I4" s="94"/>
      <c r="J4" s="92">
        <v>1</v>
      </c>
      <c r="K4" s="94"/>
      <c r="L4" s="92">
        <v>1</v>
      </c>
      <c r="M4" s="92"/>
      <c r="N4" s="92">
        <v>1</v>
      </c>
      <c r="O4" s="92"/>
      <c r="P4" s="94"/>
      <c r="Q4" s="92">
        <v>1</v>
      </c>
      <c r="R4" s="94"/>
      <c r="S4" s="92">
        <v>1</v>
      </c>
      <c r="T4" s="92"/>
      <c r="U4" s="92">
        <v>1</v>
      </c>
      <c r="V4" s="92"/>
      <c r="W4" s="94"/>
      <c r="X4" s="92"/>
      <c r="Y4" s="94"/>
      <c r="Z4" s="92">
        <v>1</v>
      </c>
      <c r="AA4" s="92"/>
      <c r="AB4" s="92">
        <v>1</v>
      </c>
      <c r="AC4" s="92"/>
      <c r="AD4" s="94"/>
      <c r="AE4" s="92"/>
      <c r="AF4" s="94"/>
      <c r="AG4" s="92">
        <v>1</v>
      </c>
      <c r="AH4" s="66">
        <f t="shared" ref="AH4:AH35" si="1">COUNTA(C4:AG4)</f>
        <v>9</v>
      </c>
      <c r="AI4" s="68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69" t="str">
        <f t="shared" ref="AJ4:AJ35" si="2">B4</f>
        <v>阿發</v>
      </c>
      <c r="AK4" s="70" t="s">
        <v>218</v>
      </c>
    </row>
    <row r="5" spans="1:37" ht="18" customHeight="1">
      <c r="A5" s="95" t="s">
        <v>174</v>
      </c>
      <c r="B5" s="96" t="s">
        <v>11</v>
      </c>
      <c r="C5" s="95"/>
      <c r="D5" s="97"/>
      <c r="E5" s="95"/>
      <c r="F5" s="95"/>
      <c r="G5" s="95"/>
      <c r="H5" s="95"/>
      <c r="I5" s="97"/>
      <c r="J5" s="95">
        <v>1</v>
      </c>
      <c r="K5" s="97"/>
      <c r="L5" s="95">
        <v>1</v>
      </c>
      <c r="M5" s="95">
        <v>1</v>
      </c>
      <c r="N5" s="95">
        <v>1</v>
      </c>
      <c r="O5" s="95"/>
      <c r="P5" s="97"/>
      <c r="Q5" s="95">
        <v>1</v>
      </c>
      <c r="R5" s="97"/>
      <c r="S5" s="95"/>
      <c r="T5" s="95"/>
      <c r="U5" s="95"/>
      <c r="V5" s="95"/>
      <c r="W5" s="97"/>
      <c r="X5" s="95">
        <v>1</v>
      </c>
      <c r="Y5" s="97"/>
      <c r="Z5" s="95">
        <v>1</v>
      </c>
      <c r="AA5" s="95">
        <v>1</v>
      </c>
      <c r="AB5" s="95"/>
      <c r="AC5" s="95">
        <v>1</v>
      </c>
      <c r="AD5" s="97"/>
      <c r="AE5" s="95">
        <v>1</v>
      </c>
      <c r="AF5" s="97"/>
      <c r="AG5" s="95">
        <v>1</v>
      </c>
      <c r="AH5" s="66">
        <f t="shared" si="1"/>
        <v>11</v>
      </c>
      <c r="AI5" s="68" t="e">
        <f ca="1">IF(A5="O", (VALUE(_xludf.IFS(AH5=0,"0",AH5=1,"150",AH5=2,"300",AH5=3,"450",AH5=4,"600",AH5=5,"750",AH5&gt;=6,"800"))),(VALUE(_xludf.IFS(AH5=0,"0",AH5=1,"150",AH5=2,"300",AH5=3,"450",AH5=4,"600",AH5=5,"750",AH5=6,"900",AH5&gt;=7,"1,000"))))</f>
        <v>#NAME?</v>
      </c>
      <c r="AJ5" s="69" t="str">
        <f t="shared" si="2"/>
        <v>捷升</v>
      </c>
      <c r="AK5" s="70" t="s">
        <v>218</v>
      </c>
    </row>
    <row r="6" spans="1:37" ht="18" customHeight="1">
      <c r="A6" s="95" t="s">
        <v>174</v>
      </c>
      <c r="B6" s="96" t="s">
        <v>14</v>
      </c>
      <c r="C6" s="95"/>
      <c r="D6" s="97"/>
      <c r="E6" s="95"/>
      <c r="F6" s="95"/>
      <c r="G6" s="95"/>
      <c r="H6" s="95">
        <v>1</v>
      </c>
      <c r="I6" s="97"/>
      <c r="J6" s="95">
        <v>1</v>
      </c>
      <c r="K6" s="97"/>
      <c r="L6" s="95"/>
      <c r="M6" s="95">
        <v>1</v>
      </c>
      <c r="N6" s="95">
        <v>1</v>
      </c>
      <c r="O6" s="95"/>
      <c r="P6" s="97"/>
      <c r="Q6" s="95">
        <v>1</v>
      </c>
      <c r="R6" s="97"/>
      <c r="S6" s="95">
        <v>1</v>
      </c>
      <c r="T6" s="95"/>
      <c r="U6" s="95">
        <v>1</v>
      </c>
      <c r="V6" s="95">
        <v>1</v>
      </c>
      <c r="W6" s="97"/>
      <c r="X6" s="95"/>
      <c r="Y6" s="97"/>
      <c r="Z6" s="95">
        <v>1</v>
      </c>
      <c r="AA6" s="95">
        <v>1</v>
      </c>
      <c r="AB6" s="95"/>
      <c r="AC6" s="95">
        <v>1</v>
      </c>
      <c r="AD6" s="97"/>
      <c r="AE6" s="95">
        <v>1</v>
      </c>
      <c r="AF6" s="97"/>
      <c r="AG6" s="95">
        <v>1</v>
      </c>
      <c r="AH6" s="66">
        <f t="shared" si="1"/>
        <v>13</v>
      </c>
      <c r="AI6" s="68" t="e">
        <f ca="1">IF(A6="O", (VALUE(_xludf.IFS(AH6=0,"0",AH6=1,"150",AH6=2,"300",AH6=3,"450",AH6=4,"600",AH6=5,"750",AH6&gt;=6,"800"))),(VALUE(_xludf.IFS(AH6=0,"0",AH6=1,"150",AH6=2,"300",AH6=3,"450",AH6=4,"600",AH6=5,"750",AH6=6,"900",AH6&gt;=7,"1,000"))))</f>
        <v>#NAME?</v>
      </c>
      <c r="AJ6" s="69" t="str">
        <f t="shared" si="2"/>
        <v>曉明</v>
      </c>
      <c r="AK6" s="70"/>
    </row>
    <row r="7" spans="1:37" ht="18" customHeight="1">
      <c r="A7" s="95" t="s">
        <v>174</v>
      </c>
      <c r="B7" s="96" t="s">
        <v>15</v>
      </c>
      <c r="C7" s="95"/>
      <c r="D7" s="97"/>
      <c r="E7" s="95"/>
      <c r="F7" s="95"/>
      <c r="G7" s="95"/>
      <c r="H7" s="95">
        <v>1</v>
      </c>
      <c r="I7" s="97"/>
      <c r="J7" s="95">
        <v>1</v>
      </c>
      <c r="K7" s="97"/>
      <c r="L7" s="95">
        <v>1</v>
      </c>
      <c r="M7" s="95"/>
      <c r="N7" s="95">
        <v>1</v>
      </c>
      <c r="O7" s="95"/>
      <c r="P7" s="97"/>
      <c r="Q7" s="95">
        <v>1</v>
      </c>
      <c r="R7" s="97"/>
      <c r="S7" s="95"/>
      <c r="T7" s="95"/>
      <c r="U7" s="95">
        <v>1</v>
      </c>
      <c r="V7" s="95"/>
      <c r="W7" s="97"/>
      <c r="X7" s="95">
        <v>1</v>
      </c>
      <c r="Y7" s="97"/>
      <c r="Z7" s="95">
        <v>1</v>
      </c>
      <c r="AA7" s="95">
        <v>1</v>
      </c>
      <c r="AB7" s="95">
        <v>1</v>
      </c>
      <c r="AC7" s="95"/>
      <c r="AD7" s="97"/>
      <c r="AE7" s="95">
        <v>1</v>
      </c>
      <c r="AF7" s="97"/>
      <c r="AG7" s="95">
        <v>1</v>
      </c>
      <c r="AH7" s="66">
        <f t="shared" si="1"/>
        <v>12</v>
      </c>
      <c r="AI7" s="68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69" t="str">
        <f t="shared" si="2"/>
        <v>大支</v>
      </c>
      <c r="AK7" s="70" t="s">
        <v>218</v>
      </c>
    </row>
    <row r="8" spans="1:37" ht="18" customHeight="1">
      <c r="A8" s="95" t="s">
        <v>174</v>
      </c>
      <c r="B8" s="96" t="s">
        <v>16</v>
      </c>
      <c r="C8" s="95"/>
      <c r="D8" s="97"/>
      <c r="E8" s="95"/>
      <c r="F8" s="95"/>
      <c r="G8" s="95"/>
      <c r="H8" s="95"/>
      <c r="I8" s="97"/>
      <c r="J8" s="95"/>
      <c r="K8" s="97"/>
      <c r="L8" s="95"/>
      <c r="M8" s="95"/>
      <c r="N8" s="95">
        <v>1</v>
      </c>
      <c r="O8" s="95"/>
      <c r="P8" s="97"/>
      <c r="Q8" s="95">
        <v>1</v>
      </c>
      <c r="R8" s="97"/>
      <c r="S8" s="95"/>
      <c r="T8" s="95"/>
      <c r="U8" s="95"/>
      <c r="V8" s="95"/>
      <c r="W8" s="97"/>
      <c r="X8" s="95"/>
      <c r="Y8" s="97"/>
      <c r="Z8" s="95"/>
      <c r="AA8" s="95"/>
      <c r="AB8" s="95"/>
      <c r="AC8" s="95"/>
      <c r="AD8" s="97"/>
      <c r="AE8" s="95"/>
      <c r="AF8" s="97"/>
      <c r="AG8" s="95">
        <v>1</v>
      </c>
      <c r="AH8" s="66">
        <f t="shared" si="1"/>
        <v>3</v>
      </c>
      <c r="AI8" s="68">
        <v>800</v>
      </c>
      <c r="AJ8" s="69" t="str">
        <f t="shared" si="2"/>
        <v>弼善</v>
      </c>
      <c r="AK8" s="70" t="s">
        <v>218</v>
      </c>
    </row>
    <row r="9" spans="1:37" ht="18" customHeight="1">
      <c r="A9" s="95" t="s">
        <v>174</v>
      </c>
      <c r="B9" s="96" t="s">
        <v>17</v>
      </c>
      <c r="C9" s="95"/>
      <c r="D9" s="97"/>
      <c r="E9" s="95"/>
      <c r="F9" s="95"/>
      <c r="G9" s="95"/>
      <c r="H9" s="95">
        <v>1</v>
      </c>
      <c r="I9" s="97"/>
      <c r="J9" s="95"/>
      <c r="K9" s="97"/>
      <c r="L9" s="95">
        <v>1</v>
      </c>
      <c r="M9" s="95"/>
      <c r="N9" s="95"/>
      <c r="O9" s="95"/>
      <c r="P9" s="97"/>
      <c r="Q9" s="95"/>
      <c r="R9" s="97"/>
      <c r="S9" s="95"/>
      <c r="T9" s="95"/>
      <c r="U9" s="95"/>
      <c r="V9" s="95">
        <v>1</v>
      </c>
      <c r="W9" s="97"/>
      <c r="X9" s="95"/>
      <c r="Y9" s="97"/>
      <c r="Z9" s="95"/>
      <c r="AA9" s="95"/>
      <c r="AB9" s="95"/>
      <c r="AC9" s="95"/>
      <c r="AD9" s="97"/>
      <c r="AE9" s="95"/>
      <c r="AF9" s="97"/>
      <c r="AG9" s="95">
        <v>1</v>
      </c>
      <c r="AH9" s="66">
        <f t="shared" si="1"/>
        <v>4</v>
      </c>
      <c r="AI9" s="68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69" t="str">
        <f t="shared" si="2"/>
        <v>光曜</v>
      </c>
      <c r="AK9" s="70"/>
    </row>
    <row r="10" spans="1:37" ht="18" customHeight="1">
      <c r="A10" s="95" t="s">
        <v>174</v>
      </c>
      <c r="B10" s="96" t="s">
        <v>13</v>
      </c>
      <c r="C10" s="95"/>
      <c r="D10" s="97"/>
      <c r="E10" s="95"/>
      <c r="F10" s="95"/>
      <c r="G10" s="95"/>
      <c r="H10" s="95">
        <v>1</v>
      </c>
      <c r="I10" s="97"/>
      <c r="J10" s="95">
        <v>1</v>
      </c>
      <c r="K10" s="97"/>
      <c r="L10" s="95">
        <v>1</v>
      </c>
      <c r="M10" s="95">
        <v>1</v>
      </c>
      <c r="N10" s="95"/>
      <c r="O10" s="95"/>
      <c r="P10" s="97"/>
      <c r="Q10" s="95">
        <v>1</v>
      </c>
      <c r="R10" s="97"/>
      <c r="S10" s="95"/>
      <c r="T10" s="95"/>
      <c r="U10" s="95"/>
      <c r="V10" s="95">
        <v>1</v>
      </c>
      <c r="W10" s="97"/>
      <c r="X10" s="95">
        <v>1</v>
      </c>
      <c r="Y10" s="97"/>
      <c r="Z10" s="95">
        <v>1</v>
      </c>
      <c r="AA10" s="95">
        <v>1</v>
      </c>
      <c r="AB10" s="95"/>
      <c r="AC10" s="95">
        <v>1</v>
      </c>
      <c r="AD10" s="97"/>
      <c r="AE10" s="95"/>
      <c r="AF10" s="97"/>
      <c r="AG10" s="95">
        <v>1</v>
      </c>
      <c r="AH10" s="66">
        <f t="shared" si="1"/>
        <v>11</v>
      </c>
      <c r="AI10" s="68" t="e">
        <f ca="1">IF(A10="O", (VALUE(_xludf.IFS(AH10=0,"0",AH10=1,"150",AH10=2,"300",AH10=3,"450",AH10=4,"600",AH10=5,"750",AH10&gt;=6,"800"))),(VALUE(_xludf.IFS(AH10=0,"0",AH10=1,"150",AH10=2,"300",AH10=3,"450",AH10=4,"600",AH10=5,"750",AH10=6,"900",AH10&gt;=7,"1,000"))))</f>
        <v>#NAME?</v>
      </c>
      <c r="AJ10" s="69" t="str">
        <f t="shared" si="2"/>
        <v>李洋</v>
      </c>
      <c r="AK10" s="70" t="s">
        <v>218</v>
      </c>
    </row>
    <row r="11" spans="1:37" ht="18" customHeight="1">
      <c r="A11" s="95" t="s">
        <v>174</v>
      </c>
      <c r="B11" s="96" t="s">
        <v>18</v>
      </c>
      <c r="C11" s="95"/>
      <c r="D11" s="97"/>
      <c r="E11" s="95"/>
      <c r="F11" s="95"/>
      <c r="G11" s="95"/>
      <c r="H11" s="95">
        <v>1</v>
      </c>
      <c r="I11" s="97"/>
      <c r="J11" s="95">
        <v>1</v>
      </c>
      <c r="K11" s="97"/>
      <c r="L11" s="95"/>
      <c r="M11" s="95">
        <v>1</v>
      </c>
      <c r="N11" s="95"/>
      <c r="O11" s="95"/>
      <c r="P11" s="97"/>
      <c r="Q11" s="95"/>
      <c r="R11" s="97"/>
      <c r="S11" s="95"/>
      <c r="T11" s="95"/>
      <c r="U11" s="95"/>
      <c r="V11" s="95">
        <v>1</v>
      </c>
      <c r="W11" s="97"/>
      <c r="X11" s="95"/>
      <c r="Y11" s="97"/>
      <c r="Z11" s="95">
        <v>1</v>
      </c>
      <c r="AA11" s="95"/>
      <c r="AB11" s="95"/>
      <c r="AC11" s="95">
        <v>1</v>
      </c>
      <c r="AD11" s="97"/>
      <c r="AE11" s="95"/>
      <c r="AF11" s="97"/>
      <c r="AG11" s="95">
        <v>1</v>
      </c>
      <c r="AH11" s="66">
        <f t="shared" si="1"/>
        <v>7</v>
      </c>
      <c r="AI11" s="68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69" t="str">
        <f t="shared" si="2"/>
        <v>皓元</v>
      </c>
      <c r="AK11" s="70"/>
    </row>
    <row r="12" spans="1:37" ht="18" customHeight="1">
      <c r="A12" s="95" t="s">
        <v>174</v>
      </c>
      <c r="B12" s="96" t="s">
        <v>19</v>
      </c>
      <c r="C12" s="95"/>
      <c r="D12" s="97"/>
      <c r="E12" s="95"/>
      <c r="F12" s="95"/>
      <c r="G12" s="95"/>
      <c r="H12" s="95">
        <v>1</v>
      </c>
      <c r="I12" s="97"/>
      <c r="J12" s="95">
        <v>1</v>
      </c>
      <c r="K12" s="97"/>
      <c r="L12" s="95">
        <v>1</v>
      </c>
      <c r="M12" s="95">
        <v>1</v>
      </c>
      <c r="N12" s="95">
        <v>1</v>
      </c>
      <c r="O12" s="95"/>
      <c r="P12" s="97"/>
      <c r="Q12" s="95">
        <v>1</v>
      </c>
      <c r="R12" s="97"/>
      <c r="S12" s="95"/>
      <c r="T12" s="95"/>
      <c r="U12" s="95"/>
      <c r="V12" s="95">
        <v>1</v>
      </c>
      <c r="W12" s="97"/>
      <c r="X12" s="95">
        <v>1</v>
      </c>
      <c r="Y12" s="97"/>
      <c r="Z12" s="95">
        <v>1</v>
      </c>
      <c r="AA12" s="95">
        <v>1</v>
      </c>
      <c r="AB12" s="95"/>
      <c r="AC12" s="95">
        <v>1</v>
      </c>
      <c r="AD12" s="97"/>
      <c r="AE12" s="95">
        <v>1</v>
      </c>
      <c r="AF12" s="97"/>
      <c r="AG12" s="95"/>
      <c r="AH12" s="66">
        <f t="shared" si="1"/>
        <v>12</v>
      </c>
      <c r="AI12" s="68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69" t="str">
        <f t="shared" si="2"/>
        <v>青蛙</v>
      </c>
      <c r="AK12" s="70"/>
    </row>
    <row r="13" spans="1:37" ht="18" customHeight="1">
      <c r="A13" s="95" t="s">
        <v>174</v>
      </c>
      <c r="B13" s="96" t="s">
        <v>61</v>
      </c>
      <c r="C13" s="95"/>
      <c r="D13" s="97"/>
      <c r="E13" s="95"/>
      <c r="F13" s="95"/>
      <c r="G13" s="95"/>
      <c r="H13" s="95"/>
      <c r="I13" s="97"/>
      <c r="J13" s="95"/>
      <c r="K13" s="97"/>
      <c r="L13" s="95"/>
      <c r="M13" s="95"/>
      <c r="N13" s="95">
        <v>1</v>
      </c>
      <c r="O13" s="95"/>
      <c r="P13" s="97"/>
      <c r="Q13" s="95">
        <v>1</v>
      </c>
      <c r="R13" s="97"/>
      <c r="S13" s="95">
        <v>1</v>
      </c>
      <c r="T13" s="95"/>
      <c r="U13" s="95"/>
      <c r="V13" s="95">
        <v>1</v>
      </c>
      <c r="W13" s="97"/>
      <c r="X13" s="95"/>
      <c r="Y13" s="97"/>
      <c r="Z13" s="95">
        <v>1</v>
      </c>
      <c r="AA13" s="95">
        <v>1</v>
      </c>
      <c r="AB13" s="95"/>
      <c r="AC13" s="95">
        <v>1</v>
      </c>
      <c r="AD13" s="97"/>
      <c r="AE13" s="95"/>
      <c r="AF13" s="97"/>
      <c r="AG13" s="95">
        <v>1</v>
      </c>
      <c r="AH13" s="66">
        <f t="shared" si="1"/>
        <v>8</v>
      </c>
      <c r="AI13" s="68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69" t="str">
        <f t="shared" si="2"/>
        <v>韋融</v>
      </c>
      <c r="AK13" s="70"/>
    </row>
    <row r="14" spans="1:37" ht="18" customHeight="1">
      <c r="A14" s="95" t="s">
        <v>174</v>
      </c>
      <c r="B14" s="96" t="s">
        <v>175</v>
      </c>
      <c r="C14" s="95"/>
      <c r="D14" s="97"/>
      <c r="E14" s="95"/>
      <c r="F14" s="95"/>
      <c r="G14" s="95"/>
      <c r="H14" s="95">
        <v>1</v>
      </c>
      <c r="I14" s="97"/>
      <c r="J14" s="95"/>
      <c r="K14" s="97"/>
      <c r="L14" s="95">
        <v>1</v>
      </c>
      <c r="M14" s="95"/>
      <c r="N14" s="95">
        <v>1</v>
      </c>
      <c r="O14" s="95"/>
      <c r="P14" s="97"/>
      <c r="Q14" s="95">
        <v>1</v>
      </c>
      <c r="R14" s="97"/>
      <c r="S14" s="95"/>
      <c r="T14" s="95"/>
      <c r="U14" s="95"/>
      <c r="V14" s="95">
        <v>1</v>
      </c>
      <c r="W14" s="97"/>
      <c r="X14" s="95"/>
      <c r="Y14" s="97"/>
      <c r="Z14" s="95">
        <v>1</v>
      </c>
      <c r="AA14" s="95">
        <v>1</v>
      </c>
      <c r="AB14" s="95"/>
      <c r="AC14" s="95">
        <v>1</v>
      </c>
      <c r="AD14" s="97"/>
      <c r="AE14" s="95">
        <v>1</v>
      </c>
      <c r="AF14" s="97"/>
      <c r="AG14" s="95">
        <v>1</v>
      </c>
      <c r="AH14" s="66">
        <f t="shared" si="1"/>
        <v>10</v>
      </c>
      <c r="AI14" s="68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69" t="str">
        <f t="shared" si="2"/>
        <v>咪咪</v>
      </c>
      <c r="AK14" s="70"/>
    </row>
    <row r="15" spans="1:37" ht="18" customHeight="1">
      <c r="A15" s="95" t="s">
        <v>174</v>
      </c>
      <c r="B15" s="96" t="s">
        <v>20</v>
      </c>
      <c r="C15" s="95"/>
      <c r="D15" s="97"/>
      <c r="E15" s="95"/>
      <c r="F15" s="95"/>
      <c r="G15" s="95"/>
      <c r="H15" s="95">
        <v>1</v>
      </c>
      <c r="I15" s="97"/>
      <c r="J15" s="95"/>
      <c r="K15" s="97"/>
      <c r="L15" s="95"/>
      <c r="M15" s="95"/>
      <c r="N15" s="95">
        <v>1</v>
      </c>
      <c r="O15" s="95"/>
      <c r="P15" s="97"/>
      <c r="Q15" s="95">
        <v>1</v>
      </c>
      <c r="R15" s="97"/>
      <c r="S15" s="95">
        <v>1</v>
      </c>
      <c r="T15" s="95"/>
      <c r="U15" s="95"/>
      <c r="V15" s="95"/>
      <c r="W15" s="97"/>
      <c r="X15" s="95"/>
      <c r="Y15" s="97"/>
      <c r="Z15" s="95"/>
      <c r="AA15" s="95"/>
      <c r="AB15" s="95"/>
      <c r="AC15" s="95"/>
      <c r="AD15" s="97"/>
      <c r="AE15" s="95"/>
      <c r="AF15" s="97"/>
      <c r="AG15" s="95">
        <v>1</v>
      </c>
      <c r="AH15" s="66">
        <f t="shared" si="1"/>
        <v>5</v>
      </c>
      <c r="AI15" s="68">
        <v>800</v>
      </c>
      <c r="AJ15" s="69" t="str">
        <f t="shared" si="2"/>
        <v>港弟</v>
      </c>
      <c r="AK15" s="70" t="s">
        <v>218</v>
      </c>
    </row>
    <row r="16" spans="1:37" ht="18" customHeight="1">
      <c r="A16" s="95" t="s">
        <v>174</v>
      </c>
      <c r="B16" s="96" t="s">
        <v>21</v>
      </c>
      <c r="C16" s="95"/>
      <c r="D16" s="97"/>
      <c r="E16" s="95"/>
      <c r="F16" s="95"/>
      <c r="G16" s="95"/>
      <c r="H16" s="95"/>
      <c r="I16" s="97"/>
      <c r="J16" s="95"/>
      <c r="K16" s="97"/>
      <c r="L16" s="95"/>
      <c r="M16" s="95"/>
      <c r="N16" s="95"/>
      <c r="O16" s="95"/>
      <c r="P16" s="97"/>
      <c r="Q16" s="95"/>
      <c r="R16" s="97"/>
      <c r="S16" s="95"/>
      <c r="T16" s="95"/>
      <c r="U16" s="95"/>
      <c r="V16" s="95"/>
      <c r="W16" s="97"/>
      <c r="X16" s="95"/>
      <c r="Y16" s="97"/>
      <c r="Z16" s="95"/>
      <c r="AA16" s="95"/>
      <c r="AB16" s="95"/>
      <c r="AC16" s="95"/>
      <c r="AD16" s="97"/>
      <c r="AE16" s="95"/>
      <c r="AF16" s="97"/>
      <c r="AG16" s="95"/>
      <c r="AH16" s="66">
        <f t="shared" si="1"/>
        <v>0</v>
      </c>
      <c r="AI16" s="68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69" t="str">
        <f t="shared" si="2"/>
        <v>晧全</v>
      </c>
      <c r="AK16" s="70"/>
    </row>
    <row r="17" spans="1:37" ht="18" customHeight="1">
      <c r="A17" s="95" t="s">
        <v>174</v>
      </c>
      <c r="B17" s="96" t="s">
        <v>22</v>
      </c>
      <c r="C17" s="95"/>
      <c r="D17" s="97"/>
      <c r="E17" s="95"/>
      <c r="F17" s="95"/>
      <c r="G17" s="95"/>
      <c r="H17" s="95"/>
      <c r="I17" s="97"/>
      <c r="J17" s="95">
        <v>1</v>
      </c>
      <c r="K17" s="97"/>
      <c r="L17" s="95">
        <v>1</v>
      </c>
      <c r="M17" s="95">
        <v>1</v>
      </c>
      <c r="N17" s="95">
        <v>1</v>
      </c>
      <c r="O17" s="95"/>
      <c r="P17" s="97"/>
      <c r="Q17" s="95">
        <v>1</v>
      </c>
      <c r="R17" s="97"/>
      <c r="S17" s="95">
        <v>1</v>
      </c>
      <c r="T17" s="95">
        <v>1</v>
      </c>
      <c r="U17" s="95">
        <v>1</v>
      </c>
      <c r="V17" s="95">
        <v>1</v>
      </c>
      <c r="W17" s="97"/>
      <c r="X17" s="95"/>
      <c r="Y17" s="97"/>
      <c r="Z17" s="95">
        <v>1</v>
      </c>
      <c r="AA17" s="95">
        <v>1</v>
      </c>
      <c r="AB17" s="95">
        <v>1</v>
      </c>
      <c r="AC17" s="95">
        <v>1</v>
      </c>
      <c r="AD17" s="97"/>
      <c r="AE17" s="95">
        <v>1</v>
      </c>
      <c r="AF17" s="97"/>
      <c r="AG17" s="95">
        <v>1</v>
      </c>
      <c r="AH17" s="66">
        <f t="shared" si="1"/>
        <v>15</v>
      </c>
      <c r="AI17" s="68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69" t="str">
        <f t="shared" si="2"/>
        <v>Mars</v>
      </c>
      <c r="AK17" s="70" t="s">
        <v>218</v>
      </c>
    </row>
    <row r="18" spans="1:37" ht="18" customHeight="1">
      <c r="A18" s="99" t="s">
        <v>174</v>
      </c>
      <c r="B18" s="100" t="s">
        <v>89</v>
      </c>
      <c r="C18" s="99"/>
      <c r="D18" s="97"/>
      <c r="E18" s="99"/>
      <c r="F18" s="99"/>
      <c r="G18" s="99"/>
      <c r="H18" s="99"/>
      <c r="I18" s="97"/>
      <c r="J18" s="99"/>
      <c r="K18" s="97"/>
      <c r="L18" s="99"/>
      <c r="M18" s="99">
        <v>1</v>
      </c>
      <c r="N18" s="99"/>
      <c r="O18" s="99"/>
      <c r="P18" s="97"/>
      <c r="Q18" s="99"/>
      <c r="R18" s="97"/>
      <c r="S18" s="99"/>
      <c r="T18" s="99"/>
      <c r="U18" s="99"/>
      <c r="V18" s="99">
        <v>1</v>
      </c>
      <c r="W18" s="97"/>
      <c r="X18" s="99"/>
      <c r="Y18" s="97"/>
      <c r="Z18" s="99">
        <v>1</v>
      </c>
      <c r="AA18" s="99"/>
      <c r="AB18" s="99"/>
      <c r="AC18" s="99"/>
      <c r="AD18" s="97"/>
      <c r="AE18" s="99"/>
      <c r="AF18" s="97"/>
      <c r="AG18" s="99">
        <v>1</v>
      </c>
      <c r="AH18" s="77">
        <f t="shared" si="1"/>
        <v>4</v>
      </c>
      <c r="AI18" s="78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79" t="str">
        <f t="shared" si="2"/>
        <v>泡芙</v>
      </c>
      <c r="AK18" s="80"/>
    </row>
    <row r="19" spans="1:37" ht="18" customHeight="1">
      <c r="A19" s="99" t="s">
        <v>174</v>
      </c>
      <c r="B19" s="100" t="s">
        <v>90</v>
      </c>
      <c r="C19" s="99"/>
      <c r="D19" s="97"/>
      <c r="E19" s="99"/>
      <c r="F19" s="99"/>
      <c r="G19" s="99"/>
      <c r="H19" s="99"/>
      <c r="I19" s="97"/>
      <c r="J19" s="99"/>
      <c r="K19" s="97"/>
      <c r="L19" s="99"/>
      <c r="M19" s="99"/>
      <c r="N19" s="99"/>
      <c r="O19" s="99"/>
      <c r="P19" s="97"/>
      <c r="Q19" s="99"/>
      <c r="R19" s="97"/>
      <c r="S19" s="99">
        <v>1</v>
      </c>
      <c r="T19" s="99"/>
      <c r="U19" s="99"/>
      <c r="V19" s="99"/>
      <c r="W19" s="97"/>
      <c r="X19" s="99"/>
      <c r="Y19" s="97"/>
      <c r="Z19" s="99"/>
      <c r="AA19" s="99"/>
      <c r="AB19" s="99"/>
      <c r="AC19" s="99"/>
      <c r="AD19" s="97"/>
      <c r="AE19" s="99"/>
      <c r="AF19" s="97"/>
      <c r="AG19" s="99">
        <v>1</v>
      </c>
      <c r="AH19" s="77">
        <f t="shared" si="1"/>
        <v>2</v>
      </c>
      <c r="AI19" s="78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79" t="str">
        <f t="shared" si="2"/>
        <v>蓓蓓</v>
      </c>
      <c r="AK19" s="80"/>
    </row>
    <row r="20" spans="1:37" ht="18" customHeight="1">
      <c r="A20" s="99" t="s">
        <v>174</v>
      </c>
      <c r="B20" s="100" t="s">
        <v>91</v>
      </c>
      <c r="C20" s="99"/>
      <c r="D20" s="97"/>
      <c r="E20" s="99"/>
      <c r="F20" s="99"/>
      <c r="G20" s="99"/>
      <c r="H20" s="99"/>
      <c r="I20" s="97"/>
      <c r="J20" s="99"/>
      <c r="K20" s="97"/>
      <c r="L20" s="99"/>
      <c r="M20" s="99"/>
      <c r="N20" s="99">
        <v>1</v>
      </c>
      <c r="O20" s="99"/>
      <c r="P20" s="97"/>
      <c r="Q20" s="99"/>
      <c r="R20" s="97"/>
      <c r="S20" s="99">
        <v>1</v>
      </c>
      <c r="T20" s="99"/>
      <c r="U20" s="99">
        <v>1</v>
      </c>
      <c r="V20" s="99"/>
      <c r="W20" s="97"/>
      <c r="X20" s="99"/>
      <c r="Y20" s="97"/>
      <c r="Z20" s="99"/>
      <c r="AA20" s="99"/>
      <c r="AB20" s="99">
        <v>1</v>
      </c>
      <c r="AC20" s="99"/>
      <c r="AD20" s="97"/>
      <c r="AE20" s="99"/>
      <c r="AF20" s="97"/>
      <c r="AG20" s="99"/>
      <c r="AH20" s="77">
        <f t="shared" si="1"/>
        <v>4</v>
      </c>
      <c r="AI20" s="78">
        <v>800</v>
      </c>
      <c r="AJ20" s="79" t="str">
        <f t="shared" si="2"/>
        <v>柔柔</v>
      </c>
      <c r="AK20" s="80" t="s">
        <v>218</v>
      </c>
    </row>
    <row r="21" spans="1:37" ht="18" customHeight="1">
      <c r="A21" s="99" t="s">
        <v>174</v>
      </c>
      <c r="B21" s="100" t="s">
        <v>92</v>
      </c>
      <c r="C21" s="99"/>
      <c r="D21" s="97"/>
      <c r="E21" s="99"/>
      <c r="F21" s="99"/>
      <c r="G21" s="99"/>
      <c r="H21" s="99">
        <v>1</v>
      </c>
      <c r="I21" s="97"/>
      <c r="J21" s="99">
        <v>1</v>
      </c>
      <c r="K21" s="97"/>
      <c r="L21" s="99">
        <v>1</v>
      </c>
      <c r="M21" s="99"/>
      <c r="N21" s="99">
        <v>1</v>
      </c>
      <c r="O21" s="99"/>
      <c r="P21" s="97"/>
      <c r="Q21" s="99">
        <v>1</v>
      </c>
      <c r="R21" s="97"/>
      <c r="S21" s="99"/>
      <c r="T21" s="99"/>
      <c r="U21" s="99"/>
      <c r="V21" s="99"/>
      <c r="W21" s="97"/>
      <c r="X21" s="99">
        <v>1</v>
      </c>
      <c r="Y21" s="97"/>
      <c r="Z21" s="99">
        <v>1</v>
      </c>
      <c r="AA21" s="99">
        <v>1</v>
      </c>
      <c r="AB21" s="99"/>
      <c r="AC21" s="99"/>
      <c r="AD21" s="97"/>
      <c r="AE21" s="99"/>
      <c r="AF21" s="97"/>
      <c r="AG21" s="99">
        <v>1</v>
      </c>
      <c r="AH21" s="77">
        <f t="shared" si="1"/>
        <v>9</v>
      </c>
      <c r="AI21" s="78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79" t="str">
        <f t="shared" si="2"/>
        <v>婉晴</v>
      </c>
      <c r="AK21" s="80" t="s">
        <v>218</v>
      </c>
    </row>
    <row r="22" spans="1:37" ht="18" customHeight="1">
      <c r="A22" s="99" t="s">
        <v>174</v>
      </c>
      <c r="B22" s="100" t="s">
        <v>93</v>
      </c>
      <c r="C22" s="99"/>
      <c r="D22" s="97"/>
      <c r="E22" s="99"/>
      <c r="F22" s="99"/>
      <c r="G22" s="99"/>
      <c r="H22" s="99">
        <v>1</v>
      </c>
      <c r="I22" s="97"/>
      <c r="J22" s="99"/>
      <c r="K22" s="97"/>
      <c r="L22" s="99">
        <v>1</v>
      </c>
      <c r="M22" s="99">
        <v>1</v>
      </c>
      <c r="N22" s="99"/>
      <c r="O22" s="99"/>
      <c r="P22" s="97"/>
      <c r="Q22" s="99"/>
      <c r="R22" s="97"/>
      <c r="S22" s="99"/>
      <c r="T22" s="99"/>
      <c r="U22" s="99"/>
      <c r="V22" s="99">
        <v>1</v>
      </c>
      <c r="W22" s="97"/>
      <c r="X22" s="99"/>
      <c r="Y22" s="97"/>
      <c r="Z22" s="99">
        <v>1</v>
      </c>
      <c r="AA22" s="99"/>
      <c r="AB22" s="99"/>
      <c r="AC22" s="99">
        <v>1</v>
      </c>
      <c r="AD22" s="97"/>
      <c r="AE22" s="99"/>
      <c r="AF22" s="97"/>
      <c r="AG22" s="99">
        <v>1</v>
      </c>
      <c r="AH22" s="77">
        <f t="shared" si="1"/>
        <v>7</v>
      </c>
      <c r="AI22" s="78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79" t="str">
        <f t="shared" si="2"/>
        <v>冠婷</v>
      </c>
      <c r="AK22" s="81"/>
    </row>
    <row r="23" spans="1:37" ht="18" customHeight="1">
      <c r="A23" s="99" t="s">
        <v>174</v>
      </c>
      <c r="B23" s="100" t="s">
        <v>149</v>
      </c>
      <c r="C23" s="99"/>
      <c r="D23" s="97"/>
      <c r="E23" s="99"/>
      <c r="F23" s="99"/>
      <c r="G23" s="99"/>
      <c r="H23" s="99"/>
      <c r="I23" s="97"/>
      <c r="J23" s="99"/>
      <c r="K23" s="97"/>
      <c r="L23" s="99"/>
      <c r="M23" s="99"/>
      <c r="N23" s="99"/>
      <c r="O23" s="99"/>
      <c r="P23" s="97"/>
      <c r="Q23" s="99"/>
      <c r="R23" s="97"/>
      <c r="S23" s="99"/>
      <c r="T23" s="99"/>
      <c r="U23" s="99"/>
      <c r="V23" s="99"/>
      <c r="W23" s="97"/>
      <c r="X23" s="99"/>
      <c r="Y23" s="97"/>
      <c r="Z23" s="99"/>
      <c r="AA23" s="99"/>
      <c r="AB23" s="99"/>
      <c r="AC23" s="99"/>
      <c r="AD23" s="97"/>
      <c r="AE23" s="99"/>
      <c r="AF23" s="97"/>
      <c r="AG23" s="99"/>
      <c r="AH23" s="77">
        <f t="shared" si="1"/>
        <v>0</v>
      </c>
      <c r="AI23" s="78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79" t="str">
        <f t="shared" si="2"/>
        <v>晏寧</v>
      </c>
      <c r="AK23" s="82"/>
    </row>
    <row r="24" spans="1:37" ht="18" customHeight="1">
      <c r="A24" s="99" t="s">
        <v>174</v>
      </c>
      <c r="B24" s="100" t="s">
        <v>150</v>
      </c>
      <c r="C24" s="99"/>
      <c r="D24" s="97"/>
      <c r="E24" s="99"/>
      <c r="F24" s="99"/>
      <c r="G24" s="99"/>
      <c r="H24" s="99"/>
      <c r="I24" s="97"/>
      <c r="J24" s="99"/>
      <c r="K24" s="97"/>
      <c r="L24" s="99"/>
      <c r="M24" s="99"/>
      <c r="N24" s="99"/>
      <c r="O24" s="99"/>
      <c r="P24" s="97"/>
      <c r="Q24" s="99"/>
      <c r="R24" s="97"/>
      <c r="S24" s="99"/>
      <c r="T24" s="99"/>
      <c r="U24" s="99"/>
      <c r="V24" s="99"/>
      <c r="W24" s="97"/>
      <c r="X24" s="99"/>
      <c r="Y24" s="97"/>
      <c r="Z24" s="99"/>
      <c r="AA24" s="99"/>
      <c r="AB24" s="99"/>
      <c r="AC24" s="99">
        <v>1</v>
      </c>
      <c r="AD24" s="97"/>
      <c r="AE24" s="99"/>
      <c r="AF24" s="97"/>
      <c r="AG24" s="99"/>
      <c r="AH24" s="77">
        <f t="shared" si="1"/>
        <v>1</v>
      </c>
      <c r="AI24" s="78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79" t="str">
        <f t="shared" si="2"/>
        <v>高麗菜</v>
      </c>
      <c r="AK24" s="80"/>
    </row>
    <row r="25" spans="1:37" ht="18" customHeight="1">
      <c r="A25" s="99" t="s">
        <v>174</v>
      </c>
      <c r="B25" s="100" t="s">
        <v>113</v>
      </c>
      <c r="C25" s="99"/>
      <c r="D25" s="97"/>
      <c r="E25" s="99"/>
      <c r="F25" s="99"/>
      <c r="G25" s="99"/>
      <c r="H25" s="99"/>
      <c r="I25" s="97"/>
      <c r="J25" s="99"/>
      <c r="K25" s="97"/>
      <c r="L25" s="99"/>
      <c r="M25" s="99"/>
      <c r="N25" s="99"/>
      <c r="O25" s="99"/>
      <c r="P25" s="97"/>
      <c r="Q25" s="99"/>
      <c r="R25" s="97"/>
      <c r="S25" s="99"/>
      <c r="T25" s="99"/>
      <c r="U25" s="99"/>
      <c r="V25" s="99"/>
      <c r="W25" s="97"/>
      <c r="X25" s="99">
        <v>1</v>
      </c>
      <c r="Y25" s="97"/>
      <c r="Z25" s="99"/>
      <c r="AA25" s="99"/>
      <c r="AB25" s="99"/>
      <c r="AC25" s="99"/>
      <c r="AD25" s="97"/>
      <c r="AE25" s="99">
        <v>1</v>
      </c>
      <c r="AF25" s="97"/>
      <c r="AG25" s="99"/>
      <c r="AH25" s="77">
        <f t="shared" si="1"/>
        <v>2</v>
      </c>
      <c r="AI25" s="78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79" t="str">
        <f t="shared" si="2"/>
        <v>容容</v>
      </c>
      <c r="AK25" s="82"/>
    </row>
    <row r="26" spans="1:37" ht="18" customHeight="1">
      <c r="A26" s="99" t="s">
        <v>174</v>
      </c>
      <c r="B26" s="100" t="s">
        <v>94</v>
      </c>
      <c r="C26" s="99"/>
      <c r="D26" s="97"/>
      <c r="E26" s="99"/>
      <c r="F26" s="99"/>
      <c r="G26" s="99"/>
      <c r="H26" s="99"/>
      <c r="I26" s="97"/>
      <c r="J26" s="99"/>
      <c r="K26" s="97"/>
      <c r="L26" s="99"/>
      <c r="M26" s="99"/>
      <c r="N26" s="99">
        <v>1</v>
      </c>
      <c r="O26" s="99"/>
      <c r="P26" s="97"/>
      <c r="Q26" s="99">
        <v>1</v>
      </c>
      <c r="R26" s="97"/>
      <c r="S26" s="99"/>
      <c r="T26" s="99"/>
      <c r="U26" s="99"/>
      <c r="V26" s="99"/>
      <c r="W26" s="97"/>
      <c r="X26" s="99"/>
      <c r="Y26" s="97"/>
      <c r="Z26" s="99">
        <v>1</v>
      </c>
      <c r="AA26" s="99"/>
      <c r="AB26" s="99"/>
      <c r="AC26" s="99"/>
      <c r="AD26" s="97"/>
      <c r="AE26" s="99"/>
      <c r="AF26" s="97"/>
      <c r="AG26" s="99"/>
      <c r="AH26" s="77">
        <f t="shared" si="1"/>
        <v>3</v>
      </c>
      <c r="AI26" s="78">
        <v>800</v>
      </c>
      <c r="AJ26" s="79" t="str">
        <f t="shared" si="2"/>
        <v>小花</v>
      </c>
      <c r="AK26" s="80" t="s">
        <v>218</v>
      </c>
    </row>
    <row r="27" spans="1:37" ht="18" customHeight="1">
      <c r="A27" s="99" t="s">
        <v>174</v>
      </c>
      <c r="B27" s="100" t="s">
        <v>95</v>
      </c>
      <c r="C27" s="99"/>
      <c r="D27" s="97"/>
      <c r="E27" s="99"/>
      <c r="F27" s="99"/>
      <c r="G27" s="99"/>
      <c r="H27" s="99"/>
      <c r="I27" s="97"/>
      <c r="J27" s="99">
        <v>1</v>
      </c>
      <c r="K27" s="97"/>
      <c r="L27" s="99">
        <v>1</v>
      </c>
      <c r="M27" s="99">
        <v>1</v>
      </c>
      <c r="N27" s="99">
        <v>1</v>
      </c>
      <c r="O27" s="99"/>
      <c r="P27" s="97"/>
      <c r="Q27" s="99">
        <v>1</v>
      </c>
      <c r="R27" s="97"/>
      <c r="S27" s="99">
        <v>1</v>
      </c>
      <c r="T27" s="99">
        <v>1</v>
      </c>
      <c r="U27" s="99">
        <v>1</v>
      </c>
      <c r="V27" s="99">
        <v>1</v>
      </c>
      <c r="W27" s="97"/>
      <c r="X27" s="99">
        <v>1</v>
      </c>
      <c r="Y27" s="97"/>
      <c r="Z27" s="99">
        <v>1</v>
      </c>
      <c r="AA27" s="99">
        <v>1</v>
      </c>
      <c r="AB27" s="99">
        <v>1</v>
      </c>
      <c r="AC27" s="99">
        <v>1</v>
      </c>
      <c r="AD27" s="97"/>
      <c r="AE27" s="99">
        <v>1</v>
      </c>
      <c r="AF27" s="97"/>
      <c r="AG27" s="99">
        <v>1</v>
      </c>
      <c r="AH27" s="77">
        <f t="shared" si="1"/>
        <v>16</v>
      </c>
      <c r="AI27" s="78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79" t="str">
        <f t="shared" si="2"/>
        <v>小吱</v>
      </c>
      <c r="AK27" s="80" t="s">
        <v>218</v>
      </c>
    </row>
    <row r="28" spans="1:37" ht="18" customHeight="1">
      <c r="A28" s="99" t="s">
        <v>174</v>
      </c>
      <c r="B28" s="100" t="s">
        <v>146</v>
      </c>
      <c r="C28" s="99"/>
      <c r="D28" s="97"/>
      <c r="E28" s="99"/>
      <c r="F28" s="99"/>
      <c r="G28" s="99"/>
      <c r="H28" s="99"/>
      <c r="I28" s="97"/>
      <c r="J28" s="99"/>
      <c r="K28" s="97"/>
      <c r="L28" s="99"/>
      <c r="M28" s="99"/>
      <c r="N28" s="99"/>
      <c r="O28" s="99"/>
      <c r="P28" s="97"/>
      <c r="Q28" s="99"/>
      <c r="R28" s="97"/>
      <c r="S28" s="99"/>
      <c r="T28" s="99"/>
      <c r="U28" s="99"/>
      <c r="V28" s="99"/>
      <c r="W28" s="97"/>
      <c r="X28" s="99"/>
      <c r="Y28" s="97"/>
      <c r="Z28" s="99"/>
      <c r="AA28" s="99"/>
      <c r="AB28" s="99"/>
      <c r="AC28" s="99"/>
      <c r="AD28" s="97"/>
      <c r="AE28" s="99"/>
      <c r="AF28" s="97"/>
      <c r="AG28" s="99"/>
      <c r="AH28" s="77">
        <f t="shared" si="1"/>
        <v>0</v>
      </c>
      <c r="AI28" s="78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79" t="str">
        <f t="shared" si="2"/>
        <v>飛飛</v>
      </c>
      <c r="AK28" s="81"/>
    </row>
    <row r="29" spans="1:37" ht="18" customHeight="1">
      <c r="A29" s="99" t="s">
        <v>174</v>
      </c>
      <c r="B29" s="100" t="s">
        <v>147</v>
      </c>
      <c r="C29" s="99"/>
      <c r="D29" s="97"/>
      <c r="E29" s="99"/>
      <c r="F29" s="99"/>
      <c r="G29" s="99"/>
      <c r="H29" s="99"/>
      <c r="I29" s="97"/>
      <c r="J29" s="99"/>
      <c r="K29" s="97"/>
      <c r="L29" s="99"/>
      <c r="M29" s="99"/>
      <c r="N29" s="99"/>
      <c r="O29" s="99"/>
      <c r="P29" s="97"/>
      <c r="Q29" s="99"/>
      <c r="R29" s="97"/>
      <c r="S29" s="99"/>
      <c r="T29" s="99"/>
      <c r="U29" s="99"/>
      <c r="V29" s="99"/>
      <c r="W29" s="97"/>
      <c r="X29" s="99"/>
      <c r="Y29" s="97"/>
      <c r="Z29" s="99"/>
      <c r="AA29" s="99"/>
      <c r="AB29" s="99"/>
      <c r="AC29" s="99"/>
      <c r="AD29" s="97"/>
      <c r="AE29" s="99"/>
      <c r="AF29" s="97"/>
      <c r="AG29" s="99"/>
      <c r="AH29" s="77">
        <f t="shared" si="1"/>
        <v>0</v>
      </c>
      <c r="AI29" s="78" t="e">
        <f ca="1">IF(A29="O", (VALUE(_xludf.IFS(AH29=0,"0",AH29=1,"150",AH29=2,"300",AH29=3,"450",AH29=4,"600",AH29=5,"750",AH29&gt;=6,"800"))),(VALUE(_xludf.IFS(AH29=0,"0",AH29=1,"150",AH29=2,"300",AH29=3,"450",AH29=4,"600",AH29=5,"750",AH29=6,"900",AH29&gt;=7,"1,000"))))</f>
        <v>#NAME?</v>
      </c>
      <c r="AJ29" s="79" t="str">
        <f t="shared" si="2"/>
        <v>湘苡</v>
      </c>
      <c r="AK29" s="80"/>
    </row>
    <row r="30" spans="1:37" ht="18" customHeight="1">
      <c r="A30" s="99" t="s">
        <v>174</v>
      </c>
      <c r="B30" s="100" t="s">
        <v>148</v>
      </c>
      <c r="C30" s="99"/>
      <c r="D30" s="97"/>
      <c r="E30" s="99"/>
      <c r="F30" s="99"/>
      <c r="G30" s="99"/>
      <c r="H30" s="99"/>
      <c r="I30" s="97"/>
      <c r="J30" s="99"/>
      <c r="K30" s="97"/>
      <c r="L30" s="99"/>
      <c r="M30" s="99"/>
      <c r="N30" s="99"/>
      <c r="O30" s="99"/>
      <c r="P30" s="97"/>
      <c r="Q30" s="99"/>
      <c r="R30" s="97"/>
      <c r="S30" s="99"/>
      <c r="T30" s="99"/>
      <c r="U30" s="99"/>
      <c r="V30" s="99">
        <v>1</v>
      </c>
      <c r="W30" s="97"/>
      <c r="X30" s="99"/>
      <c r="Y30" s="97"/>
      <c r="Z30" s="99"/>
      <c r="AA30" s="99"/>
      <c r="AB30" s="99"/>
      <c r="AC30" s="99">
        <v>1</v>
      </c>
      <c r="AD30" s="97"/>
      <c r="AE30" s="99"/>
      <c r="AF30" s="97"/>
      <c r="AG30" s="99"/>
      <c r="AH30" s="77">
        <f t="shared" si="1"/>
        <v>2</v>
      </c>
      <c r="AI30" s="78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79" t="str">
        <f t="shared" si="2"/>
        <v>雅雅</v>
      </c>
      <c r="AK30" s="82"/>
    </row>
    <row r="31" spans="1:37" ht="18" customHeight="1">
      <c r="A31" s="101" t="s">
        <v>174</v>
      </c>
      <c r="B31" s="102" t="s">
        <v>103</v>
      </c>
      <c r="C31" s="101"/>
      <c r="D31" s="97"/>
      <c r="E31" s="101"/>
      <c r="F31" s="101"/>
      <c r="G31" s="101"/>
      <c r="H31" s="101">
        <v>1</v>
      </c>
      <c r="I31" s="97"/>
      <c r="J31" s="101">
        <v>1</v>
      </c>
      <c r="K31" s="97"/>
      <c r="L31" s="101">
        <v>1</v>
      </c>
      <c r="M31" s="101">
        <v>1</v>
      </c>
      <c r="N31" s="101">
        <v>1</v>
      </c>
      <c r="O31" s="101"/>
      <c r="P31" s="97"/>
      <c r="Q31" s="101">
        <v>1</v>
      </c>
      <c r="R31" s="97"/>
      <c r="S31" s="101">
        <v>1</v>
      </c>
      <c r="T31" s="101"/>
      <c r="U31" s="101"/>
      <c r="V31" s="101">
        <v>1</v>
      </c>
      <c r="W31" s="97"/>
      <c r="X31" s="101">
        <v>1</v>
      </c>
      <c r="Y31" s="97"/>
      <c r="Z31" s="101">
        <v>1</v>
      </c>
      <c r="AA31" s="101"/>
      <c r="AB31" s="101">
        <v>1</v>
      </c>
      <c r="AC31" s="101">
        <v>1</v>
      </c>
      <c r="AD31" s="97"/>
      <c r="AE31" s="101">
        <v>1</v>
      </c>
      <c r="AF31" s="97"/>
      <c r="AG31" s="101">
        <v>1</v>
      </c>
      <c r="AH31" s="86">
        <f t="shared" si="1"/>
        <v>14</v>
      </c>
      <c r="AI31" s="87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88" t="str">
        <f t="shared" si="2"/>
        <v>圈圈</v>
      </c>
      <c r="AK31" s="90" t="s">
        <v>218</v>
      </c>
    </row>
    <row r="32" spans="1:37" ht="18" customHeight="1">
      <c r="A32" s="101" t="s">
        <v>174</v>
      </c>
      <c r="B32" s="102" t="s">
        <v>104</v>
      </c>
      <c r="C32" s="101"/>
      <c r="D32" s="97"/>
      <c r="E32" s="101"/>
      <c r="F32" s="101"/>
      <c r="G32" s="101"/>
      <c r="H32" s="101"/>
      <c r="I32" s="97"/>
      <c r="J32" s="101">
        <v>1</v>
      </c>
      <c r="K32" s="97"/>
      <c r="L32" s="101"/>
      <c r="M32" s="101"/>
      <c r="N32" s="101"/>
      <c r="O32" s="101"/>
      <c r="P32" s="97"/>
      <c r="Q32" s="101">
        <v>1</v>
      </c>
      <c r="R32" s="97"/>
      <c r="S32" s="101"/>
      <c r="T32" s="101"/>
      <c r="U32" s="101">
        <v>1</v>
      </c>
      <c r="V32" s="101">
        <v>1</v>
      </c>
      <c r="W32" s="97"/>
      <c r="X32" s="101">
        <v>1</v>
      </c>
      <c r="Y32" s="97"/>
      <c r="Z32" s="101">
        <v>1</v>
      </c>
      <c r="AA32" s="101"/>
      <c r="AB32" s="101">
        <v>1</v>
      </c>
      <c r="AC32" s="101">
        <v>1</v>
      </c>
      <c r="AD32" s="97"/>
      <c r="AE32" s="101">
        <v>1</v>
      </c>
      <c r="AF32" s="97"/>
      <c r="AG32" s="101">
        <v>1</v>
      </c>
      <c r="AH32" s="86">
        <f t="shared" si="1"/>
        <v>10</v>
      </c>
      <c r="AI32" s="87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88" t="str">
        <f t="shared" si="2"/>
        <v>卡丘</v>
      </c>
      <c r="AK32" s="90"/>
    </row>
    <row r="33" spans="1:37" ht="18" customHeight="1">
      <c r="A33" s="101" t="s">
        <v>174</v>
      </c>
      <c r="B33" s="102" t="s">
        <v>105</v>
      </c>
      <c r="C33" s="101"/>
      <c r="D33" s="97"/>
      <c r="E33" s="101"/>
      <c r="F33" s="101"/>
      <c r="G33" s="101"/>
      <c r="H33" s="101"/>
      <c r="I33" s="97"/>
      <c r="J33" s="101"/>
      <c r="K33" s="97"/>
      <c r="L33" s="101"/>
      <c r="M33" s="101"/>
      <c r="N33" s="101"/>
      <c r="O33" s="101"/>
      <c r="P33" s="97"/>
      <c r="Q33" s="101">
        <v>1</v>
      </c>
      <c r="R33" s="97"/>
      <c r="S33" s="101"/>
      <c r="T33" s="101"/>
      <c r="U33" s="101"/>
      <c r="V33" s="101"/>
      <c r="W33" s="97"/>
      <c r="X33" s="101">
        <v>1</v>
      </c>
      <c r="Y33" s="97"/>
      <c r="Z33" s="101"/>
      <c r="AA33" s="101"/>
      <c r="AB33" s="101">
        <v>1</v>
      </c>
      <c r="AC33" s="101">
        <v>1</v>
      </c>
      <c r="AD33" s="97"/>
      <c r="AE33" s="101">
        <v>1</v>
      </c>
      <c r="AF33" s="97"/>
      <c r="AG33" s="101"/>
      <c r="AH33" s="86">
        <f t="shared" si="1"/>
        <v>5</v>
      </c>
      <c r="AI33" s="87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88" t="str">
        <f t="shared" si="2"/>
        <v>琬蓁</v>
      </c>
      <c r="AK33" s="90"/>
    </row>
    <row r="34" spans="1:37" ht="18" customHeight="1">
      <c r="A34" s="101" t="s">
        <v>174</v>
      </c>
      <c r="B34" s="102" t="s">
        <v>116</v>
      </c>
      <c r="C34" s="101"/>
      <c r="D34" s="97"/>
      <c r="E34" s="101"/>
      <c r="F34" s="101">
        <v>1</v>
      </c>
      <c r="G34" s="101"/>
      <c r="H34" s="101"/>
      <c r="I34" s="97"/>
      <c r="J34" s="101">
        <v>1</v>
      </c>
      <c r="K34" s="97"/>
      <c r="L34" s="101"/>
      <c r="M34" s="101">
        <v>1</v>
      </c>
      <c r="N34" s="101"/>
      <c r="O34" s="101"/>
      <c r="P34" s="97"/>
      <c r="Q34" s="101">
        <v>1</v>
      </c>
      <c r="R34" s="97"/>
      <c r="S34" s="101"/>
      <c r="T34" s="101">
        <v>1</v>
      </c>
      <c r="U34" s="101"/>
      <c r="V34" s="101"/>
      <c r="W34" s="97"/>
      <c r="X34" s="101"/>
      <c r="Y34" s="97"/>
      <c r="Z34" s="101"/>
      <c r="AA34" s="101"/>
      <c r="AB34" s="101"/>
      <c r="AC34" s="101"/>
      <c r="AD34" s="97"/>
      <c r="AE34" s="101"/>
      <c r="AF34" s="97"/>
      <c r="AG34" s="101">
        <v>1</v>
      </c>
      <c r="AH34" s="86">
        <f t="shared" si="1"/>
        <v>6</v>
      </c>
      <c r="AI34" s="87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88" t="str">
        <f t="shared" si="2"/>
        <v>大汪</v>
      </c>
      <c r="AK34" s="89"/>
    </row>
    <row r="35" spans="1:37" ht="18" customHeight="1">
      <c r="A35" s="101" t="s">
        <v>174</v>
      </c>
      <c r="B35" s="102" t="s">
        <v>117</v>
      </c>
      <c r="C35" s="101"/>
      <c r="D35" s="97"/>
      <c r="E35" s="101"/>
      <c r="F35" s="101"/>
      <c r="G35" s="101"/>
      <c r="H35" s="101"/>
      <c r="I35" s="97"/>
      <c r="J35" s="101"/>
      <c r="K35" s="97"/>
      <c r="L35" s="101"/>
      <c r="M35" s="101"/>
      <c r="N35" s="101"/>
      <c r="O35" s="101"/>
      <c r="P35" s="97"/>
      <c r="Q35" s="101"/>
      <c r="R35" s="97"/>
      <c r="S35" s="101"/>
      <c r="T35" s="101"/>
      <c r="U35" s="101"/>
      <c r="V35" s="101"/>
      <c r="W35" s="97"/>
      <c r="X35" s="101"/>
      <c r="Y35" s="97"/>
      <c r="Z35" s="101"/>
      <c r="AA35" s="101"/>
      <c r="AB35" s="101"/>
      <c r="AC35" s="101"/>
      <c r="AD35" s="97"/>
      <c r="AE35" s="101"/>
      <c r="AF35" s="97"/>
      <c r="AG35" s="101"/>
      <c r="AH35" s="86">
        <f t="shared" si="1"/>
        <v>0</v>
      </c>
      <c r="AI35" s="87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88" t="str">
        <f t="shared" si="2"/>
        <v>依凡</v>
      </c>
      <c r="AK35" s="89"/>
    </row>
    <row r="36" spans="1:37" ht="18" customHeight="1">
      <c r="A36" s="101" t="s">
        <v>174</v>
      </c>
      <c r="B36" s="102" t="s">
        <v>118</v>
      </c>
      <c r="C36" s="101"/>
      <c r="D36" s="97"/>
      <c r="E36" s="101"/>
      <c r="F36" s="101"/>
      <c r="G36" s="101"/>
      <c r="H36" s="101"/>
      <c r="I36" s="97"/>
      <c r="J36" s="101"/>
      <c r="K36" s="97"/>
      <c r="L36" s="101"/>
      <c r="M36" s="101"/>
      <c r="N36" s="101"/>
      <c r="O36" s="101"/>
      <c r="P36" s="97"/>
      <c r="Q36" s="101"/>
      <c r="R36" s="97"/>
      <c r="S36" s="101"/>
      <c r="T36" s="101"/>
      <c r="U36" s="101"/>
      <c r="V36" s="101"/>
      <c r="W36" s="97"/>
      <c r="X36" s="101"/>
      <c r="Y36" s="97"/>
      <c r="Z36" s="101"/>
      <c r="AA36" s="101"/>
      <c r="AB36" s="101"/>
      <c r="AC36" s="101"/>
      <c r="AD36" s="97"/>
      <c r="AE36" s="101"/>
      <c r="AF36" s="97"/>
      <c r="AG36" s="101"/>
      <c r="AH36" s="86">
        <f t="shared" ref="AH36:AH67" si="3">COUNTA(C36:AG36)</f>
        <v>0</v>
      </c>
      <c r="AI36" s="87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88" t="str">
        <f t="shared" ref="AJ36:AJ67" si="4">B36</f>
        <v>雅筑</v>
      </c>
      <c r="AK36" s="89"/>
    </row>
    <row r="37" spans="1:37" ht="18" customHeight="1">
      <c r="A37" s="101" t="s">
        <v>174</v>
      </c>
      <c r="B37" s="102" t="s">
        <v>119</v>
      </c>
      <c r="C37" s="101"/>
      <c r="D37" s="97"/>
      <c r="E37" s="101"/>
      <c r="F37" s="101"/>
      <c r="G37" s="101"/>
      <c r="H37" s="101"/>
      <c r="I37" s="97"/>
      <c r="J37" s="101"/>
      <c r="K37" s="97"/>
      <c r="L37" s="101">
        <v>1</v>
      </c>
      <c r="M37" s="101"/>
      <c r="N37" s="101"/>
      <c r="O37" s="101"/>
      <c r="P37" s="97"/>
      <c r="Q37" s="101"/>
      <c r="R37" s="97"/>
      <c r="S37" s="101">
        <v>1</v>
      </c>
      <c r="T37" s="101"/>
      <c r="U37" s="101"/>
      <c r="V37" s="101"/>
      <c r="W37" s="97"/>
      <c r="X37" s="101"/>
      <c r="Y37" s="97"/>
      <c r="Z37" s="101"/>
      <c r="AA37" s="101"/>
      <c r="AB37" s="101"/>
      <c r="AC37" s="101"/>
      <c r="AD37" s="97"/>
      <c r="AE37" s="101"/>
      <c r="AF37" s="97"/>
      <c r="AG37" s="101"/>
      <c r="AH37" s="86">
        <f t="shared" si="3"/>
        <v>2</v>
      </c>
      <c r="AI37" s="87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88" t="str">
        <f t="shared" si="4"/>
        <v>ABBY</v>
      </c>
      <c r="AK37" s="90"/>
    </row>
    <row r="38" spans="1:37" ht="18" customHeight="1">
      <c r="A38" s="101" t="s">
        <v>174</v>
      </c>
      <c r="B38" s="102" t="s">
        <v>120</v>
      </c>
      <c r="C38" s="101"/>
      <c r="D38" s="97"/>
      <c r="E38" s="101"/>
      <c r="F38" s="101"/>
      <c r="G38" s="101"/>
      <c r="H38" s="101"/>
      <c r="I38" s="97"/>
      <c r="J38" s="101"/>
      <c r="K38" s="97"/>
      <c r="L38" s="101"/>
      <c r="M38" s="101"/>
      <c r="N38" s="101"/>
      <c r="O38" s="101"/>
      <c r="P38" s="97"/>
      <c r="Q38" s="101"/>
      <c r="R38" s="97"/>
      <c r="S38" s="101">
        <v>1</v>
      </c>
      <c r="T38" s="101"/>
      <c r="U38" s="101"/>
      <c r="V38" s="101"/>
      <c r="W38" s="97"/>
      <c r="X38" s="101"/>
      <c r="Y38" s="97"/>
      <c r="Z38" s="101"/>
      <c r="AA38" s="101"/>
      <c r="AB38" s="101"/>
      <c r="AC38" s="101"/>
      <c r="AD38" s="97"/>
      <c r="AE38" s="101"/>
      <c r="AF38" s="97"/>
      <c r="AG38" s="101"/>
      <c r="AH38" s="86">
        <f t="shared" si="3"/>
        <v>1</v>
      </c>
      <c r="AI38" s="87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88" t="str">
        <f t="shared" si="4"/>
        <v>品君</v>
      </c>
      <c r="AK38" s="90"/>
    </row>
    <row r="39" spans="1:37" ht="18" customHeight="1">
      <c r="A39" s="101" t="s">
        <v>174</v>
      </c>
      <c r="B39" s="102" t="s">
        <v>121</v>
      </c>
      <c r="C39" s="101"/>
      <c r="D39" s="97"/>
      <c r="E39" s="101"/>
      <c r="F39" s="101">
        <v>1</v>
      </c>
      <c r="G39" s="101"/>
      <c r="H39" s="101"/>
      <c r="I39" s="97"/>
      <c r="J39" s="101">
        <v>1</v>
      </c>
      <c r="K39" s="97"/>
      <c r="L39" s="101"/>
      <c r="M39" s="101">
        <v>1</v>
      </c>
      <c r="N39" s="101">
        <v>1</v>
      </c>
      <c r="O39" s="101"/>
      <c r="P39" s="97"/>
      <c r="Q39" s="101">
        <v>1</v>
      </c>
      <c r="R39" s="97"/>
      <c r="S39" s="101"/>
      <c r="T39" s="101">
        <v>1</v>
      </c>
      <c r="U39" s="101"/>
      <c r="V39" s="101"/>
      <c r="W39" s="97"/>
      <c r="X39" s="101"/>
      <c r="Y39" s="97"/>
      <c r="Z39" s="101"/>
      <c r="AA39" s="101">
        <v>1</v>
      </c>
      <c r="AB39" s="101"/>
      <c r="AC39" s="101"/>
      <c r="AD39" s="97"/>
      <c r="AE39" s="101"/>
      <c r="AF39" s="97"/>
      <c r="AG39" s="101">
        <v>1</v>
      </c>
      <c r="AH39" s="86">
        <f t="shared" si="3"/>
        <v>8</v>
      </c>
      <c r="AI39" s="87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88" t="str">
        <f t="shared" si="4"/>
        <v>冰沙</v>
      </c>
      <c r="AK39" s="90" t="s">
        <v>218</v>
      </c>
    </row>
    <row r="40" spans="1:37" ht="18" customHeight="1">
      <c r="A40" s="101" t="s">
        <v>174</v>
      </c>
      <c r="B40" s="102" t="s">
        <v>122</v>
      </c>
      <c r="C40" s="101"/>
      <c r="D40" s="97"/>
      <c r="E40" s="101"/>
      <c r="F40" s="101">
        <v>1</v>
      </c>
      <c r="G40" s="101"/>
      <c r="H40" s="101"/>
      <c r="I40" s="97"/>
      <c r="J40" s="101"/>
      <c r="K40" s="97"/>
      <c r="L40" s="101"/>
      <c r="M40" s="101"/>
      <c r="N40" s="101"/>
      <c r="O40" s="101"/>
      <c r="P40" s="97"/>
      <c r="Q40" s="101"/>
      <c r="R40" s="97"/>
      <c r="S40" s="101"/>
      <c r="T40" s="101">
        <v>1</v>
      </c>
      <c r="U40" s="101"/>
      <c r="V40" s="101"/>
      <c r="W40" s="97"/>
      <c r="X40" s="101"/>
      <c r="Y40" s="97"/>
      <c r="Z40" s="101"/>
      <c r="AA40" s="101"/>
      <c r="AB40" s="101"/>
      <c r="AC40" s="101"/>
      <c r="AD40" s="97"/>
      <c r="AE40" s="101"/>
      <c r="AF40" s="97"/>
      <c r="AG40" s="101">
        <v>1</v>
      </c>
      <c r="AH40" s="86">
        <f t="shared" si="3"/>
        <v>3</v>
      </c>
      <c r="AI40" s="87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88" t="str">
        <f t="shared" si="4"/>
        <v>幸恩</v>
      </c>
      <c r="AK40" s="90"/>
    </row>
    <row r="41" spans="1:37" ht="18" customHeight="1">
      <c r="A41" s="101" t="s">
        <v>174</v>
      </c>
      <c r="B41" s="102" t="s">
        <v>123</v>
      </c>
      <c r="C41" s="101"/>
      <c r="D41" s="97"/>
      <c r="E41" s="101"/>
      <c r="F41" s="101"/>
      <c r="G41" s="101"/>
      <c r="H41" s="101"/>
      <c r="I41" s="97"/>
      <c r="J41" s="101"/>
      <c r="K41" s="97"/>
      <c r="L41" s="101"/>
      <c r="M41" s="101"/>
      <c r="N41" s="101"/>
      <c r="O41" s="101"/>
      <c r="P41" s="97"/>
      <c r="Q41" s="101"/>
      <c r="R41" s="97"/>
      <c r="S41" s="101"/>
      <c r="T41" s="101"/>
      <c r="U41" s="101"/>
      <c r="V41" s="101"/>
      <c r="W41" s="97"/>
      <c r="X41" s="101"/>
      <c r="Y41" s="97"/>
      <c r="Z41" s="101"/>
      <c r="AA41" s="101"/>
      <c r="AB41" s="101"/>
      <c r="AC41" s="101"/>
      <c r="AD41" s="97"/>
      <c r="AE41" s="101"/>
      <c r="AF41" s="97"/>
      <c r="AG41" s="101"/>
      <c r="AH41" s="86">
        <f t="shared" si="3"/>
        <v>0</v>
      </c>
      <c r="AI41" s="87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88" t="str">
        <f t="shared" si="4"/>
        <v>瑤瑤</v>
      </c>
      <c r="AK41" s="89"/>
    </row>
    <row r="42" spans="1:37" ht="18" customHeight="1">
      <c r="A42" s="95" t="s">
        <v>58</v>
      </c>
      <c r="B42" s="96" t="s">
        <v>23</v>
      </c>
      <c r="C42" s="95"/>
      <c r="D42" s="97"/>
      <c r="E42" s="95"/>
      <c r="F42" s="95"/>
      <c r="G42" s="95"/>
      <c r="H42" s="95"/>
      <c r="I42" s="97"/>
      <c r="J42" s="95"/>
      <c r="K42" s="97"/>
      <c r="L42" s="95"/>
      <c r="M42" s="95"/>
      <c r="N42" s="95"/>
      <c r="O42" s="95"/>
      <c r="P42" s="97"/>
      <c r="Q42" s="95">
        <v>1</v>
      </c>
      <c r="R42" s="97"/>
      <c r="S42" s="95">
        <v>1</v>
      </c>
      <c r="T42" s="95"/>
      <c r="U42" s="95">
        <v>1</v>
      </c>
      <c r="V42" s="95"/>
      <c r="W42" s="97"/>
      <c r="X42" s="95"/>
      <c r="Y42" s="97"/>
      <c r="Z42" s="95"/>
      <c r="AA42" s="95"/>
      <c r="AB42" s="95">
        <v>1</v>
      </c>
      <c r="AC42" s="95"/>
      <c r="AD42" s="97"/>
      <c r="AE42" s="95"/>
      <c r="AF42" s="97"/>
      <c r="AG42" s="95"/>
      <c r="AH42" s="66">
        <f t="shared" si="3"/>
        <v>4</v>
      </c>
      <c r="AI42" s="68">
        <v>1000</v>
      </c>
      <c r="AJ42" s="69" t="str">
        <f t="shared" si="4"/>
        <v>ㄈㄈ</v>
      </c>
      <c r="AK42" s="73" t="s">
        <v>218</v>
      </c>
    </row>
    <row r="43" spans="1:37" ht="18" customHeight="1">
      <c r="A43" s="95" t="s">
        <v>58</v>
      </c>
      <c r="B43" s="96" t="s">
        <v>24</v>
      </c>
      <c r="C43" s="95"/>
      <c r="D43" s="97"/>
      <c r="E43" s="95"/>
      <c r="F43" s="95"/>
      <c r="G43" s="95"/>
      <c r="H43" s="95"/>
      <c r="I43" s="97"/>
      <c r="J43" s="95">
        <v>1</v>
      </c>
      <c r="K43" s="97"/>
      <c r="L43" s="95"/>
      <c r="M43" s="95">
        <v>1</v>
      </c>
      <c r="N43" s="95"/>
      <c r="O43" s="95"/>
      <c r="P43" s="97"/>
      <c r="Q43" s="95"/>
      <c r="R43" s="97"/>
      <c r="S43" s="95"/>
      <c r="T43" s="95"/>
      <c r="U43" s="95"/>
      <c r="V43" s="95"/>
      <c r="W43" s="97"/>
      <c r="X43" s="95"/>
      <c r="Y43" s="97"/>
      <c r="Z43" s="95"/>
      <c r="AA43" s="95"/>
      <c r="AB43" s="95"/>
      <c r="AC43" s="95"/>
      <c r="AD43" s="97"/>
      <c r="AE43" s="95"/>
      <c r="AF43" s="97"/>
      <c r="AG43" s="95">
        <v>1</v>
      </c>
      <c r="AH43" s="66">
        <f t="shared" si="3"/>
        <v>3</v>
      </c>
      <c r="AI43" s="68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69" t="str">
        <f t="shared" si="4"/>
        <v>大熊</v>
      </c>
      <c r="AK43" s="73"/>
    </row>
    <row r="44" spans="1:37" ht="18" customHeight="1">
      <c r="A44" s="95" t="s">
        <v>58</v>
      </c>
      <c r="B44" s="96" t="s">
        <v>64</v>
      </c>
      <c r="C44" s="95"/>
      <c r="D44" s="97"/>
      <c r="E44" s="95"/>
      <c r="F44" s="95"/>
      <c r="G44" s="95"/>
      <c r="H44" s="95">
        <v>1</v>
      </c>
      <c r="I44" s="97"/>
      <c r="J44" s="95">
        <v>1</v>
      </c>
      <c r="K44" s="97"/>
      <c r="L44" s="95">
        <v>1</v>
      </c>
      <c r="M44" s="95">
        <v>1</v>
      </c>
      <c r="N44" s="95">
        <v>1</v>
      </c>
      <c r="O44" s="95"/>
      <c r="P44" s="97"/>
      <c r="Q44" s="95">
        <v>1</v>
      </c>
      <c r="R44" s="97"/>
      <c r="S44" s="95">
        <v>1</v>
      </c>
      <c r="T44" s="95"/>
      <c r="U44" s="95">
        <v>1</v>
      </c>
      <c r="V44" s="95"/>
      <c r="W44" s="97"/>
      <c r="X44" s="95">
        <v>1</v>
      </c>
      <c r="Y44" s="97"/>
      <c r="Z44" s="95">
        <v>1</v>
      </c>
      <c r="AA44" s="95">
        <v>1</v>
      </c>
      <c r="AB44" s="95"/>
      <c r="AC44" s="95">
        <v>1</v>
      </c>
      <c r="AD44" s="97"/>
      <c r="AE44" s="95">
        <v>1</v>
      </c>
      <c r="AF44" s="97"/>
      <c r="AG44" s="95">
        <v>1</v>
      </c>
      <c r="AH44" s="66">
        <f t="shared" si="3"/>
        <v>14</v>
      </c>
      <c r="AI44" s="68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69" t="str">
        <f t="shared" si="4"/>
        <v>園棠</v>
      </c>
      <c r="AK44" s="73"/>
    </row>
    <row r="45" spans="1:37" ht="18" customHeight="1">
      <c r="A45" s="95" t="s">
        <v>58</v>
      </c>
      <c r="B45" s="96" t="s">
        <v>178</v>
      </c>
      <c r="C45" s="95"/>
      <c r="D45" s="97"/>
      <c r="E45" s="95"/>
      <c r="F45" s="95"/>
      <c r="G45" s="95"/>
      <c r="H45" s="95">
        <v>1</v>
      </c>
      <c r="I45" s="97"/>
      <c r="J45" s="95"/>
      <c r="K45" s="97"/>
      <c r="L45" s="95">
        <v>1</v>
      </c>
      <c r="M45" s="95"/>
      <c r="N45" s="95">
        <v>1</v>
      </c>
      <c r="O45" s="95"/>
      <c r="P45" s="97"/>
      <c r="Q45" s="95"/>
      <c r="R45" s="97"/>
      <c r="S45" s="95"/>
      <c r="T45" s="95">
        <v>1</v>
      </c>
      <c r="U45" s="95">
        <v>1</v>
      </c>
      <c r="V45" s="95"/>
      <c r="W45" s="97"/>
      <c r="X45" s="95"/>
      <c r="Y45" s="97"/>
      <c r="Z45" s="95"/>
      <c r="AA45" s="95"/>
      <c r="AB45" s="95">
        <v>1</v>
      </c>
      <c r="AC45" s="95">
        <v>1</v>
      </c>
      <c r="AD45" s="97"/>
      <c r="AE45" s="95"/>
      <c r="AF45" s="97"/>
      <c r="AG45" s="95">
        <v>1</v>
      </c>
      <c r="AH45" s="66">
        <f t="shared" si="3"/>
        <v>8</v>
      </c>
      <c r="AI45" s="68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69" t="str">
        <f t="shared" si="4"/>
        <v>Fish</v>
      </c>
      <c r="AK45" s="73"/>
    </row>
    <row r="46" spans="1:37" ht="18" customHeight="1">
      <c r="A46" s="95" t="s">
        <v>58</v>
      </c>
      <c r="B46" s="96" t="s">
        <v>25</v>
      </c>
      <c r="C46" s="95"/>
      <c r="D46" s="97"/>
      <c r="E46" s="95"/>
      <c r="F46" s="95"/>
      <c r="G46" s="95"/>
      <c r="H46" s="95"/>
      <c r="I46" s="97"/>
      <c r="J46" s="95"/>
      <c r="K46" s="97"/>
      <c r="L46" s="95"/>
      <c r="M46" s="95">
        <v>1</v>
      </c>
      <c r="N46" s="95"/>
      <c r="O46" s="95"/>
      <c r="P46" s="97"/>
      <c r="Q46" s="95"/>
      <c r="R46" s="97"/>
      <c r="S46" s="95"/>
      <c r="T46" s="95"/>
      <c r="U46" s="95"/>
      <c r="V46" s="95"/>
      <c r="W46" s="97"/>
      <c r="X46" s="95"/>
      <c r="Y46" s="97"/>
      <c r="Z46" s="95">
        <v>1</v>
      </c>
      <c r="AA46" s="95"/>
      <c r="AB46" s="95"/>
      <c r="AC46" s="95"/>
      <c r="AD46" s="97"/>
      <c r="AE46" s="95"/>
      <c r="AF46" s="97"/>
      <c r="AG46" s="95"/>
      <c r="AH46" s="66">
        <f t="shared" si="3"/>
        <v>2</v>
      </c>
      <c r="AI46" s="68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69" t="str">
        <f t="shared" si="4"/>
        <v>潘潘</v>
      </c>
      <c r="AK46" s="73"/>
    </row>
    <row r="47" spans="1:37" ht="18" customHeight="1">
      <c r="A47" s="95" t="s">
        <v>58</v>
      </c>
      <c r="B47" s="96" t="s">
        <v>63</v>
      </c>
      <c r="C47" s="95"/>
      <c r="D47" s="97"/>
      <c r="E47" s="95"/>
      <c r="F47" s="95"/>
      <c r="G47" s="95"/>
      <c r="H47" s="95"/>
      <c r="I47" s="97"/>
      <c r="J47" s="95"/>
      <c r="K47" s="97"/>
      <c r="L47" s="95"/>
      <c r="M47" s="95"/>
      <c r="N47" s="95"/>
      <c r="O47" s="95"/>
      <c r="P47" s="97"/>
      <c r="Q47" s="95"/>
      <c r="R47" s="97"/>
      <c r="S47" s="95"/>
      <c r="T47" s="95"/>
      <c r="U47" s="95"/>
      <c r="V47" s="95"/>
      <c r="W47" s="97"/>
      <c r="X47" s="95"/>
      <c r="Y47" s="97"/>
      <c r="Z47" s="95"/>
      <c r="AA47" s="95">
        <v>1</v>
      </c>
      <c r="AB47" s="95"/>
      <c r="AC47" s="95">
        <v>1</v>
      </c>
      <c r="AD47" s="97"/>
      <c r="AE47" s="95"/>
      <c r="AF47" s="97"/>
      <c r="AG47" s="95"/>
      <c r="AH47" s="66">
        <f t="shared" si="3"/>
        <v>2</v>
      </c>
      <c r="AI47" s="68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69" t="str">
        <f t="shared" si="4"/>
        <v>芒果</v>
      </c>
      <c r="AK47" s="73"/>
    </row>
    <row r="48" spans="1:37" ht="18" customHeight="1">
      <c r="A48" s="95" t="s">
        <v>58</v>
      </c>
      <c r="B48" s="96" t="s">
        <v>62</v>
      </c>
      <c r="C48" s="95"/>
      <c r="D48" s="97"/>
      <c r="E48" s="95"/>
      <c r="F48" s="95"/>
      <c r="G48" s="95"/>
      <c r="H48" s="95"/>
      <c r="I48" s="97"/>
      <c r="J48" s="95"/>
      <c r="K48" s="97"/>
      <c r="L48" s="95"/>
      <c r="M48" s="95"/>
      <c r="N48" s="95"/>
      <c r="O48" s="95"/>
      <c r="P48" s="97"/>
      <c r="Q48" s="95"/>
      <c r="R48" s="97"/>
      <c r="S48" s="95">
        <v>1</v>
      </c>
      <c r="T48" s="95"/>
      <c r="U48" s="95"/>
      <c r="V48" s="95"/>
      <c r="W48" s="97"/>
      <c r="X48" s="95"/>
      <c r="Y48" s="97"/>
      <c r="Z48" s="95">
        <v>1</v>
      </c>
      <c r="AA48" s="95">
        <v>1</v>
      </c>
      <c r="AB48" s="95"/>
      <c r="AC48" s="95"/>
      <c r="AD48" s="97"/>
      <c r="AE48" s="95"/>
      <c r="AF48" s="97"/>
      <c r="AG48" s="95"/>
      <c r="AH48" s="66">
        <f t="shared" si="3"/>
        <v>3</v>
      </c>
      <c r="AI48" s="68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69" t="str">
        <f t="shared" si="4"/>
        <v>國源</v>
      </c>
      <c r="AK48" s="73"/>
    </row>
    <row r="49" spans="1:37" ht="18" customHeight="1">
      <c r="A49" s="95" t="s">
        <v>58</v>
      </c>
      <c r="B49" s="96" t="s">
        <v>26</v>
      </c>
      <c r="C49" s="95"/>
      <c r="D49" s="97"/>
      <c r="E49" s="95"/>
      <c r="F49" s="95"/>
      <c r="G49" s="95"/>
      <c r="H49" s="95"/>
      <c r="I49" s="97"/>
      <c r="J49" s="95">
        <v>1</v>
      </c>
      <c r="K49" s="97"/>
      <c r="L49" s="95"/>
      <c r="M49" s="95"/>
      <c r="N49" s="95"/>
      <c r="O49" s="95"/>
      <c r="P49" s="97"/>
      <c r="Q49" s="95"/>
      <c r="R49" s="97"/>
      <c r="S49" s="95"/>
      <c r="T49" s="95"/>
      <c r="U49" s="95"/>
      <c r="V49" s="95"/>
      <c r="W49" s="97"/>
      <c r="X49" s="95">
        <v>1</v>
      </c>
      <c r="Y49" s="97"/>
      <c r="Z49" s="95"/>
      <c r="AA49" s="95"/>
      <c r="AB49" s="95"/>
      <c r="AC49" s="95"/>
      <c r="AD49" s="97"/>
      <c r="AE49" s="95">
        <v>1</v>
      </c>
      <c r="AF49" s="97"/>
      <c r="AG49" s="95"/>
      <c r="AH49" s="66">
        <f t="shared" si="3"/>
        <v>3</v>
      </c>
      <c r="AI49" s="68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69" t="str">
        <f t="shared" si="4"/>
        <v>曉強</v>
      </c>
      <c r="AK49" s="73"/>
    </row>
    <row r="50" spans="1:37" ht="18" customHeight="1">
      <c r="A50" s="95" t="s">
        <v>58</v>
      </c>
      <c r="B50" s="96" t="s">
        <v>59</v>
      </c>
      <c r="C50" s="95"/>
      <c r="D50" s="97"/>
      <c r="E50" s="95"/>
      <c r="F50" s="95"/>
      <c r="G50" s="95"/>
      <c r="H50" s="95"/>
      <c r="I50" s="97"/>
      <c r="J50" s="95"/>
      <c r="K50" s="97"/>
      <c r="L50" s="95"/>
      <c r="M50" s="95"/>
      <c r="N50" s="95"/>
      <c r="O50" s="95"/>
      <c r="P50" s="97"/>
      <c r="Q50" s="95"/>
      <c r="R50" s="97"/>
      <c r="S50" s="95"/>
      <c r="T50" s="95"/>
      <c r="U50" s="95"/>
      <c r="V50" s="95"/>
      <c r="W50" s="97"/>
      <c r="X50" s="95"/>
      <c r="Y50" s="97"/>
      <c r="Z50" s="95"/>
      <c r="AA50" s="95"/>
      <c r="AB50" s="95"/>
      <c r="AC50" s="95"/>
      <c r="AD50" s="97"/>
      <c r="AE50" s="95"/>
      <c r="AF50" s="97"/>
      <c r="AG50" s="95"/>
      <c r="AH50" s="66">
        <f t="shared" si="3"/>
        <v>0</v>
      </c>
      <c r="AI50" s="68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69" t="str">
        <f t="shared" si="4"/>
        <v>阿幹</v>
      </c>
      <c r="AK50" s="73"/>
    </row>
    <row r="51" spans="1:37" ht="18" customHeight="1">
      <c r="A51" s="95" t="s">
        <v>58</v>
      </c>
      <c r="B51" s="96" t="s">
        <v>27</v>
      </c>
      <c r="C51" s="95"/>
      <c r="D51" s="97"/>
      <c r="E51" s="95"/>
      <c r="F51" s="95"/>
      <c r="G51" s="95"/>
      <c r="H51" s="95"/>
      <c r="I51" s="97"/>
      <c r="J51" s="95">
        <v>1</v>
      </c>
      <c r="K51" s="97"/>
      <c r="L51" s="95"/>
      <c r="M51" s="95"/>
      <c r="N51" s="95"/>
      <c r="O51" s="95"/>
      <c r="P51" s="97"/>
      <c r="Q51" s="95">
        <v>1</v>
      </c>
      <c r="R51" s="97"/>
      <c r="S51" s="95"/>
      <c r="T51" s="95"/>
      <c r="U51" s="95"/>
      <c r="V51" s="95"/>
      <c r="W51" s="97"/>
      <c r="X51" s="95"/>
      <c r="Y51" s="97"/>
      <c r="Z51" s="95"/>
      <c r="AA51" s="95"/>
      <c r="AB51" s="95"/>
      <c r="AC51" s="95"/>
      <c r="AD51" s="97"/>
      <c r="AE51" s="95"/>
      <c r="AF51" s="97"/>
      <c r="AG51" s="95"/>
      <c r="AH51" s="66">
        <f t="shared" si="3"/>
        <v>2</v>
      </c>
      <c r="AI51" s="68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69" t="str">
        <f t="shared" si="4"/>
        <v>芋圓</v>
      </c>
      <c r="AK51" s="73"/>
    </row>
    <row r="52" spans="1:37" ht="18" customHeight="1">
      <c r="A52" s="95" t="s">
        <v>58</v>
      </c>
      <c r="B52" s="96" t="s">
        <v>28</v>
      </c>
      <c r="C52" s="95"/>
      <c r="D52" s="97"/>
      <c r="E52" s="95"/>
      <c r="F52" s="95"/>
      <c r="G52" s="95"/>
      <c r="H52" s="95"/>
      <c r="I52" s="97"/>
      <c r="J52" s="95"/>
      <c r="K52" s="97"/>
      <c r="L52" s="95"/>
      <c r="M52" s="95"/>
      <c r="N52" s="95"/>
      <c r="O52" s="95"/>
      <c r="P52" s="97"/>
      <c r="Q52" s="95"/>
      <c r="R52" s="97"/>
      <c r="S52" s="95"/>
      <c r="T52" s="95"/>
      <c r="U52" s="95"/>
      <c r="V52" s="95"/>
      <c r="W52" s="97"/>
      <c r="X52" s="95"/>
      <c r="Y52" s="97"/>
      <c r="Z52" s="95"/>
      <c r="AA52" s="95"/>
      <c r="AB52" s="95"/>
      <c r="AC52" s="95"/>
      <c r="AD52" s="97"/>
      <c r="AE52" s="95"/>
      <c r="AF52" s="97"/>
      <c r="AG52" s="95"/>
      <c r="AH52" s="66">
        <f t="shared" si="3"/>
        <v>0</v>
      </c>
      <c r="AI52" s="68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69" t="str">
        <f t="shared" si="4"/>
        <v>克勤</v>
      </c>
      <c r="AK52" s="73"/>
    </row>
    <row r="53" spans="1:37" ht="18" customHeight="1">
      <c r="A53" s="95" t="s">
        <v>58</v>
      </c>
      <c r="B53" s="96" t="s">
        <v>29</v>
      </c>
      <c r="C53" s="95"/>
      <c r="D53" s="97"/>
      <c r="E53" s="95"/>
      <c r="F53" s="95"/>
      <c r="G53" s="95"/>
      <c r="H53" s="95"/>
      <c r="I53" s="97"/>
      <c r="J53" s="95"/>
      <c r="K53" s="97"/>
      <c r="L53" s="95"/>
      <c r="M53" s="95">
        <v>1</v>
      </c>
      <c r="N53" s="95">
        <v>1</v>
      </c>
      <c r="O53" s="95"/>
      <c r="P53" s="97"/>
      <c r="Q53" s="95"/>
      <c r="R53" s="97"/>
      <c r="S53" s="95">
        <v>1</v>
      </c>
      <c r="T53" s="95"/>
      <c r="U53" s="95"/>
      <c r="V53" s="95">
        <v>1</v>
      </c>
      <c r="W53" s="97"/>
      <c r="X53" s="95"/>
      <c r="Y53" s="97"/>
      <c r="Z53" s="95"/>
      <c r="AA53" s="95"/>
      <c r="AB53" s="95"/>
      <c r="AC53" s="95"/>
      <c r="AD53" s="97"/>
      <c r="AE53" s="95"/>
      <c r="AF53" s="97"/>
      <c r="AG53" s="95"/>
      <c r="AH53" s="66">
        <f t="shared" si="3"/>
        <v>4</v>
      </c>
      <c r="AI53" s="68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69" t="str">
        <f t="shared" si="4"/>
        <v>大頭</v>
      </c>
      <c r="AK53" s="73"/>
    </row>
    <row r="54" spans="1:37" ht="18" customHeight="1">
      <c r="A54" s="95" t="s">
        <v>58</v>
      </c>
      <c r="B54" s="96" t="s">
        <v>65</v>
      </c>
      <c r="C54" s="95"/>
      <c r="D54" s="97"/>
      <c r="E54" s="95"/>
      <c r="F54" s="95"/>
      <c r="G54" s="95"/>
      <c r="H54" s="95"/>
      <c r="I54" s="97"/>
      <c r="J54" s="95"/>
      <c r="K54" s="97"/>
      <c r="L54" s="95"/>
      <c r="M54" s="95"/>
      <c r="N54" s="95"/>
      <c r="O54" s="95"/>
      <c r="P54" s="97"/>
      <c r="Q54" s="95"/>
      <c r="R54" s="97"/>
      <c r="S54" s="95"/>
      <c r="T54" s="95"/>
      <c r="U54" s="95"/>
      <c r="V54" s="95"/>
      <c r="W54" s="97"/>
      <c r="X54" s="95"/>
      <c r="Y54" s="97"/>
      <c r="Z54" s="95"/>
      <c r="AA54" s="95"/>
      <c r="AB54" s="95">
        <v>1</v>
      </c>
      <c r="AC54" s="95"/>
      <c r="AD54" s="97"/>
      <c r="AE54" s="95"/>
      <c r="AF54" s="97"/>
      <c r="AG54" s="95"/>
      <c r="AH54" s="66">
        <f t="shared" si="3"/>
        <v>1</v>
      </c>
      <c r="AI54" s="68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69" t="str">
        <f t="shared" si="4"/>
        <v>文淵</v>
      </c>
      <c r="AK54" s="73"/>
    </row>
    <row r="55" spans="1:37" ht="18" customHeight="1">
      <c r="A55" s="95" t="s">
        <v>58</v>
      </c>
      <c r="B55" s="96" t="s">
        <v>72</v>
      </c>
      <c r="C55" s="95"/>
      <c r="D55" s="97"/>
      <c r="E55" s="95"/>
      <c r="F55" s="95"/>
      <c r="G55" s="95"/>
      <c r="H55" s="95">
        <v>1</v>
      </c>
      <c r="I55" s="97"/>
      <c r="J55" s="95"/>
      <c r="K55" s="97"/>
      <c r="L55" s="95">
        <v>1</v>
      </c>
      <c r="M55" s="95"/>
      <c r="N55" s="95"/>
      <c r="O55" s="95"/>
      <c r="P55" s="97"/>
      <c r="Q55" s="95"/>
      <c r="R55" s="97"/>
      <c r="S55" s="95"/>
      <c r="T55" s="95"/>
      <c r="U55" s="95"/>
      <c r="V55" s="95"/>
      <c r="W55" s="97"/>
      <c r="X55" s="95"/>
      <c r="Y55" s="97"/>
      <c r="Z55" s="95"/>
      <c r="AA55" s="95"/>
      <c r="AB55" s="95"/>
      <c r="AC55" s="95"/>
      <c r="AD55" s="97"/>
      <c r="AE55" s="95"/>
      <c r="AF55" s="97"/>
      <c r="AG55" s="95"/>
      <c r="AH55" s="66">
        <f t="shared" si="3"/>
        <v>2</v>
      </c>
      <c r="AI55" s="68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69" t="str">
        <f t="shared" si="4"/>
        <v>八卦</v>
      </c>
      <c r="AK55" s="73"/>
    </row>
    <row r="56" spans="1:37" ht="18" customHeight="1">
      <c r="A56" s="95" t="s">
        <v>58</v>
      </c>
      <c r="B56" s="96" t="s">
        <v>66</v>
      </c>
      <c r="C56" s="95"/>
      <c r="D56" s="97"/>
      <c r="E56" s="95"/>
      <c r="F56" s="95"/>
      <c r="G56" s="95"/>
      <c r="H56" s="95"/>
      <c r="I56" s="97"/>
      <c r="J56" s="95"/>
      <c r="K56" s="97"/>
      <c r="L56" s="95"/>
      <c r="M56" s="95"/>
      <c r="N56" s="95"/>
      <c r="O56" s="95"/>
      <c r="P56" s="97"/>
      <c r="Q56" s="95"/>
      <c r="R56" s="97"/>
      <c r="S56" s="95"/>
      <c r="T56" s="95"/>
      <c r="U56" s="95"/>
      <c r="V56" s="95"/>
      <c r="W56" s="97"/>
      <c r="X56" s="95"/>
      <c r="Y56" s="97"/>
      <c r="Z56" s="95"/>
      <c r="AA56" s="95"/>
      <c r="AB56" s="95"/>
      <c r="AC56" s="95"/>
      <c r="AD56" s="97"/>
      <c r="AE56" s="95"/>
      <c r="AF56" s="97"/>
      <c r="AG56" s="95"/>
      <c r="AH56" s="66">
        <f t="shared" si="3"/>
        <v>0</v>
      </c>
      <c r="AI56" s="68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69" t="str">
        <f t="shared" si="4"/>
        <v>昆佑</v>
      </c>
      <c r="AK56" s="73"/>
    </row>
    <row r="57" spans="1:37" ht="18" customHeight="1">
      <c r="A57" s="95" t="s">
        <v>58</v>
      </c>
      <c r="B57" s="96" t="s">
        <v>68</v>
      </c>
      <c r="C57" s="95"/>
      <c r="D57" s="97"/>
      <c r="E57" s="95"/>
      <c r="F57" s="95"/>
      <c r="G57" s="95"/>
      <c r="H57" s="95"/>
      <c r="I57" s="97"/>
      <c r="J57" s="95"/>
      <c r="K57" s="97"/>
      <c r="L57" s="95"/>
      <c r="M57" s="95"/>
      <c r="N57" s="95"/>
      <c r="O57" s="95"/>
      <c r="P57" s="97"/>
      <c r="Q57" s="95"/>
      <c r="R57" s="97"/>
      <c r="S57" s="95"/>
      <c r="T57" s="95"/>
      <c r="U57" s="95"/>
      <c r="V57" s="95"/>
      <c r="W57" s="97"/>
      <c r="X57" s="95"/>
      <c r="Y57" s="97"/>
      <c r="Z57" s="95"/>
      <c r="AA57" s="95"/>
      <c r="AB57" s="95"/>
      <c r="AC57" s="95"/>
      <c r="AD57" s="97"/>
      <c r="AE57" s="95"/>
      <c r="AF57" s="97"/>
      <c r="AG57" s="95"/>
      <c r="AH57" s="66">
        <f t="shared" si="3"/>
        <v>0</v>
      </c>
      <c r="AI57" s="68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69" t="str">
        <f t="shared" si="4"/>
        <v>兔子</v>
      </c>
      <c r="AK57" s="73"/>
    </row>
    <row r="58" spans="1:37" ht="18" customHeight="1">
      <c r="A58" s="95" t="s">
        <v>58</v>
      </c>
      <c r="B58" s="96" t="s">
        <v>69</v>
      </c>
      <c r="C58" s="95"/>
      <c r="D58" s="97"/>
      <c r="E58" s="95"/>
      <c r="F58" s="95"/>
      <c r="G58" s="95"/>
      <c r="H58" s="95"/>
      <c r="I58" s="97"/>
      <c r="J58" s="95"/>
      <c r="K58" s="97"/>
      <c r="L58" s="95"/>
      <c r="M58" s="95"/>
      <c r="N58" s="95"/>
      <c r="O58" s="95"/>
      <c r="P58" s="97"/>
      <c r="Q58" s="95"/>
      <c r="R58" s="97"/>
      <c r="S58" s="95"/>
      <c r="T58" s="95"/>
      <c r="U58" s="95"/>
      <c r="V58" s="95"/>
      <c r="W58" s="97"/>
      <c r="X58" s="95"/>
      <c r="Y58" s="97"/>
      <c r="Z58" s="95"/>
      <c r="AA58" s="95"/>
      <c r="AB58" s="95"/>
      <c r="AC58" s="95"/>
      <c r="AD58" s="97"/>
      <c r="AE58" s="95"/>
      <c r="AF58" s="97"/>
      <c r="AG58" s="95"/>
      <c r="AH58" s="66">
        <f t="shared" si="3"/>
        <v>0</v>
      </c>
      <c r="AI58" s="68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69" t="str">
        <f t="shared" si="4"/>
        <v>小馬</v>
      </c>
      <c r="AK58" s="73"/>
    </row>
    <row r="59" spans="1:37" ht="18" customHeight="1">
      <c r="A59" s="95" t="s">
        <v>58</v>
      </c>
      <c r="B59" s="96" t="s">
        <v>70</v>
      </c>
      <c r="C59" s="95"/>
      <c r="D59" s="97"/>
      <c r="E59" s="95"/>
      <c r="F59" s="95"/>
      <c r="G59" s="95"/>
      <c r="H59" s="95"/>
      <c r="I59" s="97"/>
      <c r="J59" s="95"/>
      <c r="K59" s="97"/>
      <c r="L59" s="95"/>
      <c r="M59" s="95"/>
      <c r="N59" s="95"/>
      <c r="O59" s="95"/>
      <c r="P59" s="97"/>
      <c r="Q59" s="95"/>
      <c r="R59" s="97"/>
      <c r="S59" s="95"/>
      <c r="T59" s="95"/>
      <c r="U59" s="95"/>
      <c r="V59" s="95"/>
      <c r="W59" s="97"/>
      <c r="X59" s="95"/>
      <c r="Y59" s="97"/>
      <c r="Z59" s="95"/>
      <c r="AA59" s="95"/>
      <c r="AB59" s="95"/>
      <c r="AC59" s="95"/>
      <c r="AD59" s="97"/>
      <c r="AE59" s="95"/>
      <c r="AF59" s="97"/>
      <c r="AG59" s="95"/>
      <c r="AH59" s="66">
        <f t="shared" si="3"/>
        <v>0</v>
      </c>
      <c r="AI59" s="68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69" t="str">
        <f t="shared" si="4"/>
        <v>Allen</v>
      </c>
      <c r="AK59" s="73"/>
    </row>
    <row r="60" spans="1:37" ht="18" customHeight="1">
      <c r="A60" s="95" t="s">
        <v>58</v>
      </c>
      <c r="B60" s="96" t="s">
        <v>71</v>
      </c>
      <c r="C60" s="95"/>
      <c r="D60" s="97"/>
      <c r="E60" s="95"/>
      <c r="F60" s="95"/>
      <c r="G60" s="95"/>
      <c r="H60" s="95"/>
      <c r="I60" s="97"/>
      <c r="J60" s="95"/>
      <c r="K60" s="97"/>
      <c r="L60" s="95"/>
      <c r="M60" s="95"/>
      <c r="N60" s="95"/>
      <c r="O60" s="95"/>
      <c r="P60" s="97"/>
      <c r="Q60" s="95"/>
      <c r="R60" s="97"/>
      <c r="S60" s="95"/>
      <c r="T60" s="95"/>
      <c r="U60" s="95"/>
      <c r="V60" s="95"/>
      <c r="W60" s="97"/>
      <c r="X60" s="95"/>
      <c r="Y60" s="97"/>
      <c r="Z60" s="95"/>
      <c r="AA60" s="95"/>
      <c r="AB60" s="95"/>
      <c r="AC60" s="95"/>
      <c r="AD60" s="97"/>
      <c r="AE60" s="95"/>
      <c r="AF60" s="97"/>
      <c r="AG60" s="95"/>
      <c r="AH60" s="66">
        <f t="shared" si="3"/>
        <v>0</v>
      </c>
      <c r="AI60" s="68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69" t="str">
        <f t="shared" si="4"/>
        <v>嘴嘴</v>
      </c>
      <c r="AK60" s="73"/>
    </row>
    <row r="61" spans="1:37" ht="18" customHeight="1">
      <c r="A61" s="95" t="s">
        <v>58</v>
      </c>
      <c r="B61" s="96" t="s">
        <v>74</v>
      </c>
      <c r="C61" s="95"/>
      <c r="D61" s="97"/>
      <c r="E61" s="95"/>
      <c r="F61" s="95"/>
      <c r="G61" s="95"/>
      <c r="H61" s="95"/>
      <c r="I61" s="97"/>
      <c r="J61" s="95"/>
      <c r="K61" s="97"/>
      <c r="L61" s="95"/>
      <c r="M61" s="95"/>
      <c r="N61" s="95"/>
      <c r="O61" s="95"/>
      <c r="P61" s="97"/>
      <c r="Q61" s="95">
        <v>1</v>
      </c>
      <c r="R61" s="97"/>
      <c r="S61" s="95"/>
      <c r="T61" s="95"/>
      <c r="U61" s="95"/>
      <c r="V61" s="95"/>
      <c r="W61" s="97"/>
      <c r="X61" s="95">
        <v>1</v>
      </c>
      <c r="Y61" s="97"/>
      <c r="Z61" s="95"/>
      <c r="AA61" s="95"/>
      <c r="AB61" s="95"/>
      <c r="AC61" s="95"/>
      <c r="AD61" s="97"/>
      <c r="AE61" s="95">
        <v>1</v>
      </c>
      <c r="AF61" s="97"/>
      <c r="AG61" s="95"/>
      <c r="AH61" s="66">
        <f t="shared" si="3"/>
        <v>3</v>
      </c>
      <c r="AI61" s="68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69" t="str">
        <f t="shared" si="4"/>
        <v>蘆葦</v>
      </c>
      <c r="AK61" s="73"/>
    </row>
    <row r="62" spans="1:37" ht="18" customHeight="1">
      <c r="A62" s="95" t="s">
        <v>58</v>
      </c>
      <c r="B62" s="96" t="s">
        <v>30</v>
      </c>
      <c r="C62" s="95"/>
      <c r="D62" s="97"/>
      <c r="E62" s="95"/>
      <c r="F62" s="95"/>
      <c r="G62" s="95"/>
      <c r="H62" s="95"/>
      <c r="I62" s="97"/>
      <c r="J62" s="95"/>
      <c r="K62" s="97"/>
      <c r="L62" s="95"/>
      <c r="M62" s="95"/>
      <c r="N62" s="95"/>
      <c r="O62" s="95"/>
      <c r="P62" s="97"/>
      <c r="Q62" s="95"/>
      <c r="R62" s="97"/>
      <c r="S62" s="95">
        <v>1</v>
      </c>
      <c r="T62" s="95"/>
      <c r="U62" s="95">
        <v>1</v>
      </c>
      <c r="V62" s="95"/>
      <c r="W62" s="97"/>
      <c r="X62" s="95"/>
      <c r="Y62" s="97"/>
      <c r="Z62" s="95"/>
      <c r="AA62" s="95"/>
      <c r="AB62" s="95">
        <v>1</v>
      </c>
      <c r="AC62" s="95"/>
      <c r="AD62" s="97"/>
      <c r="AE62" s="95"/>
      <c r="AF62" s="97"/>
      <c r="AG62" s="95"/>
      <c r="AH62" s="66">
        <f t="shared" si="3"/>
        <v>3</v>
      </c>
      <c r="AI62" s="68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69" t="str">
        <f t="shared" si="4"/>
        <v>鯰魚</v>
      </c>
      <c r="AK62" s="73"/>
    </row>
    <row r="63" spans="1:37" ht="18" customHeight="1">
      <c r="A63" s="95" t="s">
        <v>58</v>
      </c>
      <c r="B63" s="96" t="s">
        <v>31</v>
      </c>
      <c r="C63" s="95"/>
      <c r="D63" s="97"/>
      <c r="E63" s="95"/>
      <c r="F63" s="95"/>
      <c r="G63" s="95"/>
      <c r="H63" s="95"/>
      <c r="I63" s="97"/>
      <c r="J63" s="95"/>
      <c r="K63" s="97"/>
      <c r="L63" s="95"/>
      <c r="M63" s="95"/>
      <c r="N63" s="95"/>
      <c r="O63" s="95"/>
      <c r="P63" s="97"/>
      <c r="Q63" s="95"/>
      <c r="R63" s="97"/>
      <c r="S63" s="95"/>
      <c r="T63" s="95"/>
      <c r="U63" s="95"/>
      <c r="V63" s="95"/>
      <c r="W63" s="97"/>
      <c r="X63" s="95"/>
      <c r="Y63" s="97"/>
      <c r="Z63" s="95">
        <v>1</v>
      </c>
      <c r="AA63" s="95"/>
      <c r="AB63" s="95"/>
      <c r="AC63" s="95"/>
      <c r="AD63" s="97"/>
      <c r="AE63" s="95"/>
      <c r="AF63" s="97"/>
      <c r="AG63" s="95">
        <v>1</v>
      </c>
      <c r="AH63" s="66">
        <f t="shared" si="3"/>
        <v>2</v>
      </c>
      <c r="AI63" s="68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69" t="str">
        <f t="shared" si="4"/>
        <v>阿美</v>
      </c>
      <c r="AK63" s="73"/>
    </row>
    <row r="64" spans="1:37" ht="18" customHeight="1">
      <c r="A64" s="95" t="s">
        <v>58</v>
      </c>
      <c r="B64" s="96" t="s">
        <v>73</v>
      </c>
      <c r="C64" s="95"/>
      <c r="D64" s="97"/>
      <c r="E64" s="95"/>
      <c r="F64" s="95"/>
      <c r="G64" s="95"/>
      <c r="H64" s="95"/>
      <c r="I64" s="97"/>
      <c r="J64" s="95"/>
      <c r="K64" s="97"/>
      <c r="L64" s="95"/>
      <c r="M64" s="95"/>
      <c r="N64" s="95"/>
      <c r="O64" s="95"/>
      <c r="P64" s="97"/>
      <c r="Q64" s="95"/>
      <c r="R64" s="97"/>
      <c r="S64" s="95"/>
      <c r="T64" s="95"/>
      <c r="U64" s="95"/>
      <c r="V64" s="95"/>
      <c r="W64" s="97"/>
      <c r="X64" s="95"/>
      <c r="Y64" s="97"/>
      <c r="Z64" s="95"/>
      <c r="AA64" s="95"/>
      <c r="AB64" s="95"/>
      <c r="AC64" s="95"/>
      <c r="AD64" s="97"/>
      <c r="AE64" s="95"/>
      <c r="AF64" s="97"/>
      <c r="AG64" s="95"/>
      <c r="AH64" s="66">
        <f t="shared" si="3"/>
        <v>0</v>
      </c>
      <c r="AI64" s="68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69" t="str">
        <f t="shared" si="4"/>
        <v>冠軍</v>
      </c>
      <c r="AK64" s="73"/>
    </row>
    <row r="65" spans="1:37" ht="18" customHeight="1">
      <c r="A65" s="95" t="s">
        <v>58</v>
      </c>
      <c r="B65" s="96" t="s">
        <v>198</v>
      </c>
      <c r="C65" s="95"/>
      <c r="D65" s="97"/>
      <c r="E65" s="95"/>
      <c r="F65" s="95"/>
      <c r="G65" s="95"/>
      <c r="H65" s="95"/>
      <c r="I65" s="97"/>
      <c r="J65" s="95"/>
      <c r="K65" s="97"/>
      <c r="L65" s="95"/>
      <c r="M65" s="95"/>
      <c r="N65" s="95"/>
      <c r="O65" s="95"/>
      <c r="P65" s="97"/>
      <c r="Q65" s="95"/>
      <c r="R65" s="97"/>
      <c r="S65" s="95"/>
      <c r="T65" s="95"/>
      <c r="U65" s="95">
        <v>1</v>
      </c>
      <c r="V65" s="95"/>
      <c r="W65" s="97"/>
      <c r="X65" s="95"/>
      <c r="Y65" s="97"/>
      <c r="Z65" s="95">
        <v>1</v>
      </c>
      <c r="AA65" s="95"/>
      <c r="AB65" s="95"/>
      <c r="AC65" s="95">
        <v>1</v>
      </c>
      <c r="AD65" s="97"/>
      <c r="AE65" s="95"/>
      <c r="AF65" s="97"/>
      <c r="AG65" s="95"/>
      <c r="AH65" s="66">
        <f t="shared" si="3"/>
        <v>3</v>
      </c>
      <c r="AI65" s="68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69" t="str">
        <f t="shared" si="4"/>
        <v>郁翔</v>
      </c>
      <c r="AK65" s="73"/>
    </row>
    <row r="66" spans="1:37" ht="18" customHeight="1">
      <c r="A66" s="95" t="s">
        <v>58</v>
      </c>
      <c r="B66" s="96" t="s">
        <v>67</v>
      </c>
      <c r="C66" s="95"/>
      <c r="D66" s="97"/>
      <c r="E66" s="95"/>
      <c r="F66" s="95"/>
      <c r="G66" s="95"/>
      <c r="H66" s="95"/>
      <c r="I66" s="97"/>
      <c r="J66" s="95"/>
      <c r="K66" s="97"/>
      <c r="L66" s="95"/>
      <c r="M66" s="95"/>
      <c r="N66" s="95"/>
      <c r="O66" s="95"/>
      <c r="P66" s="97"/>
      <c r="Q66" s="95"/>
      <c r="R66" s="97"/>
      <c r="S66" s="95"/>
      <c r="T66" s="95"/>
      <c r="U66" s="95"/>
      <c r="V66" s="95"/>
      <c r="W66" s="97"/>
      <c r="X66" s="95"/>
      <c r="Y66" s="97"/>
      <c r="Z66" s="95"/>
      <c r="AA66" s="95"/>
      <c r="AB66" s="95"/>
      <c r="AC66" s="95"/>
      <c r="AD66" s="97"/>
      <c r="AE66" s="95"/>
      <c r="AF66" s="97"/>
      <c r="AG66" s="95"/>
      <c r="AH66" s="66">
        <f t="shared" si="3"/>
        <v>0</v>
      </c>
      <c r="AI66" s="68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69" t="str">
        <f t="shared" si="4"/>
        <v>歐吉</v>
      </c>
      <c r="AK66" s="73"/>
    </row>
    <row r="67" spans="1:37" ht="18" customHeight="1">
      <c r="A67" s="95" t="s">
        <v>58</v>
      </c>
      <c r="B67" s="96" t="s">
        <v>75</v>
      </c>
      <c r="C67" s="95"/>
      <c r="D67" s="97"/>
      <c r="E67" s="95"/>
      <c r="F67" s="95"/>
      <c r="G67" s="95"/>
      <c r="H67" s="95"/>
      <c r="I67" s="97"/>
      <c r="J67" s="95"/>
      <c r="K67" s="97"/>
      <c r="L67" s="95"/>
      <c r="M67" s="95"/>
      <c r="N67" s="95"/>
      <c r="O67" s="95"/>
      <c r="P67" s="97"/>
      <c r="Q67" s="95"/>
      <c r="R67" s="97"/>
      <c r="S67" s="95"/>
      <c r="T67" s="95"/>
      <c r="U67" s="95"/>
      <c r="V67" s="95"/>
      <c r="W67" s="97"/>
      <c r="X67" s="95"/>
      <c r="Y67" s="97"/>
      <c r="Z67" s="95"/>
      <c r="AA67" s="95"/>
      <c r="AB67" s="95"/>
      <c r="AC67" s="95"/>
      <c r="AD67" s="97"/>
      <c r="AE67" s="95"/>
      <c r="AF67" s="97"/>
      <c r="AG67" s="95"/>
      <c r="AH67" s="66">
        <f t="shared" si="3"/>
        <v>0</v>
      </c>
      <c r="AI67" s="68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69" t="str">
        <f t="shared" si="4"/>
        <v>叮噹</v>
      </c>
      <c r="AK67" s="73"/>
    </row>
    <row r="68" spans="1:37" ht="18" customHeight="1">
      <c r="A68" s="95" t="s">
        <v>58</v>
      </c>
      <c r="B68" s="96" t="s">
        <v>76</v>
      </c>
      <c r="C68" s="95"/>
      <c r="D68" s="97"/>
      <c r="E68" s="95"/>
      <c r="F68" s="95"/>
      <c r="G68" s="95"/>
      <c r="H68" s="95"/>
      <c r="I68" s="97"/>
      <c r="J68" s="95"/>
      <c r="K68" s="97"/>
      <c r="L68" s="95"/>
      <c r="M68" s="95"/>
      <c r="N68" s="95"/>
      <c r="O68" s="95"/>
      <c r="P68" s="97"/>
      <c r="Q68" s="95"/>
      <c r="R68" s="97"/>
      <c r="S68" s="95"/>
      <c r="T68" s="95"/>
      <c r="U68" s="95"/>
      <c r="V68" s="95"/>
      <c r="W68" s="97"/>
      <c r="X68" s="95"/>
      <c r="Y68" s="97"/>
      <c r="Z68" s="95"/>
      <c r="AA68" s="95"/>
      <c r="AB68" s="95"/>
      <c r="AC68" s="95"/>
      <c r="AD68" s="97"/>
      <c r="AE68" s="95"/>
      <c r="AF68" s="97"/>
      <c r="AG68" s="95"/>
      <c r="AH68" s="66">
        <f t="shared" ref="AH68:AH99" si="5">COUNTA(C68:AG68)</f>
        <v>0</v>
      </c>
      <c r="AI68" s="68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69" t="str">
        <f t="shared" ref="AJ68:AJ99" si="6">B68</f>
        <v>肥肥</v>
      </c>
      <c r="AK68" s="73"/>
    </row>
    <row r="69" spans="1:37" ht="18" customHeight="1">
      <c r="A69" s="95" t="s">
        <v>58</v>
      </c>
      <c r="B69" s="96" t="s">
        <v>77</v>
      </c>
      <c r="C69" s="95"/>
      <c r="D69" s="97"/>
      <c r="E69" s="95"/>
      <c r="F69" s="95"/>
      <c r="G69" s="95"/>
      <c r="H69" s="95"/>
      <c r="I69" s="97"/>
      <c r="J69" s="95"/>
      <c r="K69" s="97"/>
      <c r="L69" s="95"/>
      <c r="M69" s="95"/>
      <c r="N69" s="95"/>
      <c r="O69" s="95"/>
      <c r="P69" s="97"/>
      <c r="Q69" s="95"/>
      <c r="R69" s="97"/>
      <c r="S69" s="95"/>
      <c r="T69" s="95"/>
      <c r="U69" s="95"/>
      <c r="V69" s="95"/>
      <c r="W69" s="97"/>
      <c r="X69" s="95"/>
      <c r="Y69" s="97"/>
      <c r="Z69" s="95"/>
      <c r="AA69" s="95"/>
      <c r="AB69" s="95"/>
      <c r="AC69" s="95"/>
      <c r="AD69" s="97"/>
      <c r="AE69" s="95"/>
      <c r="AF69" s="97"/>
      <c r="AG69" s="95"/>
      <c r="AH69" s="66">
        <f t="shared" si="5"/>
        <v>0</v>
      </c>
      <c r="AI69" s="68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69" t="str">
        <f t="shared" si="6"/>
        <v>小夫</v>
      </c>
      <c r="AK69" s="73"/>
    </row>
    <row r="70" spans="1:37" ht="18" customHeight="1">
      <c r="A70" s="95" t="s">
        <v>58</v>
      </c>
      <c r="B70" s="96" t="s">
        <v>78</v>
      </c>
      <c r="C70" s="95"/>
      <c r="D70" s="97"/>
      <c r="E70" s="95"/>
      <c r="F70" s="95"/>
      <c r="G70" s="95"/>
      <c r="H70" s="95"/>
      <c r="I70" s="97"/>
      <c r="J70" s="95"/>
      <c r="K70" s="97"/>
      <c r="L70" s="95"/>
      <c r="M70" s="95"/>
      <c r="N70" s="95"/>
      <c r="O70" s="95"/>
      <c r="P70" s="97"/>
      <c r="Q70" s="95"/>
      <c r="R70" s="97"/>
      <c r="S70" s="95"/>
      <c r="T70" s="95"/>
      <c r="U70" s="95"/>
      <c r="V70" s="95"/>
      <c r="W70" s="97"/>
      <c r="X70" s="95"/>
      <c r="Y70" s="97"/>
      <c r="Z70" s="95"/>
      <c r="AA70" s="95"/>
      <c r="AB70" s="95"/>
      <c r="AC70" s="95"/>
      <c r="AD70" s="97"/>
      <c r="AE70" s="95"/>
      <c r="AF70" s="97"/>
      <c r="AG70" s="95"/>
      <c r="AH70" s="66">
        <f t="shared" si="5"/>
        <v>0</v>
      </c>
      <c r="AI70" s="68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69" t="str">
        <f t="shared" si="6"/>
        <v>小邱</v>
      </c>
      <c r="AK70" s="73"/>
    </row>
    <row r="71" spans="1:37" ht="18" customHeight="1">
      <c r="A71" s="95" t="s">
        <v>58</v>
      </c>
      <c r="B71" s="96" t="s">
        <v>79</v>
      </c>
      <c r="C71" s="95"/>
      <c r="D71" s="97"/>
      <c r="E71" s="95"/>
      <c r="F71" s="95"/>
      <c r="G71" s="95"/>
      <c r="H71" s="95"/>
      <c r="I71" s="97"/>
      <c r="J71" s="95"/>
      <c r="K71" s="97"/>
      <c r="L71" s="95"/>
      <c r="M71" s="95"/>
      <c r="N71" s="95"/>
      <c r="O71" s="95"/>
      <c r="P71" s="97"/>
      <c r="Q71" s="95"/>
      <c r="R71" s="97"/>
      <c r="S71" s="95"/>
      <c r="T71" s="95"/>
      <c r="U71" s="95"/>
      <c r="V71" s="95"/>
      <c r="W71" s="97"/>
      <c r="X71" s="95"/>
      <c r="Y71" s="97"/>
      <c r="Z71" s="95"/>
      <c r="AA71" s="95"/>
      <c r="AB71" s="95"/>
      <c r="AC71" s="95"/>
      <c r="AD71" s="97"/>
      <c r="AE71" s="95"/>
      <c r="AF71" s="97"/>
      <c r="AG71" s="95"/>
      <c r="AH71" s="66">
        <f t="shared" si="5"/>
        <v>0</v>
      </c>
      <c r="AI71" s="68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69" t="str">
        <f t="shared" si="6"/>
        <v>淳淳</v>
      </c>
      <c r="AK71" s="73"/>
    </row>
    <row r="72" spans="1:37" ht="18" customHeight="1">
      <c r="A72" s="95" t="s">
        <v>58</v>
      </c>
      <c r="B72" s="96" t="s">
        <v>80</v>
      </c>
      <c r="C72" s="95"/>
      <c r="D72" s="97"/>
      <c r="E72" s="95"/>
      <c r="F72" s="95"/>
      <c r="G72" s="95"/>
      <c r="H72" s="95"/>
      <c r="I72" s="97"/>
      <c r="J72" s="95"/>
      <c r="K72" s="97"/>
      <c r="L72" s="95"/>
      <c r="M72" s="95"/>
      <c r="N72" s="95"/>
      <c r="O72" s="95"/>
      <c r="P72" s="97"/>
      <c r="Q72" s="95"/>
      <c r="R72" s="97"/>
      <c r="S72" s="95"/>
      <c r="T72" s="95"/>
      <c r="U72" s="95"/>
      <c r="V72" s="95"/>
      <c r="W72" s="97"/>
      <c r="X72" s="95"/>
      <c r="Y72" s="97"/>
      <c r="Z72" s="95"/>
      <c r="AA72" s="95"/>
      <c r="AB72" s="95"/>
      <c r="AC72" s="95"/>
      <c r="AD72" s="97"/>
      <c r="AE72" s="95"/>
      <c r="AF72" s="97"/>
      <c r="AG72" s="95"/>
      <c r="AH72" s="66">
        <f t="shared" si="5"/>
        <v>0</v>
      </c>
      <c r="AI72" s="68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69" t="str">
        <f t="shared" si="6"/>
        <v>禿鷹</v>
      </c>
      <c r="AK72" s="73"/>
    </row>
    <row r="73" spans="1:37" ht="18" customHeight="1">
      <c r="A73" s="95" t="s">
        <v>58</v>
      </c>
      <c r="B73" s="96" t="s">
        <v>81</v>
      </c>
      <c r="C73" s="95"/>
      <c r="D73" s="97"/>
      <c r="E73" s="95"/>
      <c r="F73" s="95"/>
      <c r="G73" s="95"/>
      <c r="H73" s="95"/>
      <c r="I73" s="97"/>
      <c r="J73" s="95"/>
      <c r="K73" s="97"/>
      <c r="L73" s="95"/>
      <c r="M73" s="95"/>
      <c r="N73" s="95"/>
      <c r="O73" s="95"/>
      <c r="P73" s="97"/>
      <c r="Q73" s="95"/>
      <c r="R73" s="97"/>
      <c r="S73" s="95"/>
      <c r="T73" s="95"/>
      <c r="U73" s="95"/>
      <c r="V73" s="95"/>
      <c r="W73" s="97"/>
      <c r="X73" s="95"/>
      <c r="Y73" s="97"/>
      <c r="Z73" s="95"/>
      <c r="AA73" s="95"/>
      <c r="AB73" s="95"/>
      <c r="AC73" s="95"/>
      <c r="AD73" s="97"/>
      <c r="AE73" s="95"/>
      <c r="AF73" s="97"/>
      <c r="AG73" s="95"/>
      <c r="AH73" s="66">
        <f t="shared" si="5"/>
        <v>0</v>
      </c>
      <c r="AI73" s="68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69" t="str">
        <f t="shared" si="6"/>
        <v>王宏</v>
      </c>
      <c r="AK73" s="73"/>
    </row>
    <row r="74" spans="1:37" ht="18" customHeight="1">
      <c r="A74" s="95" t="s">
        <v>58</v>
      </c>
      <c r="B74" s="96" t="s">
        <v>82</v>
      </c>
      <c r="C74" s="95"/>
      <c r="D74" s="97"/>
      <c r="E74" s="95"/>
      <c r="F74" s="95"/>
      <c r="G74" s="95"/>
      <c r="H74" s="95"/>
      <c r="I74" s="97"/>
      <c r="J74" s="95"/>
      <c r="K74" s="97"/>
      <c r="L74" s="95"/>
      <c r="M74" s="95"/>
      <c r="N74" s="95"/>
      <c r="O74" s="95"/>
      <c r="P74" s="97"/>
      <c r="Q74" s="95"/>
      <c r="R74" s="97"/>
      <c r="S74" s="95"/>
      <c r="T74" s="95"/>
      <c r="U74" s="95"/>
      <c r="V74" s="95"/>
      <c r="W74" s="97"/>
      <c r="X74" s="95"/>
      <c r="Y74" s="97"/>
      <c r="Z74" s="95"/>
      <c r="AA74" s="95"/>
      <c r="AB74" s="95"/>
      <c r="AC74" s="95"/>
      <c r="AD74" s="97"/>
      <c r="AE74" s="95"/>
      <c r="AF74" s="97"/>
      <c r="AG74" s="95"/>
      <c r="AH74" s="66">
        <f t="shared" si="5"/>
        <v>0</v>
      </c>
      <c r="AI74" s="68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69" t="str">
        <f t="shared" si="6"/>
        <v>犀牛</v>
      </c>
      <c r="AK74" s="73"/>
    </row>
    <row r="75" spans="1:37" ht="18" customHeight="1">
      <c r="A75" s="95" t="s">
        <v>58</v>
      </c>
      <c r="B75" s="96" t="s">
        <v>83</v>
      </c>
      <c r="C75" s="95"/>
      <c r="D75" s="97"/>
      <c r="E75" s="95"/>
      <c r="F75" s="95"/>
      <c r="G75" s="95"/>
      <c r="H75" s="95"/>
      <c r="I75" s="97"/>
      <c r="J75" s="95"/>
      <c r="K75" s="97"/>
      <c r="L75" s="95"/>
      <c r="M75" s="95"/>
      <c r="N75" s="95"/>
      <c r="O75" s="95"/>
      <c r="P75" s="97"/>
      <c r="Q75" s="95"/>
      <c r="R75" s="97"/>
      <c r="S75" s="95"/>
      <c r="T75" s="95"/>
      <c r="U75" s="95"/>
      <c r="V75" s="95"/>
      <c r="W75" s="97"/>
      <c r="X75" s="95"/>
      <c r="Y75" s="97"/>
      <c r="Z75" s="95"/>
      <c r="AA75" s="95"/>
      <c r="AB75" s="95"/>
      <c r="AC75" s="95"/>
      <c r="AD75" s="97"/>
      <c r="AE75" s="95"/>
      <c r="AF75" s="97"/>
      <c r="AG75" s="95"/>
      <c r="AH75" s="66">
        <f t="shared" si="5"/>
        <v>0</v>
      </c>
      <c r="AI75" s="68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69" t="str">
        <f t="shared" si="6"/>
        <v>來福</v>
      </c>
      <c r="AK75" s="73"/>
    </row>
    <row r="76" spans="1:37" ht="18" customHeight="1">
      <c r="A76" s="95" t="s">
        <v>58</v>
      </c>
      <c r="B76" s="96" t="s">
        <v>84</v>
      </c>
      <c r="C76" s="95"/>
      <c r="D76" s="97"/>
      <c r="E76" s="95"/>
      <c r="F76" s="95"/>
      <c r="G76" s="95"/>
      <c r="H76" s="95"/>
      <c r="I76" s="97"/>
      <c r="J76" s="95"/>
      <c r="K76" s="97"/>
      <c r="L76" s="95"/>
      <c r="M76" s="95"/>
      <c r="N76" s="95"/>
      <c r="O76" s="95"/>
      <c r="P76" s="97"/>
      <c r="Q76" s="95"/>
      <c r="R76" s="97"/>
      <c r="S76" s="95"/>
      <c r="T76" s="95"/>
      <c r="U76" s="95"/>
      <c r="V76" s="95"/>
      <c r="W76" s="97"/>
      <c r="X76" s="95"/>
      <c r="Y76" s="97"/>
      <c r="Z76" s="95"/>
      <c r="AA76" s="95"/>
      <c r="AB76" s="95"/>
      <c r="AC76" s="95"/>
      <c r="AD76" s="97"/>
      <c r="AE76" s="95"/>
      <c r="AF76" s="97"/>
      <c r="AG76" s="95"/>
      <c r="AH76" s="66">
        <f t="shared" si="5"/>
        <v>0</v>
      </c>
      <c r="AI76" s="68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69" t="str">
        <f t="shared" si="6"/>
        <v>誌誌</v>
      </c>
      <c r="AK76" s="73"/>
    </row>
    <row r="77" spans="1:37" ht="18" customHeight="1">
      <c r="A77" s="95" t="s">
        <v>58</v>
      </c>
      <c r="B77" s="96" t="s">
        <v>86</v>
      </c>
      <c r="C77" s="95"/>
      <c r="D77" s="97"/>
      <c r="E77" s="95"/>
      <c r="F77" s="95"/>
      <c r="G77" s="95"/>
      <c r="H77" s="95"/>
      <c r="I77" s="97"/>
      <c r="J77" s="95"/>
      <c r="K77" s="97"/>
      <c r="L77" s="95"/>
      <c r="M77" s="95"/>
      <c r="N77" s="95"/>
      <c r="O77" s="95"/>
      <c r="P77" s="97"/>
      <c r="Q77" s="95"/>
      <c r="R77" s="97"/>
      <c r="S77" s="95"/>
      <c r="T77" s="95"/>
      <c r="U77" s="95"/>
      <c r="V77" s="95"/>
      <c r="W77" s="97"/>
      <c r="X77" s="95"/>
      <c r="Y77" s="97"/>
      <c r="Z77" s="95"/>
      <c r="AA77" s="95"/>
      <c r="AB77" s="95">
        <v>1</v>
      </c>
      <c r="AC77" s="95"/>
      <c r="AD77" s="97"/>
      <c r="AE77" s="95"/>
      <c r="AF77" s="97"/>
      <c r="AG77" s="95"/>
      <c r="AH77" s="66">
        <f t="shared" si="5"/>
        <v>1</v>
      </c>
      <c r="AI77" s="68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69" t="str">
        <f t="shared" si="6"/>
        <v>正誼</v>
      </c>
      <c r="AK77" s="73"/>
    </row>
    <row r="78" spans="1:37" ht="18" customHeight="1">
      <c r="A78" s="95" t="s">
        <v>58</v>
      </c>
      <c r="B78" s="96" t="s">
        <v>32</v>
      </c>
      <c r="C78" s="95"/>
      <c r="D78" s="97"/>
      <c r="E78" s="95"/>
      <c r="F78" s="95"/>
      <c r="G78" s="95"/>
      <c r="H78" s="95"/>
      <c r="I78" s="97"/>
      <c r="J78" s="95"/>
      <c r="K78" s="97"/>
      <c r="L78" s="95"/>
      <c r="M78" s="95"/>
      <c r="N78" s="95"/>
      <c r="O78" s="95"/>
      <c r="P78" s="97"/>
      <c r="Q78" s="95"/>
      <c r="R78" s="97"/>
      <c r="S78" s="95"/>
      <c r="T78" s="95"/>
      <c r="U78" s="95"/>
      <c r="V78" s="95"/>
      <c r="W78" s="97"/>
      <c r="X78" s="95"/>
      <c r="Y78" s="97"/>
      <c r="Z78" s="95"/>
      <c r="AA78" s="95"/>
      <c r="AB78" s="95"/>
      <c r="AC78" s="95"/>
      <c r="AD78" s="97"/>
      <c r="AE78" s="95"/>
      <c r="AF78" s="97"/>
      <c r="AG78" s="95"/>
      <c r="AH78" s="66">
        <f t="shared" si="5"/>
        <v>0</v>
      </c>
      <c r="AI78" s="68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69" t="str">
        <f t="shared" si="6"/>
        <v>小翔</v>
      </c>
      <c r="AK78" s="73"/>
    </row>
    <row r="79" spans="1:37" ht="18" customHeight="1">
      <c r="A79" s="95" t="s">
        <v>58</v>
      </c>
      <c r="B79" s="96" t="s">
        <v>179</v>
      </c>
      <c r="C79" s="95"/>
      <c r="D79" s="97"/>
      <c r="E79" s="95"/>
      <c r="F79" s="95"/>
      <c r="G79" s="95"/>
      <c r="H79" s="95"/>
      <c r="I79" s="97"/>
      <c r="J79" s="95"/>
      <c r="K79" s="97"/>
      <c r="L79" s="95"/>
      <c r="M79" s="95"/>
      <c r="N79" s="95"/>
      <c r="O79" s="95"/>
      <c r="P79" s="97"/>
      <c r="Q79" s="95"/>
      <c r="R79" s="97"/>
      <c r="S79" s="95"/>
      <c r="T79" s="95"/>
      <c r="U79" s="95"/>
      <c r="V79" s="95"/>
      <c r="W79" s="97"/>
      <c r="X79" s="95"/>
      <c r="Y79" s="97"/>
      <c r="Z79" s="95"/>
      <c r="AA79" s="95"/>
      <c r="AB79" s="95"/>
      <c r="AC79" s="95"/>
      <c r="AD79" s="97"/>
      <c r="AE79" s="95"/>
      <c r="AF79" s="97"/>
      <c r="AG79" s="95"/>
      <c r="AH79" s="66">
        <f t="shared" si="5"/>
        <v>0</v>
      </c>
      <c r="AI79" s="68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69" t="str">
        <f t="shared" si="6"/>
        <v>玹玹</v>
      </c>
      <c r="AK79" s="73"/>
    </row>
    <row r="80" spans="1:37" ht="18" customHeight="1">
      <c r="A80" s="95" t="s">
        <v>58</v>
      </c>
      <c r="B80" s="96" t="s">
        <v>85</v>
      </c>
      <c r="C80" s="95"/>
      <c r="D80" s="97"/>
      <c r="E80" s="95"/>
      <c r="F80" s="95"/>
      <c r="G80" s="95"/>
      <c r="H80" s="95"/>
      <c r="I80" s="97"/>
      <c r="J80" s="95"/>
      <c r="K80" s="97"/>
      <c r="L80" s="95"/>
      <c r="M80" s="95"/>
      <c r="N80" s="95"/>
      <c r="O80" s="95"/>
      <c r="P80" s="97"/>
      <c r="Q80" s="95"/>
      <c r="R80" s="97"/>
      <c r="S80" s="95"/>
      <c r="T80" s="95"/>
      <c r="U80" s="95"/>
      <c r="V80" s="95"/>
      <c r="W80" s="97"/>
      <c r="X80" s="95"/>
      <c r="Y80" s="97"/>
      <c r="Z80" s="95"/>
      <c r="AA80" s="95"/>
      <c r="AB80" s="95"/>
      <c r="AC80" s="95"/>
      <c r="AD80" s="97"/>
      <c r="AE80" s="95"/>
      <c r="AF80" s="97"/>
      <c r="AG80" s="95"/>
      <c r="AH80" s="66">
        <f t="shared" si="5"/>
        <v>0</v>
      </c>
      <c r="AI80" s="68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69" t="str">
        <f t="shared" si="6"/>
        <v>阿璽</v>
      </c>
      <c r="AK80" s="73"/>
    </row>
    <row r="81" spans="1:37" ht="18" customHeight="1">
      <c r="A81" s="95" t="s">
        <v>58</v>
      </c>
      <c r="B81" s="96" t="s">
        <v>33</v>
      </c>
      <c r="C81" s="95"/>
      <c r="D81" s="97"/>
      <c r="E81" s="95"/>
      <c r="F81" s="95"/>
      <c r="G81" s="95"/>
      <c r="H81" s="95"/>
      <c r="I81" s="97"/>
      <c r="J81" s="95"/>
      <c r="K81" s="97"/>
      <c r="L81" s="95"/>
      <c r="M81" s="95"/>
      <c r="N81" s="95"/>
      <c r="O81" s="95"/>
      <c r="P81" s="97"/>
      <c r="Q81" s="95"/>
      <c r="R81" s="97"/>
      <c r="S81" s="95"/>
      <c r="T81" s="95"/>
      <c r="U81" s="95"/>
      <c r="V81" s="95"/>
      <c r="W81" s="97"/>
      <c r="X81" s="95"/>
      <c r="Y81" s="97"/>
      <c r="Z81" s="95"/>
      <c r="AA81" s="95"/>
      <c r="AB81" s="95"/>
      <c r="AC81" s="95"/>
      <c r="AD81" s="97"/>
      <c r="AE81" s="95"/>
      <c r="AF81" s="97"/>
      <c r="AG81" s="95"/>
      <c r="AH81" s="66">
        <f t="shared" si="5"/>
        <v>0</v>
      </c>
      <c r="AI81" s="68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69" t="str">
        <f t="shared" si="6"/>
        <v>一飛</v>
      </c>
      <c r="AK81" s="73"/>
    </row>
    <row r="82" spans="1:37" ht="18" customHeight="1">
      <c r="A82" s="95" t="s">
        <v>58</v>
      </c>
      <c r="B82" s="96" t="s">
        <v>34</v>
      </c>
      <c r="C82" s="95"/>
      <c r="D82" s="97"/>
      <c r="E82" s="95"/>
      <c r="F82" s="95"/>
      <c r="G82" s="95"/>
      <c r="H82" s="95"/>
      <c r="I82" s="97"/>
      <c r="J82" s="95"/>
      <c r="K82" s="97"/>
      <c r="L82" s="95"/>
      <c r="M82" s="95"/>
      <c r="N82" s="95"/>
      <c r="O82" s="95"/>
      <c r="P82" s="97"/>
      <c r="Q82" s="95"/>
      <c r="R82" s="97"/>
      <c r="S82" s="95"/>
      <c r="T82" s="95"/>
      <c r="U82" s="95"/>
      <c r="V82" s="95"/>
      <c r="W82" s="97"/>
      <c r="X82" s="95"/>
      <c r="Y82" s="97"/>
      <c r="Z82" s="95"/>
      <c r="AA82" s="95"/>
      <c r="AB82" s="95"/>
      <c r="AC82" s="95"/>
      <c r="AD82" s="97"/>
      <c r="AE82" s="95"/>
      <c r="AF82" s="97"/>
      <c r="AG82" s="95"/>
      <c r="AH82" s="66">
        <f t="shared" si="5"/>
        <v>0</v>
      </c>
      <c r="AI82" s="68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69" t="str">
        <f t="shared" si="6"/>
        <v>雲翔</v>
      </c>
      <c r="AK82" s="70"/>
    </row>
    <row r="83" spans="1:37" ht="18" customHeight="1">
      <c r="A83" s="95" t="s">
        <v>58</v>
      </c>
      <c r="B83" s="96" t="s">
        <v>88</v>
      </c>
      <c r="C83" s="95"/>
      <c r="D83" s="97"/>
      <c r="E83" s="95"/>
      <c r="F83" s="95"/>
      <c r="G83" s="95"/>
      <c r="H83" s="95"/>
      <c r="I83" s="97"/>
      <c r="J83" s="95"/>
      <c r="K83" s="97"/>
      <c r="L83" s="95"/>
      <c r="M83" s="95"/>
      <c r="N83" s="95"/>
      <c r="O83" s="95"/>
      <c r="P83" s="97"/>
      <c r="Q83" s="95"/>
      <c r="R83" s="97"/>
      <c r="S83" s="95"/>
      <c r="T83" s="95"/>
      <c r="U83" s="95"/>
      <c r="V83" s="95"/>
      <c r="W83" s="97"/>
      <c r="X83" s="95"/>
      <c r="Y83" s="97"/>
      <c r="Z83" s="95"/>
      <c r="AA83" s="95"/>
      <c r="AB83" s="95"/>
      <c r="AC83" s="95"/>
      <c r="AD83" s="97"/>
      <c r="AE83" s="95"/>
      <c r="AF83" s="97"/>
      <c r="AG83" s="95"/>
      <c r="AH83" s="66">
        <f t="shared" si="5"/>
        <v>0</v>
      </c>
      <c r="AI83" s="68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69" t="str">
        <f t="shared" si="6"/>
        <v>皓皓</v>
      </c>
      <c r="AK83" s="70"/>
    </row>
    <row r="84" spans="1:37" ht="18" customHeight="1">
      <c r="A84" s="95" t="s">
        <v>58</v>
      </c>
      <c r="B84" s="96" t="s">
        <v>35</v>
      </c>
      <c r="C84" s="95"/>
      <c r="D84" s="97"/>
      <c r="E84" s="95"/>
      <c r="F84" s="95"/>
      <c r="G84" s="95"/>
      <c r="H84" s="95"/>
      <c r="I84" s="97"/>
      <c r="J84" s="95"/>
      <c r="K84" s="97"/>
      <c r="L84" s="95"/>
      <c r="M84" s="95"/>
      <c r="N84" s="95"/>
      <c r="O84" s="95"/>
      <c r="P84" s="97"/>
      <c r="Q84" s="95"/>
      <c r="R84" s="97"/>
      <c r="S84" s="95"/>
      <c r="T84" s="95"/>
      <c r="U84" s="95"/>
      <c r="V84" s="95"/>
      <c r="W84" s="97"/>
      <c r="X84" s="95"/>
      <c r="Y84" s="97"/>
      <c r="Z84" s="95"/>
      <c r="AA84" s="95"/>
      <c r="AB84" s="95"/>
      <c r="AC84" s="95"/>
      <c r="AD84" s="97"/>
      <c r="AE84" s="95"/>
      <c r="AF84" s="97"/>
      <c r="AG84" s="95"/>
      <c r="AH84" s="66">
        <f t="shared" si="5"/>
        <v>0</v>
      </c>
      <c r="AI84" s="68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69" t="str">
        <f t="shared" si="6"/>
        <v>阿戴</v>
      </c>
      <c r="AK84" s="70"/>
    </row>
    <row r="85" spans="1:37" ht="18" customHeight="1">
      <c r="A85" s="95" t="s">
        <v>58</v>
      </c>
      <c r="B85" s="96" t="s">
        <v>36</v>
      </c>
      <c r="C85" s="95"/>
      <c r="D85" s="97"/>
      <c r="E85" s="95"/>
      <c r="F85" s="95"/>
      <c r="G85" s="95"/>
      <c r="H85" s="95"/>
      <c r="I85" s="97"/>
      <c r="J85" s="95"/>
      <c r="K85" s="97"/>
      <c r="L85" s="95"/>
      <c r="M85" s="95"/>
      <c r="N85" s="95"/>
      <c r="O85" s="95"/>
      <c r="P85" s="97"/>
      <c r="Q85" s="95"/>
      <c r="R85" s="97"/>
      <c r="S85" s="95"/>
      <c r="T85" s="95"/>
      <c r="U85" s="95"/>
      <c r="V85" s="95"/>
      <c r="W85" s="97"/>
      <c r="X85" s="95"/>
      <c r="Y85" s="97"/>
      <c r="Z85" s="95">
        <v>1</v>
      </c>
      <c r="AA85" s="95"/>
      <c r="AB85" s="95"/>
      <c r="AC85" s="95"/>
      <c r="AD85" s="97"/>
      <c r="AE85" s="95"/>
      <c r="AF85" s="97"/>
      <c r="AG85" s="95"/>
      <c r="AH85" s="66">
        <f t="shared" si="5"/>
        <v>1</v>
      </c>
      <c r="AI85" s="68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69" t="str">
        <f t="shared" si="6"/>
        <v>子澔</v>
      </c>
      <c r="AK85" s="70"/>
    </row>
    <row r="86" spans="1:37" ht="18" customHeight="1">
      <c r="A86" s="95" t="s">
        <v>58</v>
      </c>
      <c r="B86" s="96" t="s">
        <v>37</v>
      </c>
      <c r="C86" s="95"/>
      <c r="D86" s="97"/>
      <c r="E86" s="95"/>
      <c r="F86" s="95"/>
      <c r="G86" s="95"/>
      <c r="H86" s="95"/>
      <c r="I86" s="97"/>
      <c r="J86" s="95"/>
      <c r="K86" s="97"/>
      <c r="L86" s="95"/>
      <c r="M86" s="95"/>
      <c r="N86" s="95"/>
      <c r="O86" s="95"/>
      <c r="P86" s="97"/>
      <c r="Q86" s="95"/>
      <c r="R86" s="97"/>
      <c r="S86" s="95">
        <v>1</v>
      </c>
      <c r="T86" s="95">
        <v>1</v>
      </c>
      <c r="U86" s="95"/>
      <c r="V86" s="95"/>
      <c r="W86" s="97"/>
      <c r="X86" s="95"/>
      <c r="Y86" s="97"/>
      <c r="Z86" s="95"/>
      <c r="AA86" s="95"/>
      <c r="AB86" s="95"/>
      <c r="AC86" s="95"/>
      <c r="AD86" s="97"/>
      <c r="AE86" s="95"/>
      <c r="AF86" s="97"/>
      <c r="AG86" s="95"/>
      <c r="AH86" s="66">
        <f t="shared" si="5"/>
        <v>2</v>
      </c>
      <c r="AI86" s="68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69" t="str">
        <f t="shared" si="6"/>
        <v>魚仔</v>
      </c>
      <c r="AK86" s="70"/>
    </row>
    <row r="87" spans="1:37" ht="18" customHeight="1">
      <c r="A87" s="95" t="s">
        <v>58</v>
      </c>
      <c r="B87" s="96" t="s">
        <v>87</v>
      </c>
      <c r="C87" s="95"/>
      <c r="D87" s="97"/>
      <c r="E87" s="95"/>
      <c r="F87" s="95"/>
      <c r="G87" s="95"/>
      <c r="H87" s="95"/>
      <c r="I87" s="97"/>
      <c r="J87" s="95"/>
      <c r="K87" s="97"/>
      <c r="L87" s="95"/>
      <c r="M87" s="95"/>
      <c r="N87" s="95"/>
      <c r="O87" s="95"/>
      <c r="P87" s="97"/>
      <c r="Q87" s="95"/>
      <c r="R87" s="97"/>
      <c r="S87" s="95"/>
      <c r="T87" s="95"/>
      <c r="U87" s="95">
        <v>1</v>
      </c>
      <c r="V87" s="95">
        <v>1</v>
      </c>
      <c r="W87" s="97"/>
      <c r="X87" s="95"/>
      <c r="Y87" s="97"/>
      <c r="Z87" s="95">
        <v>1</v>
      </c>
      <c r="AA87" s="95">
        <v>1</v>
      </c>
      <c r="AB87" s="95"/>
      <c r="AC87" s="95">
        <v>1</v>
      </c>
      <c r="AD87" s="97"/>
      <c r="AE87" s="95"/>
      <c r="AF87" s="97"/>
      <c r="AG87" s="95">
        <v>1</v>
      </c>
      <c r="AH87" s="66">
        <f t="shared" si="5"/>
        <v>6</v>
      </c>
      <c r="AI87" s="68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69" t="str">
        <f t="shared" si="6"/>
        <v>Mango</v>
      </c>
      <c r="AK87" s="70"/>
    </row>
    <row r="88" spans="1:37" ht="18" customHeight="1">
      <c r="A88" s="99" t="s">
        <v>58</v>
      </c>
      <c r="B88" s="100" t="s">
        <v>151</v>
      </c>
      <c r="C88" s="99"/>
      <c r="D88" s="97"/>
      <c r="E88" s="99"/>
      <c r="F88" s="99"/>
      <c r="G88" s="99"/>
      <c r="H88" s="99">
        <v>1</v>
      </c>
      <c r="I88" s="97"/>
      <c r="J88" s="99">
        <v>1</v>
      </c>
      <c r="K88" s="97"/>
      <c r="L88" s="99"/>
      <c r="M88" s="99">
        <v>1</v>
      </c>
      <c r="N88" s="99">
        <v>1</v>
      </c>
      <c r="O88" s="99"/>
      <c r="P88" s="97"/>
      <c r="Q88" s="99">
        <v>1</v>
      </c>
      <c r="R88" s="97"/>
      <c r="S88" s="99">
        <v>1</v>
      </c>
      <c r="T88" s="99"/>
      <c r="U88" s="99">
        <v>1</v>
      </c>
      <c r="V88" s="99"/>
      <c r="W88" s="97"/>
      <c r="X88" s="99">
        <v>1</v>
      </c>
      <c r="Y88" s="97"/>
      <c r="Z88" s="99">
        <v>1</v>
      </c>
      <c r="AA88" s="99">
        <v>1</v>
      </c>
      <c r="AB88" s="99"/>
      <c r="AC88" s="99"/>
      <c r="AD88" s="97"/>
      <c r="AE88" s="99">
        <v>1</v>
      </c>
      <c r="AF88" s="97"/>
      <c r="AG88" s="99"/>
      <c r="AH88" s="77">
        <f t="shared" si="5"/>
        <v>11</v>
      </c>
      <c r="AI88" s="98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79" t="str">
        <f t="shared" si="6"/>
        <v>宇嬅</v>
      </c>
      <c r="AK88" s="82"/>
    </row>
    <row r="89" spans="1:37" ht="18" customHeight="1">
      <c r="A89" s="99" t="s">
        <v>58</v>
      </c>
      <c r="B89" s="100" t="s">
        <v>152</v>
      </c>
      <c r="C89" s="99"/>
      <c r="D89" s="97"/>
      <c r="E89" s="99"/>
      <c r="F89" s="99"/>
      <c r="G89" s="99"/>
      <c r="H89" s="99"/>
      <c r="I89" s="97"/>
      <c r="J89" s="99"/>
      <c r="K89" s="97"/>
      <c r="L89" s="99"/>
      <c r="M89" s="99"/>
      <c r="N89" s="99"/>
      <c r="O89" s="99"/>
      <c r="P89" s="97"/>
      <c r="Q89" s="99"/>
      <c r="R89" s="97"/>
      <c r="S89" s="99"/>
      <c r="T89" s="99"/>
      <c r="U89" s="99"/>
      <c r="V89" s="99"/>
      <c r="W89" s="97"/>
      <c r="X89" s="99"/>
      <c r="Y89" s="97"/>
      <c r="Z89" s="99"/>
      <c r="AA89" s="99"/>
      <c r="AB89" s="99"/>
      <c r="AC89" s="99"/>
      <c r="AD89" s="97"/>
      <c r="AE89" s="99"/>
      <c r="AF89" s="97"/>
      <c r="AG89" s="99">
        <v>1</v>
      </c>
      <c r="AH89" s="77">
        <f t="shared" si="5"/>
        <v>1</v>
      </c>
      <c r="AI89" s="98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79" t="str">
        <f t="shared" si="6"/>
        <v>阿俗</v>
      </c>
      <c r="AK89" s="81"/>
    </row>
    <row r="90" spans="1:37" ht="18" customHeight="1">
      <c r="A90" s="99" t="s">
        <v>58</v>
      </c>
      <c r="B90" s="100" t="s">
        <v>153</v>
      </c>
      <c r="C90" s="99"/>
      <c r="D90" s="97"/>
      <c r="E90" s="99"/>
      <c r="F90" s="99"/>
      <c r="G90" s="99"/>
      <c r="H90" s="99"/>
      <c r="I90" s="97"/>
      <c r="J90" s="99"/>
      <c r="K90" s="97"/>
      <c r="L90" s="99"/>
      <c r="M90" s="99"/>
      <c r="N90" s="99"/>
      <c r="O90" s="99"/>
      <c r="P90" s="97"/>
      <c r="Q90" s="99"/>
      <c r="R90" s="97"/>
      <c r="S90" s="99"/>
      <c r="T90" s="99"/>
      <c r="U90" s="99">
        <v>1</v>
      </c>
      <c r="V90" s="99"/>
      <c r="W90" s="97"/>
      <c r="X90" s="99"/>
      <c r="Y90" s="97"/>
      <c r="Z90" s="99">
        <v>1</v>
      </c>
      <c r="AA90" s="99"/>
      <c r="AB90" s="99"/>
      <c r="AC90" s="99"/>
      <c r="AD90" s="97"/>
      <c r="AE90" s="99"/>
      <c r="AF90" s="97"/>
      <c r="AG90" s="99"/>
      <c r="AH90" s="77">
        <f t="shared" si="5"/>
        <v>2</v>
      </c>
      <c r="AI90" s="98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79" t="str">
        <f t="shared" si="6"/>
        <v>傻妹</v>
      </c>
      <c r="AK90" s="81"/>
    </row>
    <row r="91" spans="1:37" ht="18" customHeight="1">
      <c r="A91" s="99" t="s">
        <v>58</v>
      </c>
      <c r="B91" s="100" t="s">
        <v>96</v>
      </c>
      <c r="C91" s="99"/>
      <c r="D91" s="97"/>
      <c r="E91" s="99"/>
      <c r="F91" s="99"/>
      <c r="G91" s="99"/>
      <c r="H91" s="99"/>
      <c r="I91" s="97"/>
      <c r="J91" s="99"/>
      <c r="K91" s="97"/>
      <c r="L91" s="99"/>
      <c r="M91" s="99"/>
      <c r="N91" s="99"/>
      <c r="O91" s="99"/>
      <c r="P91" s="97"/>
      <c r="Q91" s="99">
        <v>1</v>
      </c>
      <c r="R91" s="97"/>
      <c r="S91" s="99"/>
      <c r="T91" s="99"/>
      <c r="U91" s="99"/>
      <c r="V91" s="99">
        <v>1</v>
      </c>
      <c r="W91" s="97"/>
      <c r="X91" s="99">
        <v>1</v>
      </c>
      <c r="Y91" s="97"/>
      <c r="Z91" s="99"/>
      <c r="AA91" s="99"/>
      <c r="AB91" s="99"/>
      <c r="AC91" s="99">
        <v>1</v>
      </c>
      <c r="AD91" s="97"/>
      <c r="AE91" s="99"/>
      <c r="AF91" s="97"/>
      <c r="AG91" s="99"/>
      <c r="AH91" s="77">
        <f t="shared" si="5"/>
        <v>4</v>
      </c>
      <c r="AI91" s="98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79" t="str">
        <f t="shared" si="6"/>
        <v>靜婷</v>
      </c>
      <c r="AK91" s="81"/>
    </row>
    <row r="92" spans="1:37" ht="18" customHeight="1">
      <c r="A92" s="99" t="s">
        <v>58</v>
      </c>
      <c r="B92" s="100" t="s">
        <v>154</v>
      </c>
      <c r="C92" s="99"/>
      <c r="D92" s="97"/>
      <c r="E92" s="99"/>
      <c r="F92" s="99"/>
      <c r="G92" s="99"/>
      <c r="H92" s="99"/>
      <c r="I92" s="97"/>
      <c r="J92" s="99"/>
      <c r="K92" s="97"/>
      <c r="L92" s="99"/>
      <c r="M92" s="99"/>
      <c r="N92" s="99"/>
      <c r="O92" s="99"/>
      <c r="P92" s="97"/>
      <c r="Q92" s="99"/>
      <c r="R92" s="97"/>
      <c r="S92" s="99"/>
      <c r="T92" s="99"/>
      <c r="U92" s="99"/>
      <c r="V92" s="99">
        <v>1</v>
      </c>
      <c r="W92" s="97"/>
      <c r="X92" s="99"/>
      <c r="Y92" s="97"/>
      <c r="Z92" s="99"/>
      <c r="AA92" s="99">
        <v>1</v>
      </c>
      <c r="AB92" s="99"/>
      <c r="AC92" s="99"/>
      <c r="AD92" s="97"/>
      <c r="AE92" s="99"/>
      <c r="AF92" s="97"/>
      <c r="AG92" s="99"/>
      <c r="AH92" s="77">
        <f t="shared" si="5"/>
        <v>2</v>
      </c>
      <c r="AI92" s="98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79" t="str">
        <f t="shared" si="6"/>
        <v>筱攸</v>
      </c>
      <c r="AK92" s="81"/>
    </row>
    <row r="93" spans="1:37" ht="18" customHeight="1">
      <c r="A93" s="99" t="s">
        <v>58</v>
      </c>
      <c r="B93" s="100" t="s">
        <v>155</v>
      </c>
      <c r="C93" s="99"/>
      <c r="D93" s="97"/>
      <c r="E93" s="99"/>
      <c r="F93" s="99"/>
      <c r="G93" s="99"/>
      <c r="H93" s="99"/>
      <c r="I93" s="97"/>
      <c r="J93" s="99"/>
      <c r="K93" s="97"/>
      <c r="L93" s="99"/>
      <c r="M93" s="99"/>
      <c r="N93" s="99"/>
      <c r="O93" s="99"/>
      <c r="P93" s="97"/>
      <c r="Q93" s="99"/>
      <c r="R93" s="97"/>
      <c r="S93" s="99"/>
      <c r="T93" s="99"/>
      <c r="U93" s="99"/>
      <c r="V93" s="99"/>
      <c r="W93" s="97"/>
      <c r="X93" s="99"/>
      <c r="Y93" s="97"/>
      <c r="Z93" s="99"/>
      <c r="AA93" s="99"/>
      <c r="AB93" s="99"/>
      <c r="AC93" s="99"/>
      <c r="AD93" s="97"/>
      <c r="AE93" s="99"/>
      <c r="AF93" s="97"/>
      <c r="AG93" s="99"/>
      <c r="AH93" s="77">
        <f t="shared" si="5"/>
        <v>0</v>
      </c>
      <c r="AI93" s="98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79" t="str">
        <f t="shared" si="6"/>
        <v>康康</v>
      </c>
      <c r="AK93" s="81"/>
    </row>
    <row r="94" spans="1:37" ht="18" customHeight="1">
      <c r="A94" s="99" t="s">
        <v>58</v>
      </c>
      <c r="B94" s="100" t="s">
        <v>156</v>
      </c>
      <c r="C94" s="99"/>
      <c r="D94" s="97"/>
      <c r="E94" s="99"/>
      <c r="F94" s="99"/>
      <c r="G94" s="99"/>
      <c r="H94" s="99"/>
      <c r="I94" s="97"/>
      <c r="J94" s="99"/>
      <c r="K94" s="97"/>
      <c r="L94" s="99"/>
      <c r="M94" s="99"/>
      <c r="N94" s="99"/>
      <c r="O94" s="99"/>
      <c r="P94" s="97"/>
      <c r="Q94" s="99"/>
      <c r="R94" s="97"/>
      <c r="S94" s="99"/>
      <c r="T94" s="99"/>
      <c r="U94" s="99"/>
      <c r="V94" s="99"/>
      <c r="W94" s="97"/>
      <c r="X94" s="99"/>
      <c r="Y94" s="97"/>
      <c r="Z94" s="99"/>
      <c r="AA94" s="99"/>
      <c r="AB94" s="99"/>
      <c r="AC94" s="99"/>
      <c r="AD94" s="97"/>
      <c r="AE94" s="99"/>
      <c r="AF94" s="97"/>
      <c r="AG94" s="99"/>
      <c r="AH94" s="77">
        <f t="shared" si="5"/>
        <v>0</v>
      </c>
      <c r="AI94" s="98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79" t="str">
        <f t="shared" si="6"/>
        <v>阿金</v>
      </c>
      <c r="AK94" s="81"/>
    </row>
    <row r="95" spans="1:37" ht="18" customHeight="1">
      <c r="A95" s="99" t="s">
        <v>58</v>
      </c>
      <c r="B95" s="100" t="s">
        <v>157</v>
      </c>
      <c r="C95" s="99"/>
      <c r="D95" s="97"/>
      <c r="E95" s="99"/>
      <c r="F95" s="99"/>
      <c r="G95" s="99"/>
      <c r="H95" s="99"/>
      <c r="I95" s="97"/>
      <c r="J95" s="99"/>
      <c r="K95" s="97"/>
      <c r="L95" s="99"/>
      <c r="M95" s="99"/>
      <c r="N95" s="99"/>
      <c r="O95" s="99"/>
      <c r="P95" s="97"/>
      <c r="Q95" s="99"/>
      <c r="R95" s="97"/>
      <c r="S95" s="99"/>
      <c r="T95" s="99"/>
      <c r="U95" s="99"/>
      <c r="V95" s="99"/>
      <c r="W95" s="97"/>
      <c r="X95" s="99"/>
      <c r="Y95" s="97"/>
      <c r="Z95" s="99"/>
      <c r="AA95" s="99"/>
      <c r="AB95" s="99"/>
      <c r="AC95" s="99"/>
      <c r="AD95" s="97"/>
      <c r="AE95" s="99"/>
      <c r="AF95" s="97"/>
      <c r="AG95" s="99"/>
      <c r="AH95" s="77">
        <f t="shared" si="5"/>
        <v>0</v>
      </c>
      <c r="AI95" s="98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79" t="str">
        <f t="shared" si="6"/>
        <v>派大</v>
      </c>
      <c r="AK95" s="81"/>
    </row>
    <row r="96" spans="1:37" ht="18" customHeight="1">
      <c r="A96" s="99" t="s">
        <v>58</v>
      </c>
      <c r="B96" s="100" t="s">
        <v>158</v>
      </c>
      <c r="C96" s="99"/>
      <c r="D96" s="97"/>
      <c r="E96" s="99"/>
      <c r="F96" s="99"/>
      <c r="G96" s="99"/>
      <c r="H96" s="99"/>
      <c r="I96" s="97"/>
      <c r="J96" s="99"/>
      <c r="K96" s="97"/>
      <c r="L96" s="99"/>
      <c r="M96" s="99"/>
      <c r="N96" s="99"/>
      <c r="O96" s="99"/>
      <c r="P96" s="97"/>
      <c r="Q96" s="99"/>
      <c r="R96" s="97"/>
      <c r="S96" s="99"/>
      <c r="T96" s="99"/>
      <c r="U96" s="99"/>
      <c r="V96" s="99"/>
      <c r="W96" s="97"/>
      <c r="X96" s="99"/>
      <c r="Y96" s="97"/>
      <c r="Z96" s="99"/>
      <c r="AA96" s="99"/>
      <c r="AB96" s="99"/>
      <c r="AC96" s="99"/>
      <c r="AD96" s="97"/>
      <c r="AE96" s="99"/>
      <c r="AF96" s="97"/>
      <c r="AG96" s="99"/>
      <c r="AH96" s="77">
        <f t="shared" si="5"/>
        <v>0</v>
      </c>
      <c r="AI96" s="98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79" t="str">
        <f t="shared" si="6"/>
        <v>吉娃</v>
      </c>
      <c r="AK96" s="81"/>
    </row>
    <row r="97" spans="1:37" ht="18" customHeight="1">
      <c r="A97" s="99" t="s">
        <v>58</v>
      </c>
      <c r="B97" s="100" t="s">
        <v>159</v>
      </c>
      <c r="C97" s="99"/>
      <c r="D97" s="97"/>
      <c r="E97" s="99"/>
      <c r="F97" s="99"/>
      <c r="G97" s="99"/>
      <c r="H97" s="99"/>
      <c r="I97" s="97"/>
      <c r="J97" s="99"/>
      <c r="K97" s="97"/>
      <c r="L97" s="99"/>
      <c r="M97" s="99"/>
      <c r="N97" s="99"/>
      <c r="O97" s="99"/>
      <c r="P97" s="97"/>
      <c r="Q97" s="99"/>
      <c r="R97" s="97"/>
      <c r="S97" s="99"/>
      <c r="T97" s="99"/>
      <c r="U97" s="99"/>
      <c r="V97" s="99"/>
      <c r="W97" s="97"/>
      <c r="X97" s="99"/>
      <c r="Y97" s="97"/>
      <c r="Z97" s="99"/>
      <c r="AA97" s="99"/>
      <c r="AB97" s="99"/>
      <c r="AC97" s="99"/>
      <c r="AD97" s="97"/>
      <c r="AE97" s="99"/>
      <c r="AF97" s="97"/>
      <c r="AG97" s="99"/>
      <c r="AH97" s="77">
        <f t="shared" si="5"/>
        <v>0</v>
      </c>
      <c r="AI97" s="98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79" t="str">
        <f t="shared" si="6"/>
        <v>小寧</v>
      </c>
      <c r="AK97" s="81"/>
    </row>
    <row r="98" spans="1:37" ht="18" customHeight="1">
      <c r="A98" s="99" t="s">
        <v>58</v>
      </c>
      <c r="B98" s="100" t="s">
        <v>160</v>
      </c>
      <c r="C98" s="99"/>
      <c r="D98" s="97"/>
      <c r="E98" s="99"/>
      <c r="F98" s="99"/>
      <c r="G98" s="99"/>
      <c r="H98" s="99"/>
      <c r="I98" s="97"/>
      <c r="J98" s="99"/>
      <c r="K98" s="97"/>
      <c r="L98" s="99"/>
      <c r="M98" s="99"/>
      <c r="N98" s="99"/>
      <c r="O98" s="99"/>
      <c r="P98" s="97"/>
      <c r="Q98" s="99"/>
      <c r="R98" s="97"/>
      <c r="S98" s="99"/>
      <c r="T98" s="99"/>
      <c r="U98" s="99"/>
      <c r="V98" s="99"/>
      <c r="W98" s="97"/>
      <c r="X98" s="99"/>
      <c r="Y98" s="97"/>
      <c r="Z98" s="99"/>
      <c r="AA98" s="99"/>
      <c r="AB98" s="99"/>
      <c r="AC98" s="99"/>
      <c r="AD98" s="97"/>
      <c r="AE98" s="99"/>
      <c r="AF98" s="97"/>
      <c r="AG98" s="99"/>
      <c r="AH98" s="77">
        <f t="shared" si="5"/>
        <v>0</v>
      </c>
      <c r="AI98" s="98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79" t="str">
        <f t="shared" si="6"/>
        <v>小妹</v>
      </c>
      <c r="AK98" s="81"/>
    </row>
    <row r="99" spans="1:37" ht="18" customHeight="1">
      <c r="A99" s="99" t="s">
        <v>58</v>
      </c>
      <c r="B99" s="100" t="s">
        <v>101</v>
      </c>
      <c r="C99" s="99"/>
      <c r="D99" s="97"/>
      <c r="E99" s="99"/>
      <c r="F99" s="99"/>
      <c r="G99" s="99"/>
      <c r="H99" s="99"/>
      <c r="I99" s="97"/>
      <c r="J99" s="99"/>
      <c r="K99" s="97"/>
      <c r="L99" s="99"/>
      <c r="M99" s="99"/>
      <c r="N99" s="99"/>
      <c r="O99" s="99"/>
      <c r="P99" s="97"/>
      <c r="Q99" s="99"/>
      <c r="R99" s="97"/>
      <c r="S99" s="99"/>
      <c r="T99" s="99"/>
      <c r="U99" s="99"/>
      <c r="V99" s="99"/>
      <c r="W99" s="97"/>
      <c r="X99" s="99"/>
      <c r="Y99" s="97"/>
      <c r="Z99" s="99"/>
      <c r="AA99" s="99"/>
      <c r="AB99" s="99"/>
      <c r="AC99" s="99"/>
      <c r="AD99" s="97"/>
      <c r="AE99" s="99"/>
      <c r="AF99" s="97"/>
      <c r="AG99" s="99"/>
      <c r="AH99" s="77">
        <f t="shared" si="5"/>
        <v>0</v>
      </c>
      <c r="AI99" s="98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79" t="str">
        <f t="shared" si="6"/>
        <v>文媛</v>
      </c>
      <c r="AK99" s="81"/>
    </row>
    <row r="100" spans="1:37" ht="18" customHeight="1">
      <c r="A100" s="99" t="s">
        <v>58</v>
      </c>
      <c r="B100" s="100" t="s">
        <v>161</v>
      </c>
      <c r="C100" s="99"/>
      <c r="D100" s="97"/>
      <c r="E100" s="99"/>
      <c r="F100" s="99"/>
      <c r="G100" s="99"/>
      <c r="H100" s="99"/>
      <c r="I100" s="97"/>
      <c r="J100" s="99"/>
      <c r="K100" s="97"/>
      <c r="L100" s="99"/>
      <c r="M100" s="99"/>
      <c r="N100" s="99"/>
      <c r="O100" s="99"/>
      <c r="P100" s="97"/>
      <c r="Q100" s="99"/>
      <c r="R100" s="97"/>
      <c r="S100" s="99"/>
      <c r="T100" s="99"/>
      <c r="U100" s="99"/>
      <c r="V100" s="99"/>
      <c r="W100" s="97"/>
      <c r="X100" s="99"/>
      <c r="Y100" s="97"/>
      <c r="Z100" s="99"/>
      <c r="AA100" s="99"/>
      <c r="AB100" s="99"/>
      <c r="AC100" s="99"/>
      <c r="AD100" s="97"/>
      <c r="AE100" s="99"/>
      <c r="AF100" s="97"/>
      <c r="AG100" s="99"/>
      <c r="AH100" s="77">
        <f t="shared" ref="AH100:AH131" si="7">COUNTA(C100:AG100)</f>
        <v>0</v>
      </c>
      <c r="AI100" s="98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79" t="str">
        <f t="shared" ref="AJ100:AJ133" si="8">B100</f>
        <v>佩鈺</v>
      </c>
      <c r="AK100" s="81"/>
    </row>
    <row r="101" spans="1:37" ht="18" customHeight="1">
      <c r="A101" s="99" t="s">
        <v>58</v>
      </c>
      <c r="B101" s="100" t="s">
        <v>162</v>
      </c>
      <c r="C101" s="99"/>
      <c r="D101" s="97"/>
      <c r="E101" s="99"/>
      <c r="F101" s="99"/>
      <c r="G101" s="99"/>
      <c r="H101" s="99"/>
      <c r="I101" s="97"/>
      <c r="J101" s="99"/>
      <c r="K101" s="97"/>
      <c r="L101" s="99"/>
      <c r="M101" s="99"/>
      <c r="N101" s="99"/>
      <c r="O101" s="99"/>
      <c r="P101" s="97"/>
      <c r="Q101" s="99"/>
      <c r="R101" s="97"/>
      <c r="S101" s="99"/>
      <c r="T101" s="99"/>
      <c r="U101" s="99"/>
      <c r="V101" s="99"/>
      <c r="W101" s="97"/>
      <c r="X101" s="99"/>
      <c r="Y101" s="97"/>
      <c r="Z101" s="99"/>
      <c r="AA101" s="99"/>
      <c r="AB101" s="99"/>
      <c r="AC101" s="99"/>
      <c r="AD101" s="97"/>
      <c r="AE101" s="99"/>
      <c r="AF101" s="97"/>
      <c r="AG101" s="99"/>
      <c r="AH101" s="77">
        <f t="shared" si="7"/>
        <v>0</v>
      </c>
      <c r="AI101" s="98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79" t="str">
        <f t="shared" si="8"/>
        <v>阿布</v>
      </c>
      <c r="AK101" s="81"/>
    </row>
    <row r="102" spans="1:37" ht="18" customHeight="1">
      <c r="A102" s="99" t="s">
        <v>58</v>
      </c>
      <c r="B102" s="100" t="s">
        <v>100</v>
      </c>
      <c r="C102" s="99"/>
      <c r="D102" s="97"/>
      <c r="E102" s="99"/>
      <c r="F102" s="99"/>
      <c r="G102" s="99"/>
      <c r="H102" s="99"/>
      <c r="I102" s="97"/>
      <c r="J102" s="99"/>
      <c r="K102" s="97"/>
      <c r="L102" s="99"/>
      <c r="M102" s="99"/>
      <c r="N102" s="99"/>
      <c r="O102" s="99"/>
      <c r="P102" s="97"/>
      <c r="Q102" s="99"/>
      <c r="R102" s="97"/>
      <c r="S102" s="99"/>
      <c r="T102" s="99"/>
      <c r="U102" s="99"/>
      <c r="V102" s="99"/>
      <c r="W102" s="97"/>
      <c r="X102" s="99"/>
      <c r="Y102" s="97"/>
      <c r="Z102" s="99"/>
      <c r="AA102" s="99"/>
      <c r="AB102" s="99"/>
      <c r="AC102" s="99"/>
      <c r="AD102" s="97"/>
      <c r="AE102" s="99"/>
      <c r="AF102" s="97"/>
      <c r="AG102" s="99"/>
      <c r="AH102" s="77">
        <f t="shared" si="7"/>
        <v>0</v>
      </c>
      <c r="AI102" s="98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79" t="str">
        <f t="shared" si="8"/>
        <v>餅餅</v>
      </c>
      <c r="AK102" s="81"/>
    </row>
    <row r="103" spans="1:37" ht="18" customHeight="1">
      <c r="A103" s="99" t="s">
        <v>58</v>
      </c>
      <c r="B103" s="100" t="s">
        <v>163</v>
      </c>
      <c r="C103" s="99"/>
      <c r="D103" s="97"/>
      <c r="E103" s="99"/>
      <c r="F103" s="99"/>
      <c r="G103" s="99"/>
      <c r="H103" s="99"/>
      <c r="I103" s="97"/>
      <c r="J103" s="99">
        <v>1</v>
      </c>
      <c r="K103" s="97"/>
      <c r="L103" s="99"/>
      <c r="M103" s="99"/>
      <c r="N103" s="99"/>
      <c r="O103" s="99"/>
      <c r="P103" s="97"/>
      <c r="Q103" s="99"/>
      <c r="R103" s="97"/>
      <c r="S103" s="99"/>
      <c r="T103" s="99"/>
      <c r="U103" s="99"/>
      <c r="V103" s="99"/>
      <c r="W103" s="97"/>
      <c r="X103" s="99"/>
      <c r="Y103" s="97"/>
      <c r="Z103" s="99"/>
      <c r="AA103" s="99"/>
      <c r="AB103" s="99"/>
      <c r="AC103" s="99"/>
      <c r="AD103" s="97"/>
      <c r="AE103" s="99"/>
      <c r="AF103" s="97"/>
      <c r="AG103" s="99"/>
      <c r="AH103" s="77">
        <f t="shared" si="7"/>
        <v>1</v>
      </c>
      <c r="AI103" s="98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79" t="str">
        <f t="shared" si="8"/>
        <v>小個</v>
      </c>
      <c r="AK103" s="81"/>
    </row>
    <row r="104" spans="1:37" ht="18" customHeight="1">
      <c r="A104" s="99" t="s">
        <v>58</v>
      </c>
      <c r="B104" s="100" t="s">
        <v>164</v>
      </c>
      <c r="C104" s="99"/>
      <c r="D104" s="97"/>
      <c r="E104" s="99"/>
      <c r="F104" s="99"/>
      <c r="G104" s="99"/>
      <c r="H104" s="99"/>
      <c r="I104" s="97"/>
      <c r="J104" s="99">
        <v>1</v>
      </c>
      <c r="K104" s="97"/>
      <c r="L104" s="99"/>
      <c r="M104" s="99"/>
      <c r="N104" s="99"/>
      <c r="O104" s="99"/>
      <c r="P104" s="97"/>
      <c r="Q104" s="99"/>
      <c r="R104" s="97"/>
      <c r="S104" s="99"/>
      <c r="T104" s="99"/>
      <c r="U104" s="99"/>
      <c r="V104" s="99"/>
      <c r="W104" s="97"/>
      <c r="X104" s="99"/>
      <c r="Y104" s="97"/>
      <c r="Z104" s="99"/>
      <c r="AA104" s="99"/>
      <c r="AB104" s="99"/>
      <c r="AC104" s="99"/>
      <c r="AD104" s="97"/>
      <c r="AE104" s="99"/>
      <c r="AF104" s="97"/>
      <c r="AG104" s="99"/>
      <c r="AH104" s="77">
        <f t="shared" si="7"/>
        <v>1</v>
      </c>
      <c r="AI104" s="98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79" t="str">
        <f t="shared" si="8"/>
        <v>小菜</v>
      </c>
      <c r="AK104" s="81"/>
    </row>
    <row r="105" spans="1:37" ht="18" customHeight="1">
      <c r="A105" s="99" t="s">
        <v>58</v>
      </c>
      <c r="B105" s="100" t="s">
        <v>102</v>
      </c>
      <c r="C105" s="99"/>
      <c r="D105" s="97"/>
      <c r="E105" s="99"/>
      <c r="F105" s="99"/>
      <c r="G105" s="99"/>
      <c r="H105" s="99"/>
      <c r="I105" s="97"/>
      <c r="J105" s="99"/>
      <c r="K105" s="97"/>
      <c r="L105" s="99"/>
      <c r="M105" s="99"/>
      <c r="N105" s="99"/>
      <c r="O105" s="99"/>
      <c r="P105" s="97"/>
      <c r="Q105" s="99"/>
      <c r="R105" s="97"/>
      <c r="S105" s="99">
        <v>1</v>
      </c>
      <c r="T105" s="99"/>
      <c r="U105" s="99">
        <v>1</v>
      </c>
      <c r="V105" s="99"/>
      <c r="W105" s="97"/>
      <c r="X105" s="99"/>
      <c r="Y105" s="97"/>
      <c r="Z105" s="99"/>
      <c r="AA105" s="99"/>
      <c r="AB105" s="99">
        <v>1</v>
      </c>
      <c r="AC105" s="99"/>
      <c r="AD105" s="97"/>
      <c r="AE105" s="99"/>
      <c r="AF105" s="97"/>
      <c r="AG105" s="99"/>
      <c r="AH105" s="77">
        <f t="shared" si="7"/>
        <v>3</v>
      </c>
      <c r="AI105" s="98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79" t="str">
        <f t="shared" si="8"/>
        <v>妮妮</v>
      </c>
      <c r="AK105" s="81"/>
    </row>
    <row r="106" spans="1:37" ht="18" customHeight="1">
      <c r="A106" s="99" t="s">
        <v>58</v>
      </c>
      <c r="B106" s="100" t="s">
        <v>165</v>
      </c>
      <c r="C106" s="99"/>
      <c r="D106" s="97"/>
      <c r="E106" s="99"/>
      <c r="F106" s="99"/>
      <c r="G106" s="99"/>
      <c r="H106" s="99">
        <v>1</v>
      </c>
      <c r="I106" s="97"/>
      <c r="J106" s="99"/>
      <c r="K106" s="97"/>
      <c r="L106" s="99">
        <v>1</v>
      </c>
      <c r="M106" s="99"/>
      <c r="N106" s="99"/>
      <c r="O106" s="99"/>
      <c r="P106" s="97"/>
      <c r="Q106" s="99"/>
      <c r="R106" s="97"/>
      <c r="S106" s="99"/>
      <c r="T106" s="99"/>
      <c r="U106" s="99"/>
      <c r="V106" s="99"/>
      <c r="W106" s="97"/>
      <c r="X106" s="99"/>
      <c r="Y106" s="97"/>
      <c r="Z106" s="99"/>
      <c r="AA106" s="99"/>
      <c r="AB106" s="99">
        <v>1</v>
      </c>
      <c r="AC106" s="99"/>
      <c r="AD106" s="97"/>
      <c r="AE106" s="99"/>
      <c r="AF106" s="97"/>
      <c r="AG106" s="99"/>
      <c r="AH106" s="77">
        <f t="shared" si="7"/>
        <v>3</v>
      </c>
      <c r="AI106" s="98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79" t="str">
        <f t="shared" si="8"/>
        <v>小貓</v>
      </c>
      <c r="AK106" s="81"/>
    </row>
    <row r="107" spans="1:37" ht="18" customHeight="1">
      <c r="A107" s="99" t="s">
        <v>58</v>
      </c>
      <c r="B107" s="100" t="s">
        <v>166</v>
      </c>
      <c r="C107" s="99"/>
      <c r="D107" s="97"/>
      <c r="E107" s="99"/>
      <c r="F107" s="99"/>
      <c r="G107" s="99"/>
      <c r="H107" s="99"/>
      <c r="I107" s="97"/>
      <c r="J107" s="99"/>
      <c r="K107" s="97"/>
      <c r="L107" s="99"/>
      <c r="M107" s="99"/>
      <c r="N107" s="99"/>
      <c r="O107" s="99"/>
      <c r="P107" s="97"/>
      <c r="Q107" s="99"/>
      <c r="R107" s="97"/>
      <c r="S107" s="99"/>
      <c r="T107" s="99"/>
      <c r="U107" s="99"/>
      <c r="V107" s="99"/>
      <c r="W107" s="97"/>
      <c r="X107" s="99"/>
      <c r="Y107" s="97"/>
      <c r="Z107" s="99"/>
      <c r="AA107" s="99"/>
      <c r="AB107" s="99"/>
      <c r="AC107" s="99"/>
      <c r="AD107" s="97"/>
      <c r="AE107" s="99"/>
      <c r="AF107" s="97"/>
      <c r="AG107" s="99"/>
      <c r="AH107" s="77">
        <f t="shared" si="7"/>
        <v>0</v>
      </c>
      <c r="AI107" s="98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79" t="str">
        <f t="shared" si="8"/>
        <v>哈比</v>
      </c>
      <c r="AK107" s="81"/>
    </row>
    <row r="108" spans="1:37" ht="18" customHeight="1">
      <c r="A108" s="101" t="s">
        <v>58</v>
      </c>
      <c r="B108" s="102" t="s">
        <v>124</v>
      </c>
      <c r="C108" s="101"/>
      <c r="D108" s="97"/>
      <c r="E108" s="101"/>
      <c r="F108" s="101">
        <v>1</v>
      </c>
      <c r="G108" s="101"/>
      <c r="H108" s="101"/>
      <c r="I108" s="97"/>
      <c r="J108" s="101">
        <v>1</v>
      </c>
      <c r="K108" s="97"/>
      <c r="L108" s="101"/>
      <c r="M108" s="101"/>
      <c r="N108" s="101"/>
      <c r="O108" s="101"/>
      <c r="P108" s="97"/>
      <c r="Q108" s="101"/>
      <c r="R108" s="97"/>
      <c r="S108" s="101"/>
      <c r="T108" s="101"/>
      <c r="U108" s="101"/>
      <c r="V108" s="101"/>
      <c r="W108" s="97"/>
      <c r="X108" s="101"/>
      <c r="Y108" s="97"/>
      <c r="Z108" s="101"/>
      <c r="AA108" s="101"/>
      <c r="AB108" s="101"/>
      <c r="AC108" s="101"/>
      <c r="AD108" s="97"/>
      <c r="AE108" s="101"/>
      <c r="AF108" s="97"/>
      <c r="AG108" s="101"/>
      <c r="AH108" s="86">
        <f t="shared" si="7"/>
        <v>2</v>
      </c>
      <c r="AI108" s="103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88" t="str">
        <f t="shared" si="8"/>
        <v>玉蕙</v>
      </c>
      <c r="AK108" s="89"/>
    </row>
    <row r="109" spans="1:37" ht="18" customHeight="1">
      <c r="A109" s="101" t="s">
        <v>58</v>
      </c>
      <c r="B109" s="102" t="s">
        <v>125</v>
      </c>
      <c r="C109" s="101"/>
      <c r="D109" s="97"/>
      <c r="E109" s="101"/>
      <c r="F109" s="101"/>
      <c r="G109" s="101"/>
      <c r="H109" s="101"/>
      <c r="I109" s="97"/>
      <c r="J109" s="101"/>
      <c r="K109" s="97"/>
      <c r="L109" s="101"/>
      <c r="M109" s="101"/>
      <c r="N109" s="101"/>
      <c r="O109" s="101"/>
      <c r="P109" s="97"/>
      <c r="Q109" s="101"/>
      <c r="R109" s="97"/>
      <c r="S109" s="101"/>
      <c r="T109" s="101"/>
      <c r="U109" s="101"/>
      <c r="V109" s="101"/>
      <c r="W109" s="97"/>
      <c r="X109" s="101"/>
      <c r="Y109" s="97"/>
      <c r="Z109" s="101"/>
      <c r="AA109" s="101"/>
      <c r="AB109" s="101"/>
      <c r="AC109" s="101"/>
      <c r="AD109" s="97"/>
      <c r="AE109" s="101"/>
      <c r="AF109" s="97"/>
      <c r="AG109" s="101"/>
      <c r="AH109" s="86">
        <f t="shared" si="7"/>
        <v>0</v>
      </c>
      <c r="AI109" s="103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88" t="str">
        <f t="shared" si="8"/>
        <v>沛緁</v>
      </c>
      <c r="AK109" s="89"/>
    </row>
    <row r="110" spans="1:37" ht="18" customHeight="1">
      <c r="A110" s="101" t="s">
        <v>58</v>
      </c>
      <c r="B110" s="102" t="s">
        <v>126</v>
      </c>
      <c r="C110" s="101"/>
      <c r="D110" s="97"/>
      <c r="E110" s="101"/>
      <c r="F110" s="101"/>
      <c r="G110" s="101"/>
      <c r="H110" s="101"/>
      <c r="I110" s="97"/>
      <c r="J110" s="101"/>
      <c r="K110" s="97"/>
      <c r="L110" s="101"/>
      <c r="M110" s="101"/>
      <c r="N110" s="101"/>
      <c r="O110" s="101"/>
      <c r="P110" s="97"/>
      <c r="Q110" s="101"/>
      <c r="R110" s="97"/>
      <c r="S110" s="101"/>
      <c r="T110" s="101"/>
      <c r="U110" s="101"/>
      <c r="V110" s="101">
        <v>1</v>
      </c>
      <c r="W110" s="97"/>
      <c r="X110" s="101">
        <v>1</v>
      </c>
      <c r="Y110" s="97"/>
      <c r="Z110" s="101"/>
      <c r="AA110" s="101"/>
      <c r="AB110" s="101"/>
      <c r="AC110" s="101">
        <v>1</v>
      </c>
      <c r="AD110" s="97"/>
      <c r="AE110" s="101">
        <v>1</v>
      </c>
      <c r="AF110" s="97"/>
      <c r="AG110" s="101"/>
      <c r="AH110" s="86">
        <f t="shared" si="7"/>
        <v>4</v>
      </c>
      <c r="AI110" s="103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88" t="str">
        <f t="shared" si="8"/>
        <v>妹妹</v>
      </c>
      <c r="AK110" s="89"/>
    </row>
    <row r="111" spans="1:37" ht="18" customHeight="1">
      <c r="A111" s="101" t="s">
        <v>58</v>
      </c>
      <c r="B111" s="102" t="s">
        <v>127</v>
      </c>
      <c r="C111" s="101"/>
      <c r="D111" s="97"/>
      <c r="E111" s="101"/>
      <c r="F111" s="101"/>
      <c r="G111" s="101"/>
      <c r="H111" s="101"/>
      <c r="I111" s="97"/>
      <c r="J111" s="101"/>
      <c r="K111" s="97"/>
      <c r="L111" s="101"/>
      <c r="M111" s="101"/>
      <c r="N111" s="101"/>
      <c r="O111" s="101"/>
      <c r="P111" s="97"/>
      <c r="Q111" s="101"/>
      <c r="R111" s="97"/>
      <c r="S111" s="101"/>
      <c r="T111" s="101">
        <v>1</v>
      </c>
      <c r="U111" s="101"/>
      <c r="V111" s="101"/>
      <c r="W111" s="97"/>
      <c r="X111" s="101"/>
      <c r="Y111" s="97"/>
      <c r="Z111" s="101"/>
      <c r="AA111" s="101"/>
      <c r="AB111" s="101"/>
      <c r="AC111" s="101">
        <v>1</v>
      </c>
      <c r="AD111" s="97"/>
      <c r="AE111" s="101"/>
      <c r="AF111" s="97"/>
      <c r="AG111" s="101">
        <v>1</v>
      </c>
      <c r="AH111" s="86">
        <f t="shared" si="7"/>
        <v>3</v>
      </c>
      <c r="AI111" s="103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88" t="str">
        <f t="shared" si="8"/>
        <v>小雞</v>
      </c>
      <c r="AK111" s="89"/>
    </row>
    <row r="112" spans="1:37" ht="18" customHeight="1">
      <c r="A112" s="101" t="s">
        <v>58</v>
      </c>
      <c r="B112" s="102" t="s">
        <v>128</v>
      </c>
      <c r="C112" s="101"/>
      <c r="D112" s="97"/>
      <c r="E112" s="101"/>
      <c r="F112" s="101"/>
      <c r="G112" s="101"/>
      <c r="H112" s="101"/>
      <c r="I112" s="97"/>
      <c r="J112" s="101"/>
      <c r="K112" s="97"/>
      <c r="L112" s="101"/>
      <c r="M112" s="101"/>
      <c r="N112" s="101"/>
      <c r="O112" s="101"/>
      <c r="P112" s="97"/>
      <c r="Q112" s="101"/>
      <c r="R112" s="97"/>
      <c r="S112" s="101"/>
      <c r="T112" s="101"/>
      <c r="U112" s="101"/>
      <c r="V112" s="101"/>
      <c r="W112" s="97"/>
      <c r="X112" s="101"/>
      <c r="Y112" s="97"/>
      <c r="Z112" s="101"/>
      <c r="AA112" s="101"/>
      <c r="AB112" s="101"/>
      <c r="AC112" s="101"/>
      <c r="AD112" s="97"/>
      <c r="AE112" s="101"/>
      <c r="AF112" s="97"/>
      <c r="AG112" s="101"/>
      <c r="AH112" s="86">
        <f t="shared" si="7"/>
        <v>0</v>
      </c>
      <c r="AI112" s="103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88" t="str">
        <f t="shared" si="8"/>
        <v>雨昕</v>
      </c>
      <c r="AK112" s="89"/>
    </row>
    <row r="113" spans="1:37" ht="18" customHeight="1">
      <c r="A113" s="101" t="s">
        <v>58</v>
      </c>
      <c r="B113" s="102" t="s">
        <v>129</v>
      </c>
      <c r="C113" s="101"/>
      <c r="D113" s="97"/>
      <c r="E113" s="101"/>
      <c r="F113" s="101"/>
      <c r="G113" s="101"/>
      <c r="H113" s="101"/>
      <c r="I113" s="97"/>
      <c r="J113" s="101"/>
      <c r="K113" s="97"/>
      <c r="L113" s="101"/>
      <c r="M113" s="101"/>
      <c r="N113" s="101"/>
      <c r="O113" s="101"/>
      <c r="P113" s="97"/>
      <c r="Q113" s="101"/>
      <c r="R113" s="97"/>
      <c r="S113" s="101"/>
      <c r="T113" s="101"/>
      <c r="U113" s="101"/>
      <c r="V113" s="101"/>
      <c r="W113" s="97"/>
      <c r="X113" s="101"/>
      <c r="Y113" s="97"/>
      <c r="Z113" s="101"/>
      <c r="AA113" s="101"/>
      <c r="AB113" s="101"/>
      <c r="AC113" s="101"/>
      <c r="AD113" s="97"/>
      <c r="AE113" s="101"/>
      <c r="AF113" s="97"/>
      <c r="AG113" s="101"/>
      <c r="AH113" s="86">
        <f t="shared" si="7"/>
        <v>0</v>
      </c>
      <c r="AI113" s="103" t="e">
        <f ca="1">IF(A113="O", (VALUE(_xludf.IFS(AH113=0,"0",AH113=1,"150",AH113=2,"300",AH113=3,"450",AH113=4,"600",AH113=5,"750",AH113&gt;=6,"800"))),(VALUE(_xludf.IFS(AH113=0,"0",AH113=1,"150",AH113=2,"300",AH113=3,"450",AH113=4,"600",AH113=5,"750",AH113=6,"900",AH113&gt;=7,"1,000"))))</f>
        <v>#NAME?</v>
      </c>
      <c r="AJ113" s="88" t="str">
        <f t="shared" si="8"/>
        <v>矮矮</v>
      </c>
      <c r="AK113" s="89"/>
    </row>
    <row r="114" spans="1:37" ht="18" customHeight="1">
      <c r="A114" s="101" t="s">
        <v>58</v>
      </c>
      <c r="B114" s="102" t="s">
        <v>130</v>
      </c>
      <c r="C114" s="101"/>
      <c r="D114" s="97"/>
      <c r="E114" s="101"/>
      <c r="F114" s="101"/>
      <c r="G114" s="101"/>
      <c r="H114" s="101"/>
      <c r="I114" s="97"/>
      <c r="J114" s="101"/>
      <c r="K114" s="97"/>
      <c r="L114" s="101"/>
      <c r="M114" s="101"/>
      <c r="N114" s="101"/>
      <c r="O114" s="101"/>
      <c r="P114" s="97"/>
      <c r="Q114" s="101"/>
      <c r="R114" s="97"/>
      <c r="S114" s="101"/>
      <c r="T114" s="101"/>
      <c r="U114" s="101"/>
      <c r="V114" s="101"/>
      <c r="W114" s="97"/>
      <c r="X114" s="101"/>
      <c r="Y114" s="97"/>
      <c r="Z114" s="101"/>
      <c r="AA114" s="101"/>
      <c r="AB114" s="101"/>
      <c r="AC114" s="101"/>
      <c r="AD114" s="97"/>
      <c r="AE114" s="101"/>
      <c r="AF114" s="97"/>
      <c r="AG114" s="101"/>
      <c r="AH114" s="86">
        <f t="shared" si="7"/>
        <v>0</v>
      </c>
      <c r="AI114" s="103" t="e">
        <f ca="1">IF(A114="O", (VALUE(_xludf.IFS(AH114=0,"0",AH114=1,"150",AH114=2,"300",AH114=3,"450",AH114=4,"600",AH114=5,"750",AH114&gt;=6,"800"))),(VALUE(_xludf.IFS(AH114=0,"0",AH114=1,"150",AH114=2,"300",AH114=3,"450",AH114=4,"600",AH114=5,"750",AH114=6,"900",AH114&gt;=7,"1,000"))))</f>
        <v>#NAME?</v>
      </c>
      <c r="AJ114" s="88" t="str">
        <f t="shared" si="8"/>
        <v>猛女</v>
      </c>
      <c r="AK114" s="89"/>
    </row>
    <row r="115" spans="1:37" ht="18" customHeight="1">
      <c r="A115" s="101" t="s">
        <v>58</v>
      </c>
      <c r="B115" s="102" t="s">
        <v>131</v>
      </c>
      <c r="C115" s="101"/>
      <c r="D115" s="97"/>
      <c r="E115" s="101"/>
      <c r="F115" s="101"/>
      <c r="G115" s="101"/>
      <c r="H115" s="101"/>
      <c r="I115" s="97"/>
      <c r="J115" s="101"/>
      <c r="K115" s="97"/>
      <c r="L115" s="101"/>
      <c r="M115" s="101"/>
      <c r="N115" s="101"/>
      <c r="O115" s="101"/>
      <c r="P115" s="97"/>
      <c r="Q115" s="101"/>
      <c r="R115" s="97"/>
      <c r="S115" s="101"/>
      <c r="T115" s="101"/>
      <c r="U115" s="101"/>
      <c r="V115" s="101"/>
      <c r="W115" s="97"/>
      <c r="X115" s="101"/>
      <c r="Y115" s="97"/>
      <c r="Z115" s="101"/>
      <c r="AA115" s="101"/>
      <c r="AB115" s="101"/>
      <c r="AC115" s="101"/>
      <c r="AD115" s="97"/>
      <c r="AE115" s="101"/>
      <c r="AF115" s="97"/>
      <c r="AG115" s="101"/>
      <c r="AH115" s="86">
        <f t="shared" si="7"/>
        <v>0</v>
      </c>
      <c r="AI115" s="103" t="e">
        <f ca="1">IF(A115="O", (VALUE(_xludf.IFS(AH115=0,"0",AH115=1,"150",AH115=2,"300",AH115=3,"450",AH115=4,"600",AH115=5,"750",AH115&gt;=6,"800"))),(VALUE(_xludf.IFS(AH115=0,"0",AH115=1,"150",AH115=2,"300",AH115=3,"450",AH115=4,"600",AH115=5,"750",AH115=6,"900",AH115&gt;=7,"1,000"))))</f>
        <v>#NAME?</v>
      </c>
      <c r="AJ115" s="88" t="str">
        <f t="shared" si="8"/>
        <v>欣容</v>
      </c>
      <c r="AK115" s="89"/>
    </row>
    <row r="116" spans="1:37" ht="18" customHeight="1">
      <c r="A116" s="101" t="s">
        <v>58</v>
      </c>
      <c r="B116" s="102" t="s">
        <v>132</v>
      </c>
      <c r="C116" s="101"/>
      <c r="D116" s="97"/>
      <c r="E116" s="101"/>
      <c r="F116" s="101"/>
      <c r="G116" s="101"/>
      <c r="H116" s="101"/>
      <c r="I116" s="97"/>
      <c r="J116" s="101"/>
      <c r="K116" s="97"/>
      <c r="L116" s="101"/>
      <c r="M116" s="101"/>
      <c r="N116" s="101"/>
      <c r="O116" s="101"/>
      <c r="P116" s="97"/>
      <c r="Q116" s="101"/>
      <c r="R116" s="97"/>
      <c r="S116" s="101"/>
      <c r="T116" s="101"/>
      <c r="U116" s="101"/>
      <c r="V116" s="101"/>
      <c r="W116" s="97"/>
      <c r="X116" s="101"/>
      <c r="Y116" s="97"/>
      <c r="Z116" s="101"/>
      <c r="AA116" s="101"/>
      <c r="AB116" s="101"/>
      <c r="AC116" s="101"/>
      <c r="AD116" s="97"/>
      <c r="AE116" s="101"/>
      <c r="AF116" s="97"/>
      <c r="AG116" s="101"/>
      <c r="AH116" s="86">
        <f t="shared" si="7"/>
        <v>0</v>
      </c>
      <c r="AI116" s="103" t="e">
        <f ca="1">IF(A116="O", (VALUE(_xludf.IFS(AH116=0,"0",AH116=1,"150",AH116=2,"300",AH116=3,"450",AH116=4,"600",AH116=5,"750",AH116&gt;=6,"800"))),(VALUE(_xludf.IFS(AH116=0,"0",AH116=1,"150",AH116=2,"300",AH116=3,"450",AH116=4,"600",AH116=5,"750",AH116=6,"900",AH116&gt;=7,"1,000"))))</f>
        <v>#NAME?</v>
      </c>
      <c r="AJ116" s="88" t="str">
        <f t="shared" si="8"/>
        <v>萁萁</v>
      </c>
      <c r="AK116" s="89"/>
    </row>
    <row r="117" spans="1:37" ht="18" customHeight="1">
      <c r="A117" s="101" t="s">
        <v>58</v>
      </c>
      <c r="B117" s="102" t="s">
        <v>133</v>
      </c>
      <c r="C117" s="101"/>
      <c r="D117" s="97"/>
      <c r="E117" s="101"/>
      <c r="F117" s="101">
        <v>1</v>
      </c>
      <c r="G117" s="101"/>
      <c r="H117" s="101"/>
      <c r="I117" s="97"/>
      <c r="J117" s="101">
        <v>1</v>
      </c>
      <c r="K117" s="97"/>
      <c r="L117" s="101"/>
      <c r="M117" s="101"/>
      <c r="N117" s="101"/>
      <c r="O117" s="101"/>
      <c r="P117" s="97"/>
      <c r="Q117" s="101"/>
      <c r="R117" s="97"/>
      <c r="S117" s="101"/>
      <c r="T117" s="101">
        <v>1</v>
      </c>
      <c r="U117" s="101"/>
      <c r="V117" s="101"/>
      <c r="W117" s="97"/>
      <c r="X117" s="101"/>
      <c r="Y117" s="97"/>
      <c r="Z117" s="101"/>
      <c r="AA117" s="101"/>
      <c r="AB117" s="101"/>
      <c r="AC117" s="101"/>
      <c r="AD117" s="97"/>
      <c r="AE117" s="101"/>
      <c r="AF117" s="97"/>
      <c r="AG117" s="101">
        <v>1</v>
      </c>
      <c r="AH117" s="86">
        <f t="shared" si="7"/>
        <v>4</v>
      </c>
      <c r="AI117" s="87" t="e">
        <f ca="1">IF(A117="O", (VALUE(_xludf.IFS(AH117=0,"0",AH117=1,"150",AH117=2,"300",AH117=3,"450",AH117=4,"600",AH117=5,"750",AH117&gt;=6,"800"))),(VALUE(_xludf.IFS(AH117=0,"0",AH117=1,"150",AH117=2,"300",AH117=3,"450",AH117=4,"600",AH117=5,"750",AH117=6,"900",AH117&gt;=7,"1,000"))))</f>
        <v>#NAME?</v>
      </c>
      <c r="AJ117" s="88" t="str">
        <f t="shared" si="8"/>
        <v>萱</v>
      </c>
      <c r="AK117" s="91"/>
    </row>
    <row r="118" spans="1:37" ht="18" customHeight="1">
      <c r="A118" s="101" t="s">
        <v>58</v>
      </c>
      <c r="B118" s="102" t="s">
        <v>134</v>
      </c>
      <c r="C118" s="101"/>
      <c r="D118" s="97"/>
      <c r="E118" s="101"/>
      <c r="F118" s="101"/>
      <c r="G118" s="101"/>
      <c r="H118" s="101"/>
      <c r="I118" s="97"/>
      <c r="J118" s="101"/>
      <c r="K118" s="97"/>
      <c r="L118" s="101"/>
      <c r="M118" s="101"/>
      <c r="N118" s="101"/>
      <c r="O118" s="101"/>
      <c r="P118" s="97"/>
      <c r="Q118" s="101"/>
      <c r="R118" s="97"/>
      <c r="S118" s="101"/>
      <c r="T118" s="101"/>
      <c r="U118" s="101"/>
      <c r="V118" s="101"/>
      <c r="W118" s="97"/>
      <c r="X118" s="101"/>
      <c r="Y118" s="97"/>
      <c r="Z118" s="101"/>
      <c r="AA118" s="101"/>
      <c r="AB118" s="101"/>
      <c r="AC118" s="101"/>
      <c r="AD118" s="97"/>
      <c r="AE118" s="101"/>
      <c r="AF118" s="97"/>
      <c r="AG118" s="101"/>
      <c r="AH118" s="86">
        <f t="shared" si="7"/>
        <v>0</v>
      </c>
      <c r="AI118" s="87" t="e">
        <f ca="1">IF(A118="O", (VALUE(_xludf.IFS(AH118=0,"0",AH118=1,"150",AH118=2,"300",AH118=3,"450",AH118=4,"600",AH118=5,"750",AH118&gt;=6,"800"))),(VALUE(_xludf.IFS(AH118=0,"0",AH118=1,"150",AH118=2,"300",AH118=3,"450",AH118=4,"600",AH118=5,"750",AH118=6,"900",AH118&gt;=7,"1,000"))))</f>
        <v>#NAME?</v>
      </c>
      <c r="AJ118" s="88" t="str">
        <f t="shared" si="8"/>
        <v>Mei</v>
      </c>
      <c r="AK118" s="91"/>
    </row>
    <row r="119" spans="1:37" ht="18" customHeight="1">
      <c r="A119" s="101" t="s">
        <v>58</v>
      </c>
      <c r="B119" s="102" t="s">
        <v>135</v>
      </c>
      <c r="C119" s="101"/>
      <c r="D119" s="97"/>
      <c r="E119" s="101"/>
      <c r="F119" s="101"/>
      <c r="G119" s="101"/>
      <c r="H119" s="101"/>
      <c r="I119" s="97"/>
      <c r="J119" s="101"/>
      <c r="K119" s="97"/>
      <c r="L119" s="101"/>
      <c r="M119" s="101"/>
      <c r="N119" s="101"/>
      <c r="O119" s="101"/>
      <c r="P119" s="97"/>
      <c r="Q119" s="101"/>
      <c r="R119" s="97"/>
      <c r="S119" s="101"/>
      <c r="T119" s="101"/>
      <c r="U119" s="101"/>
      <c r="V119" s="101"/>
      <c r="W119" s="97"/>
      <c r="X119" s="101"/>
      <c r="Y119" s="97"/>
      <c r="Z119" s="101"/>
      <c r="AA119" s="101"/>
      <c r="AB119" s="101"/>
      <c r="AC119" s="101"/>
      <c r="AD119" s="97"/>
      <c r="AE119" s="101"/>
      <c r="AF119" s="97"/>
      <c r="AG119" s="101"/>
      <c r="AH119" s="86">
        <f t="shared" si="7"/>
        <v>0</v>
      </c>
      <c r="AI119" s="87" t="e">
        <f ca="1">IF(A119="O", (VALUE(_xludf.IFS(AH119=0,"0",AH119=1,"150",AH119=2,"300",AH119=3,"450",AH119=4,"600",AH119=5,"750",AH119&gt;=6,"800"))),(VALUE(_xludf.IFS(AH119=0,"0",AH119=1,"150",AH119=2,"300",AH119=3,"450",AH119=4,"600",AH119=5,"750",AH119=6,"900",AH119&gt;=7,"1,000"))))</f>
        <v>#NAME?</v>
      </c>
      <c r="AJ119" s="88" t="str">
        <f t="shared" si="8"/>
        <v>屁屁</v>
      </c>
      <c r="AK119" s="91"/>
    </row>
    <row r="120" spans="1:37" ht="18" customHeight="1">
      <c r="A120" s="101" t="s">
        <v>58</v>
      </c>
      <c r="B120" s="102" t="s">
        <v>136</v>
      </c>
      <c r="C120" s="101"/>
      <c r="D120" s="97"/>
      <c r="E120" s="101"/>
      <c r="F120" s="101"/>
      <c r="G120" s="101"/>
      <c r="H120" s="101"/>
      <c r="I120" s="97"/>
      <c r="J120" s="101"/>
      <c r="K120" s="97"/>
      <c r="L120" s="101"/>
      <c r="M120" s="101"/>
      <c r="N120" s="101"/>
      <c r="O120" s="101"/>
      <c r="P120" s="97"/>
      <c r="Q120" s="101"/>
      <c r="R120" s="97"/>
      <c r="S120" s="101"/>
      <c r="T120" s="101"/>
      <c r="U120" s="101"/>
      <c r="V120" s="101"/>
      <c r="W120" s="97"/>
      <c r="X120" s="101"/>
      <c r="Y120" s="97"/>
      <c r="Z120" s="101"/>
      <c r="AA120" s="101"/>
      <c r="AB120" s="101"/>
      <c r="AC120" s="101"/>
      <c r="AD120" s="97"/>
      <c r="AE120" s="101"/>
      <c r="AF120" s="97"/>
      <c r="AG120" s="101"/>
      <c r="AH120" s="86">
        <f t="shared" si="7"/>
        <v>0</v>
      </c>
      <c r="AI120" s="87" t="e">
        <f ca="1">IF(A120="O", (VALUE(_xludf.IFS(AH120=0,"0",AH120=1,"150",AH120=2,"300",AH120=3,"450",AH120=4,"600",AH120=5,"750",AH120&gt;=6,"800"))),(VALUE(_xludf.IFS(AH120=0,"0",AH120=1,"150",AH120=2,"300",AH120=3,"450",AH120=4,"600",AH120=5,"750",AH120=6,"900",AH120&gt;=7,"1,000"))))</f>
        <v>#NAME?</v>
      </c>
      <c r="AJ120" s="88" t="str">
        <f t="shared" si="8"/>
        <v>泡泡</v>
      </c>
      <c r="AK120" s="91"/>
    </row>
    <row r="121" spans="1:37" ht="18" customHeight="1">
      <c r="A121" s="101" t="s">
        <v>58</v>
      </c>
      <c r="B121" s="102" t="s">
        <v>137</v>
      </c>
      <c r="C121" s="101"/>
      <c r="D121" s="97"/>
      <c r="E121" s="101"/>
      <c r="F121" s="101"/>
      <c r="G121" s="101"/>
      <c r="H121" s="101"/>
      <c r="I121" s="97"/>
      <c r="J121" s="101"/>
      <c r="K121" s="97"/>
      <c r="L121" s="101"/>
      <c r="M121" s="101"/>
      <c r="N121" s="101"/>
      <c r="O121" s="101"/>
      <c r="P121" s="97"/>
      <c r="Q121" s="101"/>
      <c r="R121" s="97"/>
      <c r="S121" s="101"/>
      <c r="T121" s="101"/>
      <c r="U121" s="101"/>
      <c r="V121" s="101"/>
      <c r="W121" s="97"/>
      <c r="X121" s="101"/>
      <c r="Y121" s="97"/>
      <c r="Z121" s="101"/>
      <c r="AA121" s="101"/>
      <c r="AB121" s="101"/>
      <c r="AC121" s="101"/>
      <c r="AD121" s="97"/>
      <c r="AE121" s="101"/>
      <c r="AF121" s="97"/>
      <c r="AG121" s="101"/>
      <c r="AH121" s="86">
        <f t="shared" si="7"/>
        <v>0</v>
      </c>
      <c r="AI121" s="87" t="e">
        <f ca="1">IF(A121="O", (VALUE(_xludf.IFS(AH121=0,"0",AH121=1,"150",AH121=2,"300",AH121=3,"450",AH121=4,"600",AH121=5,"750",AH121&gt;=6,"800"))),(VALUE(_xludf.IFS(AH121=0,"0",AH121=1,"150",AH121=2,"300",AH121=3,"450",AH121=4,"600",AH121=5,"750",AH121=6,"900",AH121&gt;=7,"1,000"))))</f>
        <v>#NAME?</v>
      </c>
      <c r="AJ121" s="88" t="str">
        <f t="shared" si="8"/>
        <v>姚</v>
      </c>
      <c r="AK121" s="91"/>
    </row>
    <row r="122" spans="1:37" ht="18" customHeight="1">
      <c r="A122" s="101" t="s">
        <v>58</v>
      </c>
      <c r="B122" s="102" t="s">
        <v>138</v>
      </c>
      <c r="C122" s="101"/>
      <c r="D122" s="97"/>
      <c r="E122" s="101"/>
      <c r="F122" s="101"/>
      <c r="G122" s="101"/>
      <c r="H122" s="101"/>
      <c r="I122" s="97"/>
      <c r="J122" s="101"/>
      <c r="K122" s="97"/>
      <c r="L122" s="101"/>
      <c r="M122" s="101"/>
      <c r="N122" s="101"/>
      <c r="O122" s="101"/>
      <c r="P122" s="97"/>
      <c r="Q122" s="101"/>
      <c r="R122" s="97"/>
      <c r="S122" s="101"/>
      <c r="T122" s="101"/>
      <c r="U122" s="101"/>
      <c r="V122" s="101"/>
      <c r="W122" s="97"/>
      <c r="X122" s="101"/>
      <c r="Y122" s="97"/>
      <c r="Z122" s="101"/>
      <c r="AA122" s="101"/>
      <c r="AB122" s="101"/>
      <c r="AC122" s="101"/>
      <c r="AD122" s="97"/>
      <c r="AE122" s="101"/>
      <c r="AF122" s="97"/>
      <c r="AG122" s="101"/>
      <c r="AH122" s="86">
        <f t="shared" si="7"/>
        <v>0</v>
      </c>
      <c r="AI122" s="87" t="e">
        <f ca="1">IF(A122="O", (VALUE(_xludf.IFS(AH122=0,"0",AH122=1,"150",AH122=2,"300",AH122=3,"450",AH122=4,"600",AH122=5,"750",AH122&gt;=6,"800"))),(VALUE(_xludf.IFS(AH122=0,"0",AH122=1,"150",AH122=2,"300",AH122=3,"450",AH122=4,"600",AH122=5,"750",AH122=6,"900",AH122&gt;=7,"1,000"))))</f>
        <v>#NAME?</v>
      </c>
      <c r="AJ122" s="88" t="str">
        <f t="shared" si="8"/>
        <v>奜茜</v>
      </c>
      <c r="AK122" s="91"/>
    </row>
    <row r="123" spans="1:37" ht="18" customHeight="1">
      <c r="A123" s="101" t="s">
        <v>58</v>
      </c>
      <c r="B123" s="115" t="s">
        <v>139</v>
      </c>
      <c r="C123" s="101"/>
      <c r="D123" s="97"/>
      <c r="E123" s="101"/>
      <c r="F123" s="101"/>
      <c r="G123" s="101"/>
      <c r="H123" s="101"/>
      <c r="I123" s="97"/>
      <c r="J123" s="101"/>
      <c r="K123" s="97"/>
      <c r="L123" s="101"/>
      <c r="M123" s="101"/>
      <c r="N123" s="101"/>
      <c r="O123" s="101"/>
      <c r="P123" s="97"/>
      <c r="Q123" s="101">
        <v>1</v>
      </c>
      <c r="R123" s="97"/>
      <c r="S123" s="101"/>
      <c r="T123" s="101"/>
      <c r="U123" s="101"/>
      <c r="V123" s="101">
        <v>1</v>
      </c>
      <c r="W123" s="97"/>
      <c r="X123" s="101">
        <v>1</v>
      </c>
      <c r="Y123" s="97"/>
      <c r="Z123" s="101"/>
      <c r="AA123" s="101"/>
      <c r="AB123" s="101">
        <v>1</v>
      </c>
      <c r="AC123" s="101">
        <v>1</v>
      </c>
      <c r="AD123" s="97"/>
      <c r="AE123" s="101">
        <v>1</v>
      </c>
      <c r="AF123" s="97"/>
      <c r="AG123" s="101"/>
      <c r="AH123" s="86">
        <f t="shared" si="7"/>
        <v>6</v>
      </c>
      <c r="AI123" s="87" t="e">
        <f ca="1">IF(A123="O", (VALUE(_xludf.IFS(AH123=0,"0",AH123=1,"150",AH123=2,"300",AH123=3,"450",AH123=4,"600",AH123=5,"750",AH123&gt;=6,"800"))),(VALUE(_xludf.IFS(AH123=0,"0",AH123=1,"150",AH123=2,"300",AH123=3,"450",AH123=4,"600",AH123=5,"750",AH123=6,"900",AH123&gt;=7,"1,000"))))</f>
        <v>#NAME?</v>
      </c>
      <c r="AJ123" s="88" t="str">
        <f t="shared" si="8"/>
        <v>Tina</v>
      </c>
      <c r="AK123" s="91"/>
    </row>
    <row r="124" spans="1:37" ht="18" customHeight="1">
      <c r="A124" s="101" t="s">
        <v>58</v>
      </c>
      <c r="B124" s="115" t="s">
        <v>140</v>
      </c>
      <c r="C124" s="101"/>
      <c r="D124" s="97"/>
      <c r="E124" s="101"/>
      <c r="F124" s="101"/>
      <c r="G124" s="101"/>
      <c r="H124" s="101"/>
      <c r="I124" s="97"/>
      <c r="J124" s="101"/>
      <c r="K124" s="97"/>
      <c r="L124" s="101"/>
      <c r="M124" s="101"/>
      <c r="N124" s="101"/>
      <c r="O124" s="101"/>
      <c r="P124" s="97"/>
      <c r="Q124" s="101"/>
      <c r="R124" s="97"/>
      <c r="S124" s="101"/>
      <c r="T124" s="101"/>
      <c r="U124" s="101"/>
      <c r="V124" s="101"/>
      <c r="W124" s="97"/>
      <c r="X124" s="101"/>
      <c r="Y124" s="97"/>
      <c r="Z124" s="101"/>
      <c r="AA124" s="101"/>
      <c r="AB124" s="101"/>
      <c r="AC124" s="101"/>
      <c r="AD124" s="97"/>
      <c r="AE124" s="101"/>
      <c r="AF124" s="97"/>
      <c r="AG124" s="101"/>
      <c r="AH124" s="86">
        <f t="shared" si="7"/>
        <v>0</v>
      </c>
      <c r="AI124" s="87" t="e">
        <f ca="1">IF(A124="O", (VALUE(_xludf.IFS(AH124=0,"0",AH124=1,"150",AH124=2,"300",AH124=3,"450",AH124=4,"600",AH124=5,"750",AH124&gt;=6,"800"))),(VALUE(_xludf.IFS(AH124=0,"0",AH124=1,"150",AH124=2,"300",AH124=3,"450",AH124=4,"600",AH124=5,"750",AH124=6,"900",AH124&gt;=7,"1,000"))))</f>
        <v>#NAME?</v>
      </c>
      <c r="AJ124" s="88" t="str">
        <f t="shared" si="8"/>
        <v>芷琦</v>
      </c>
      <c r="AK124" s="91"/>
    </row>
    <row r="125" spans="1:37" ht="18" customHeight="1">
      <c r="A125" s="101" t="s">
        <v>58</v>
      </c>
      <c r="B125" s="115" t="s">
        <v>106</v>
      </c>
      <c r="C125" s="101"/>
      <c r="D125" s="97"/>
      <c r="E125" s="101"/>
      <c r="F125" s="101"/>
      <c r="G125" s="101"/>
      <c r="H125" s="101"/>
      <c r="I125" s="97"/>
      <c r="J125" s="101"/>
      <c r="K125" s="97"/>
      <c r="L125" s="101"/>
      <c r="M125" s="101"/>
      <c r="N125" s="101"/>
      <c r="O125" s="101"/>
      <c r="P125" s="97"/>
      <c r="Q125" s="101"/>
      <c r="R125" s="97"/>
      <c r="S125" s="101"/>
      <c r="T125" s="101"/>
      <c r="U125" s="101"/>
      <c r="V125" s="101"/>
      <c r="W125" s="97"/>
      <c r="X125" s="101"/>
      <c r="Y125" s="97"/>
      <c r="Z125" s="101"/>
      <c r="AA125" s="101"/>
      <c r="AB125" s="101"/>
      <c r="AC125" s="101"/>
      <c r="AD125" s="97"/>
      <c r="AE125" s="101"/>
      <c r="AF125" s="97"/>
      <c r="AG125" s="101"/>
      <c r="AH125" s="86">
        <f t="shared" si="7"/>
        <v>0</v>
      </c>
      <c r="AI125" s="87" t="e">
        <f ca="1">IF(A125="O", (VALUE(_xludf.IFS(AH125=0,"0",AH125=1,"150",AH125=2,"300",AH125=3,"450",AH125=4,"600",AH125=5,"750",AH125&gt;=6,"800"))),(VALUE(_xludf.IFS(AH125=0,"0",AH125=1,"150",AH125=2,"300",AH125=3,"450",AH125=4,"600",AH125=5,"750",AH125=6,"900",AH125&gt;=7,"1,000"))))</f>
        <v>#NAME?</v>
      </c>
      <c r="AJ125" s="88" t="str">
        <f t="shared" si="8"/>
        <v>Nina</v>
      </c>
      <c r="AK125" s="91"/>
    </row>
    <row r="126" spans="1:37" ht="18" customHeight="1">
      <c r="A126" s="101" t="s">
        <v>58</v>
      </c>
      <c r="B126" s="102" t="s">
        <v>141</v>
      </c>
      <c r="C126" s="101"/>
      <c r="D126" s="97"/>
      <c r="E126" s="101"/>
      <c r="F126" s="101"/>
      <c r="G126" s="101"/>
      <c r="H126" s="101"/>
      <c r="I126" s="97"/>
      <c r="J126" s="101"/>
      <c r="K126" s="97"/>
      <c r="L126" s="101"/>
      <c r="M126" s="101"/>
      <c r="N126" s="101"/>
      <c r="O126" s="101"/>
      <c r="P126" s="97"/>
      <c r="Q126" s="101"/>
      <c r="R126" s="97"/>
      <c r="S126" s="101"/>
      <c r="T126" s="101"/>
      <c r="U126" s="101"/>
      <c r="V126" s="101"/>
      <c r="W126" s="97"/>
      <c r="X126" s="101"/>
      <c r="Y126" s="97"/>
      <c r="Z126" s="101"/>
      <c r="AA126" s="101"/>
      <c r="AB126" s="101"/>
      <c r="AC126" s="101"/>
      <c r="AD126" s="97"/>
      <c r="AE126" s="101"/>
      <c r="AF126" s="97"/>
      <c r="AG126" s="101"/>
      <c r="AH126" s="86">
        <f t="shared" si="7"/>
        <v>0</v>
      </c>
      <c r="AI126" s="87" t="e">
        <f ca="1">IF(A126="O", (VALUE(_xludf.IFS(AH126=0,"0",AH126=1,"150",AH126=2,"300",AH126=3,"450",AH126=4,"600",AH126=5,"750",AH126&gt;=6,"800"))),(VALUE(_xludf.IFS(AH126=0,"0",AH126=1,"150",AH126=2,"300",AH126=3,"450",AH126=4,"600",AH126=5,"750",AH126=6,"900",AH126&gt;=7,"1,000"))))</f>
        <v>#NAME?</v>
      </c>
      <c r="AJ126" s="88" t="str">
        <f t="shared" si="8"/>
        <v>Cindy</v>
      </c>
      <c r="AK126" s="91"/>
    </row>
    <row r="127" spans="1:37" ht="18" customHeight="1">
      <c r="A127" s="101" t="s">
        <v>58</v>
      </c>
      <c r="B127" s="102" t="s">
        <v>142</v>
      </c>
      <c r="C127" s="101"/>
      <c r="D127" s="97"/>
      <c r="E127" s="101"/>
      <c r="F127" s="101"/>
      <c r="G127" s="101"/>
      <c r="H127" s="101"/>
      <c r="I127" s="97"/>
      <c r="J127" s="101"/>
      <c r="K127" s="97"/>
      <c r="L127" s="101"/>
      <c r="M127" s="101"/>
      <c r="N127" s="101"/>
      <c r="O127" s="101"/>
      <c r="P127" s="97"/>
      <c r="Q127" s="101"/>
      <c r="R127" s="97"/>
      <c r="S127" s="101"/>
      <c r="T127" s="101"/>
      <c r="U127" s="101"/>
      <c r="V127" s="101"/>
      <c r="W127" s="97"/>
      <c r="X127" s="101"/>
      <c r="Y127" s="97"/>
      <c r="Z127" s="101"/>
      <c r="AA127" s="101"/>
      <c r="AB127" s="101"/>
      <c r="AC127" s="101"/>
      <c r="AD127" s="97"/>
      <c r="AE127" s="101"/>
      <c r="AF127" s="97"/>
      <c r="AG127" s="101"/>
      <c r="AH127" s="86">
        <f t="shared" si="7"/>
        <v>0</v>
      </c>
      <c r="AI127" s="87" t="e">
        <f ca="1">IF(A127="O", (VALUE(_xludf.IFS(AH127=0,"0",AH127=1,"150",AH127=2,"300",AH127=3,"450",AH127=4,"600",AH127=5,"750",AH127&gt;=6,"800"))),(VALUE(_xludf.IFS(AH127=0,"0",AH127=1,"150",AH127=2,"300",AH127=3,"450",AH127=4,"600",AH127=5,"750",AH127=6,"900",AH127&gt;=7,"1,000"))))</f>
        <v>#NAME?</v>
      </c>
      <c r="AJ127" s="88" t="str">
        <f t="shared" si="8"/>
        <v>如靜</v>
      </c>
      <c r="AK127" s="91"/>
    </row>
    <row r="128" spans="1:37" ht="18" customHeight="1">
      <c r="A128" s="101" t="s">
        <v>58</v>
      </c>
      <c r="B128" s="102" t="s">
        <v>143</v>
      </c>
      <c r="C128" s="101"/>
      <c r="D128" s="97"/>
      <c r="E128" s="101"/>
      <c r="F128" s="101"/>
      <c r="G128" s="101"/>
      <c r="H128" s="101"/>
      <c r="I128" s="97"/>
      <c r="J128" s="101"/>
      <c r="K128" s="97"/>
      <c r="L128" s="101"/>
      <c r="M128" s="101"/>
      <c r="N128" s="101"/>
      <c r="O128" s="101"/>
      <c r="P128" s="97"/>
      <c r="Q128" s="101"/>
      <c r="R128" s="97"/>
      <c r="S128" s="101"/>
      <c r="T128" s="101"/>
      <c r="U128" s="101"/>
      <c r="V128" s="101"/>
      <c r="W128" s="97"/>
      <c r="X128" s="101"/>
      <c r="Y128" s="97"/>
      <c r="Z128" s="101"/>
      <c r="AA128" s="101"/>
      <c r="AB128" s="101"/>
      <c r="AC128" s="101"/>
      <c r="AD128" s="97"/>
      <c r="AE128" s="101"/>
      <c r="AF128" s="97"/>
      <c r="AG128" s="101"/>
      <c r="AH128" s="86">
        <f t="shared" si="7"/>
        <v>0</v>
      </c>
      <c r="AI128" s="87" t="e">
        <f ca="1">IF(A128="O", (VALUE(_xludf.IFS(AH128=0,"0",AH128=1,"150",AH128=2,"300",AH128=3,"450",AH128=4,"600",AH128=5,"750",AH128&gt;=6,"800"))),(VALUE(_xludf.IFS(AH128=0,"0",AH128=1,"150",AH128=2,"300",AH128=3,"450",AH128=4,"600",AH128=5,"750",AH128=6,"900",AH128&gt;=7,"1,000"))))</f>
        <v>#NAME?</v>
      </c>
      <c r="AJ128" s="88" t="str">
        <f t="shared" si="8"/>
        <v>毓玫</v>
      </c>
      <c r="AK128" s="91"/>
    </row>
    <row r="129" spans="1:37" ht="18" customHeight="1">
      <c r="A129" s="101" t="s">
        <v>58</v>
      </c>
      <c r="B129" s="102" t="s">
        <v>144</v>
      </c>
      <c r="C129" s="101"/>
      <c r="D129" s="97"/>
      <c r="E129" s="101"/>
      <c r="F129" s="101"/>
      <c r="G129" s="101"/>
      <c r="H129" s="101"/>
      <c r="I129" s="97"/>
      <c r="J129" s="101"/>
      <c r="K129" s="97"/>
      <c r="L129" s="101"/>
      <c r="M129" s="101"/>
      <c r="N129" s="101"/>
      <c r="O129" s="101"/>
      <c r="P129" s="97"/>
      <c r="Q129" s="101"/>
      <c r="R129" s="97"/>
      <c r="S129" s="101"/>
      <c r="T129" s="101"/>
      <c r="U129" s="101"/>
      <c r="V129" s="101"/>
      <c r="W129" s="97"/>
      <c r="X129" s="101"/>
      <c r="Y129" s="97"/>
      <c r="Z129" s="101"/>
      <c r="AA129" s="101"/>
      <c r="AB129" s="101"/>
      <c r="AC129" s="101"/>
      <c r="AD129" s="97"/>
      <c r="AE129" s="101"/>
      <c r="AF129" s="97"/>
      <c r="AG129" s="101"/>
      <c r="AH129" s="86">
        <f t="shared" si="7"/>
        <v>0</v>
      </c>
      <c r="AI129" s="87" t="e">
        <f ca="1">IF(A129="O", (VALUE(_xludf.IFS(AH129=0,"0",AH129=1,"150",AH129=2,"300",AH129=3,"450",AH129=4,"600",AH129=5,"750",AH129&gt;=6,"800"))),(VALUE(_xludf.IFS(AH129=0,"0",AH129=1,"150",AH129=2,"300",AH129=3,"450",AH129=4,"600",AH129=5,"750",AH129=6,"900",AH129&gt;=7,"1,000"))))</f>
        <v>#NAME?</v>
      </c>
      <c r="AJ129" s="88" t="str">
        <f t="shared" si="8"/>
        <v>美枝</v>
      </c>
      <c r="AK129" s="91"/>
    </row>
    <row r="130" spans="1:37" ht="18" customHeight="1">
      <c r="A130" s="101" t="s">
        <v>58</v>
      </c>
      <c r="B130" s="102" t="s">
        <v>145</v>
      </c>
      <c r="C130" s="101"/>
      <c r="D130" s="97"/>
      <c r="E130" s="101"/>
      <c r="F130" s="101"/>
      <c r="G130" s="101"/>
      <c r="H130" s="101"/>
      <c r="I130" s="97"/>
      <c r="J130" s="101"/>
      <c r="K130" s="97"/>
      <c r="L130" s="101"/>
      <c r="M130" s="101"/>
      <c r="N130" s="101"/>
      <c r="O130" s="101"/>
      <c r="P130" s="97"/>
      <c r="Q130" s="101"/>
      <c r="R130" s="97"/>
      <c r="S130" s="101"/>
      <c r="T130" s="101"/>
      <c r="U130" s="101"/>
      <c r="V130" s="101"/>
      <c r="W130" s="97"/>
      <c r="X130" s="101"/>
      <c r="Y130" s="97"/>
      <c r="Z130" s="101"/>
      <c r="AA130" s="101"/>
      <c r="AB130" s="101"/>
      <c r="AC130" s="101"/>
      <c r="AD130" s="97"/>
      <c r="AE130" s="101"/>
      <c r="AF130" s="97"/>
      <c r="AG130" s="101"/>
      <c r="AH130" s="86">
        <f t="shared" si="7"/>
        <v>0</v>
      </c>
      <c r="AI130" s="87" t="e">
        <f ca="1">IF(A130="O", (VALUE(_xludf.IFS(AH130=0,"0",AH130=1,"150",AH130=2,"300",AH130=3,"450",AH130=4,"600",AH130=5,"750",AH130&gt;=6,"800"))),(VALUE(_xludf.IFS(AH130=0,"0",AH130=1,"150",AH130=2,"300",AH130=3,"450",AH130=4,"600",AH130=5,"750",AH130=6,"900",AH130&gt;=7,"1,000"))))</f>
        <v>#NAME?</v>
      </c>
      <c r="AJ130" s="88" t="str">
        <f t="shared" si="8"/>
        <v>魯魯咪</v>
      </c>
      <c r="AK130" s="91"/>
    </row>
    <row r="131" spans="1:37" ht="18" customHeight="1">
      <c r="A131" s="120" t="s">
        <v>58</v>
      </c>
      <c r="B131" s="121" t="s">
        <v>41</v>
      </c>
      <c r="C131" s="120"/>
      <c r="D131" s="97"/>
      <c r="E131" s="120"/>
      <c r="F131" s="120"/>
      <c r="G131" s="120"/>
      <c r="H131" s="120"/>
      <c r="I131" s="97"/>
      <c r="J131" s="120"/>
      <c r="K131" s="97"/>
      <c r="L131" s="120"/>
      <c r="M131" s="120"/>
      <c r="N131" s="120"/>
      <c r="O131" s="120"/>
      <c r="P131" s="97"/>
      <c r="Q131" s="120"/>
      <c r="R131" s="97"/>
      <c r="S131" s="120"/>
      <c r="T131" s="120"/>
      <c r="U131" s="120"/>
      <c r="V131" s="120"/>
      <c r="W131" s="97"/>
      <c r="X131" s="120"/>
      <c r="Y131" s="97"/>
      <c r="Z131" s="120"/>
      <c r="AA131" s="120"/>
      <c r="AB131" s="120"/>
      <c r="AC131" s="120"/>
      <c r="AD131" s="97"/>
      <c r="AE131" s="120"/>
      <c r="AF131" s="97"/>
      <c r="AG131" s="120"/>
      <c r="AH131" s="107">
        <f t="shared" si="7"/>
        <v>0</v>
      </c>
      <c r="AI131" s="108" t="e">
        <f ca="1">IF(A131="O", (VALUE(_xludf.IFS(AH131=0,"0",AH131=1,"150",AH131=2,"300",AH131=3,"450",AH131=4,"600",AH131=5,"750",AH131&gt;=6,"800"))),(VALUE(_xludf.IFS(AH131=0,"0",AH131=1,"150",AH131=2,"300",AH131=3,"450",AH131=4,"600",AH131=5,"750",AH131=6,"900",AH131&gt;=7,"1,000"))))</f>
        <v>#NAME?</v>
      </c>
      <c r="AJ131" s="109" t="str">
        <f t="shared" si="8"/>
        <v>軟軟</v>
      </c>
      <c r="AK131" s="110"/>
    </row>
    <row r="132" spans="1:37" ht="18" customHeight="1">
      <c r="A132" s="120" t="s">
        <v>58</v>
      </c>
      <c r="B132" s="121" t="s">
        <v>38</v>
      </c>
      <c r="C132" s="120"/>
      <c r="D132" s="97"/>
      <c r="E132" s="120"/>
      <c r="F132" s="120"/>
      <c r="G132" s="120"/>
      <c r="H132" s="120"/>
      <c r="I132" s="97"/>
      <c r="J132" s="120"/>
      <c r="K132" s="97"/>
      <c r="L132" s="120"/>
      <c r="M132" s="120"/>
      <c r="N132" s="120"/>
      <c r="O132" s="120"/>
      <c r="P132" s="97"/>
      <c r="Q132" s="120"/>
      <c r="R132" s="97"/>
      <c r="S132" s="120"/>
      <c r="T132" s="120"/>
      <c r="U132" s="120"/>
      <c r="V132" s="120"/>
      <c r="W132" s="97"/>
      <c r="X132" s="120"/>
      <c r="Y132" s="97"/>
      <c r="Z132" s="120"/>
      <c r="AA132" s="120">
        <v>1</v>
      </c>
      <c r="AB132" s="120"/>
      <c r="AC132" s="120"/>
      <c r="AD132" s="97"/>
      <c r="AE132" s="120"/>
      <c r="AF132" s="97"/>
      <c r="AG132" s="120">
        <v>1</v>
      </c>
      <c r="AH132" s="107">
        <f t="shared" ref="AH132:AH163" si="9">COUNTA(C132:AG132)</f>
        <v>2</v>
      </c>
      <c r="AI132" s="108" t="e">
        <f ca="1">IF(A132="O", (VALUE(_xludf.IFS(AH132=0,"0",AH132=1,"150",AH132=2,"300",AH132=3,"450",AH132=4,"600",AH132=5,"750",AH132&gt;=6,"800"))),(VALUE(_xludf.IFS(AH132=0,"0",AH132=1,"150",AH132=2,"300",AH132=3,"450",AH132=4,"600",AH132=5,"750",AH132=6,"900",AH132&gt;=7,"1,000"))))</f>
        <v>#NAME?</v>
      </c>
      <c r="AJ132" s="109" t="str">
        <f t="shared" si="8"/>
        <v>阿龍</v>
      </c>
      <c r="AK132" s="110"/>
    </row>
    <row r="133" spans="1:37" ht="18" customHeight="1">
      <c r="A133" s="120" t="s">
        <v>58</v>
      </c>
      <c r="B133" s="121" t="s">
        <v>42</v>
      </c>
      <c r="C133" s="120"/>
      <c r="D133" s="97"/>
      <c r="E133" s="120"/>
      <c r="F133" s="120"/>
      <c r="G133" s="120"/>
      <c r="H133" s="120"/>
      <c r="I133" s="97"/>
      <c r="J133" s="120"/>
      <c r="K133" s="97"/>
      <c r="L133" s="120"/>
      <c r="M133" s="120"/>
      <c r="N133" s="120"/>
      <c r="O133" s="120"/>
      <c r="P133" s="97"/>
      <c r="Q133" s="120"/>
      <c r="R133" s="97"/>
      <c r="S133" s="120"/>
      <c r="T133" s="120"/>
      <c r="U133" s="120"/>
      <c r="V133" s="120"/>
      <c r="W133" s="97"/>
      <c r="X133" s="120"/>
      <c r="Y133" s="97"/>
      <c r="Z133" s="120"/>
      <c r="AA133" s="120"/>
      <c r="AB133" s="120"/>
      <c r="AC133" s="120"/>
      <c r="AD133" s="97"/>
      <c r="AE133" s="120"/>
      <c r="AF133" s="97"/>
      <c r="AG133" s="120"/>
      <c r="AH133" s="107">
        <f t="shared" si="9"/>
        <v>0</v>
      </c>
      <c r="AI133" s="108" t="e">
        <f ca="1">IF(A133="O", (VALUE(_xludf.IFS(AH133=0,"0",AH133=1,"150",AH133=2,"300",AH133=3,"450",AH133=4,"600",AH133=5,"750",AH133&gt;=6,"800"))),(VALUE(_xludf.IFS(AH133=0,"0",AH133=1,"150",AH133=2,"300",AH133=3,"450",AH133=4,"600",AH133=5,"750",AH133=6,"900",AH133&gt;=7,"1,000"))))</f>
        <v>#NAME?</v>
      </c>
      <c r="AJ133" s="109" t="str">
        <f t="shared" si="8"/>
        <v>屎蛋</v>
      </c>
      <c r="AK133" s="110"/>
    </row>
  </sheetData>
  <mergeCells count="5">
    <mergeCell ref="AI1:AI3"/>
    <mergeCell ref="AJ1:AJ3"/>
    <mergeCell ref="AH1:AH3"/>
    <mergeCell ref="A1:B1"/>
    <mergeCell ref="AK1:AK2"/>
  </mergeCells>
  <phoneticPr fontId="12" type="noConversion"/>
  <conditionalFormatting sqref="B2:B133">
    <cfRule type="expression" dxfId="21" priority="1">
      <formula>COUNTIF($B:$B,$B2)&gt;1</formula>
    </cfRule>
  </conditionalFormatting>
  <printOptions horizontalCentered="1" gridLines="1"/>
  <pageMargins left="0.25" right="0.25" top="0.75" bottom="0.75" header="0" footer="0"/>
  <pageSetup paperSize="9" pageOrder="overThenDown" orientation="landscape" cellComments="atEnd"/>
  <rowBreaks count="3" manualBreakCount="3">
    <brk max="16383" man="1"/>
    <brk id="42" max="16383" man="1"/>
    <brk id="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A9999"/>
    <outlinePr summaryBelow="0" summaryRight="0"/>
    <pageSetUpPr fitToPage="1"/>
  </sheetPr>
  <dimension ref="A1:AJ1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 t="s">
        <v>185</v>
      </c>
      <c r="D1" s="111" t="s">
        <v>186</v>
      </c>
      <c r="E1" s="51" t="s">
        <v>182</v>
      </c>
      <c r="F1" s="52"/>
      <c r="G1" s="51" t="s">
        <v>183</v>
      </c>
      <c r="H1" s="52"/>
      <c r="I1" s="51" t="s">
        <v>184</v>
      </c>
      <c r="J1" s="51" t="s">
        <v>185</v>
      </c>
      <c r="K1" s="51" t="s">
        <v>186</v>
      </c>
      <c r="L1" s="51" t="s">
        <v>182</v>
      </c>
      <c r="M1" s="52"/>
      <c r="N1" s="51" t="s">
        <v>183</v>
      </c>
      <c r="O1" s="52"/>
      <c r="P1" s="51" t="s">
        <v>184</v>
      </c>
      <c r="Q1" s="51" t="s">
        <v>207</v>
      </c>
      <c r="R1" s="51" t="s">
        <v>186</v>
      </c>
      <c r="S1" s="51" t="s">
        <v>182</v>
      </c>
      <c r="T1" s="52"/>
      <c r="U1" s="51" t="s">
        <v>183</v>
      </c>
      <c r="V1" s="52"/>
      <c r="W1" s="51" t="s">
        <v>184</v>
      </c>
      <c r="X1" s="51" t="s">
        <v>185</v>
      </c>
      <c r="Y1" s="51" t="s">
        <v>22</v>
      </c>
      <c r="Z1" s="51" t="s">
        <v>182</v>
      </c>
      <c r="AA1" s="52"/>
      <c r="AB1" s="51" t="s">
        <v>183</v>
      </c>
      <c r="AC1" s="52"/>
      <c r="AD1" s="51" t="s">
        <v>184</v>
      </c>
      <c r="AE1" s="51" t="s">
        <v>185</v>
      </c>
      <c r="AF1" s="51" t="s">
        <v>185</v>
      </c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45444</v>
      </c>
      <c r="D2" s="112">
        <v>45445</v>
      </c>
      <c r="E2" s="55">
        <v>45446</v>
      </c>
      <c r="F2" s="56">
        <v>45447</v>
      </c>
      <c r="G2" s="55">
        <v>45448</v>
      </c>
      <c r="H2" s="56">
        <v>45449</v>
      </c>
      <c r="I2" s="55">
        <v>45450</v>
      </c>
      <c r="J2" s="55">
        <v>45451</v>
      </c>
      <c r="K2" s="55">
        <v>45452</v>
      </c>
      <c r="L2" s="55">
        <v>45453</v>
      </c>
      <c r="M2" s="56">
        <v>45454</v>
      </c>
      <c r="N2" s="55">
        <v>45455</v>
      </c>
      <c r="O2" s="56">
        <v>45456</v>
      </c>
      <c r="P2" s="55">
        <v>45457</v>
      </c>
      <c r="Q2" s="55">
        <v>45458</v>
      </c>
      <c r="R2" s="55">
        <v>45459</v>
      </c>
      <c r="S2" s="55">
        <v>45460</v>
      </c>
      <c r="T2" s="56">
        <v>45461</v>
      </c>
      <c r="U2" s="55">
        <v>45462</v>
      </c>
      <c r="V2" s="56">
        <v>45463</v>
      </c>
      <c r="W2" s="55">
        <v>45464</v>
      </c>
      <c r="X2" s="55">
        <v>45465</v>
      </c>
      <c r="Y2" s="55">
        <v>45466</v>
      </c>
      <c r="Z2" s="55">
        <v>45467</v>
      </c>
      <c r="AA2" s="56">
        <v>45468</v>
      </c>
      <c r="AB2" s="55">
        <v>45469</v>
      </c>
      <c r="AC2" s="56">
        <v>45470</v>
      </c>
      <c r="AD2" s="55">
        <v>45471</v>
      </c>
      <c r="AE2" s="55">
        <v>45472</v>
      </c>
      <c r="AF2" s="55">
        <v>45473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6</v>
      </c>
      <c r="D3" s="114">
        <f t="shared" si="0"/>
        <v>7</v>
      </c>
      <c r="E3" s="51">
        <f t="shared" si="0"/>
        <v>1</v>
      </c>
      <c r="F3" s="52">
        <f t="shared" si="0"/>
        <v>2</v>
      </c>
      <c r="G3" s="51">
        <f t="shared" si="0"/>
        <v>3</v>
      </c>
      <c r="H3" s="52">
        <f t="shared" si="0"/>
        <v>4</v>
      </c>
      <c r="I3" s="51">
        <f t="shared" si="0"/>
        <v>5</v>
      </c>
      <c r="J3" s="51">
        <f t="shared" si="0"/>
        <v>6</v>
      </c>
      <c r="K3" s="51">
        <f t="shared" si="0"/>
        <v>7</v>
      </c>
      <c r="L3" s="51">
        <f t="shared" si="0"/>
        <v>1</v>
      </c>
      <c r="M3" s="52">
        <f t="shared" si="0"/>
        <v>2</v>
      </c>
      <c r="N3" s="51">
        <f t="shared" si="0"/>
        <v>3</v>
      </c>
      <c r="O3" s="52">
        <f t="shared" si="0"/>
        <v>4</v>
      </c>
      <c r="P3" s="51">
        <f t="shared" si="0"/>
        <v>5</v>
      </c>
      <c r="Q3" s="51">
        <f t="shared" si="0"/>
        <v>6</v>
      </c>
      <c r="R3" s="51">
        <f t="shared" si="0"/>
        <v>7</v>
      </c>
      <c r="S3" s="51">
        <f t="shared" si="0"/>
        <v>1</v>
      </c>
      <c r="T3" s="52">
        <f t="shared" si="0"/>
        <v>2</v>
      </c>
      <c r="U3" s="51">
        <f t="shared" si="0"/>
        <v>3</v>
      </c>
      <c r="V3" s="52">
        <f t="shared" si="0"/>
        <v>4</v>
      </c>
      <c r="W3" s="51">
        <f t="shared" si="0"/>
        <v>5</v>
      </c>
      <c r="X3" s="51">
        <f t="shared" si="0"/>
        <v>6</v>
      </c>
      <c r="Y3" s="51">
        <f t="shared" si="0"/>
        <v>7</v>
      </c>
      <c r="Z3" s="51">
        <f t="shared" si="0"/>
        <v>1</v>
      </c>
      <c r="AA3" s="52">
        <f t="shared" si="0"/>
        <v>2</v>
      </c>
      <c r="AB3" s="51">
        <f t="shared" si="0"/>
        <v>3</v>
      </c>
      <c r="AC3" s="52">
        <f t="shared" si="0"/>
        <v>4</v>
      </c>
      <c r="AD3" s="51">
        <f t="shared" si="0"/>
        <v>5</v>
      </c>
      <c r="AE3" s="51">
        <f t="shared" si="0"/>
        <v>6</v>
      </c>
      <c r="AF3" s="51">
        <f t="shared" si="0"/>
        <v>7</v>
      </c>
      <c r="AG3" s="283"/>
      <c r="AH3" s="278"/>
      <c r="AI3" s="273"/>
      <c r="AJ3" s="62" t="e">
        <f ca="1">SUM(AH4:AH134)</f>
        <v>#NAME?</v>
      </c>
    </row>
    <row r="4" spans="1:36" ht="18" customHeight="1">
      <c r="A4" s="92" t="s">
        <v>174</v>
      </c>
      <c r="B4" s="93" t="s">
        <v>10</v>
      </c>
      <c r="C4" s="92"/>
      <c r="D4" s="116">
        <v>1</v>
      </c>
      <c r="E4" s="92"/>
      <c r="F4" s="94"/>
      <c r="G4" s="92"/>
      <c r="H4" s="94"/>
      <c r="I4" s="92">
        <v>1</v>
      </c>
      <c r="J4" s="92">
        <v>1</v>
      </c>
      <c r="K4" s="92"/>
      <c r="L4" s="92"/>
      <c r="M4" s="94"/>
      <c r="N4" s="92"/>
      <c r="O4" s="94"/>
      <c r="P4" s="92"/>
      <c r="Q4" s="92">
        <v>1</v>
      </c>
      <c r="R4" s="92">
        <v>1</v>
      </c>
      <c r="S4" s="92">
        <v>1</v>
      </c>
      <c r="T4" s="94"/>
      <c r="U4" s="92">
        <v>1</v>
      </c>
      <c r="V4" s="94"/>
      <c r="W4" s="92">
        <v>1</v>
      </c>
      <c r="X4" s="92"/>
      <c r="Y4" s="92"/>
      <c r="Z4" s="92"/>
      <c r="AA4" s="94"/>
      <c r="AB4" s="92"/>
      <c r="AC4" s="94"/>
      <c r="AD4" s="92"/>
      <c r="AE4" s="92">
        <v>1</v>
      </c>
      <c r="AF4" s="92"/>
      <c r="AG4" s="66">
        <f t="shared" ref="AG4:AG35" si="1">COUNTA(C4:AD4)</f>
        <v>8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2">B4</f>
        <v>阿發</v>
      </c>
      <c r="AJ4" s="70"/>
    </row>
    <row r="5" spans="1:36" ht="18" customHeight="1">
      <c r="A5" s="95" t="s">
        <v>174</v>
      </c>
      <c r="B5" s="122" t="s">
        <v>11</v>
      </c>
      <c r="C5" s="95">
        <v>1</v>
      </c>
      <c r="D5" s="116"/>
      <c r="E5" s="95">
        <v>1</v>
      </c>
      <c r="F5" s="97"/>
      <c r="G5" s="95">
        <v>1</v>
      </c>
      <c r="H5" s="97"/>
      <c r="I5" s="95">
        <v>1</v>
      </c>
      <c r="J5" s="95"/>
      <c r="K5" s="95"/>
      <c r="L5" s="95">
        <v>1</v>
      </c>
      <c r="M5" s="97"/>
      <c r="N5" s="95">
        <v>1</v>
      </c>
      <c r="O5" s="97"/>
      <c r="P5" s="95">
        <v>1</v>
      </c>
      <c r="Q5" s="95"/>
      <c r="R5" s="95"/>
      <c r="S5" s="95">
        <v>1</v>
      </c>
      <c r="T5" s="97"/>
      <c r="U5" s="95">
        <v>1</v>
      </c>
      <c r="V5" s="97"/>
      <c r="W5" s="95">
        <v>1</v>
      </c>
      <c r="X5" s="95">
        <v>1</v>
      </c>
      <c r="Y5" s="95"/>
      <c r="Z5" s="95">
        <v>1</v>
      </c>
      <c r="AA5" s="97"/>
      <c r="AB5" s="95">
        <v>1</v>
      </c>
      <c r="AC5" s="97"/>
      <c r="AD5" s="95">
        <v>1</v>
      </c>
      <c r="AE5" s="95">
        <v>1</v>
      </c>
      <c r="AF5" s="95"/>
      <c r="AG5" s="66">
        <f t="shared" si="1"/>
        <v>14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2"/>
        <v>捷升</v>
      </c>
      <c r="AJ5" s="70"/>
    </row>
    <row r="6" spans="1:36" ht="18" customHeight="1">
      <c r="A6" s="95" t="s">
        <v>174</v>
      </c>
      <c r="B6" s="122" t="s">
        <v>14</v>
      </c>
      <c r="C6" s="95">
        <v>1</v>
      </c>
      <c r="D6" s="116"/>
      <c r="E6" s="95">
        <v>1</v>
      </c>
      <c r="F6" s="97"/>
      <c r="G6" s="95">
        <v>1</v>
      </c>
      <c r="H6" s="97"/>
      <c r="I6" s="95">
        <v>1</v>
      </c>
      <c r="J6" s="95">
        <v>1</v>
      </c>
      <c r="K6" s="95"/>
      <c r="L6" s="95">
        <v>1</v>
      </c>
      <c r="M6" s="97"/>
      <c r="N6" s="95">
        <v>1</v>
      </c>
      <c r="O6" s="97"/>
      <c r="P6" s="95">
        <v>1</v>
      </c>
      <c r="Q6" s="95"/>
      <c r="R6" s="95"/>
      <c r="S6" s="95">
        <v>1</v>
      </c>
      <c r="T6" s="97"/>
      <c r="U6" s="95">
        <v>1</v>
      </c>
      <c r="V6" s="97"/>
      <c r="W6" s="95">
        <v>1</v>
      </c>
      <c r="X6" s="95">
        <v>1</v>
      </c>
      <c r="Y6" s="95">
        <v>1</v>
      </c>
      <c r="Z6" s="95">
        <v>1</v>
      </c>
      <c r="AA6" s="97"/>
      <c r="AB6" s="95">
        <v>1</v>
      </c>
      <c r="AC6" s="97"/>
      <c r="AD6" s="95">
        <v>1</v>
      </c>
      <c r="AE6" s="95">
        <v>1</v>
      </c>
      <c r="AF6" s="95">
        <v>1</v>
      </c>
      <c r="AG6" s="66">
        <f t="shared" si="1"/>
        <v>16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95">
        <v>1</v>
      </c>
      <c r="D7" s="116">
        <v>1</v>
      </c>
      <c r="E7" s="95"/>
      <c r="F7" s="97"/>
      <c r="G7" s="95">
        <v>1</v>
      </c>
      <c r="H7" s="97"/>
      <c r="I7" s="95">
        <v>1</v>
      </c>
      <c r="J7" s="95">
        <v>1</v>
      </c>
      <c r="K7" s="95"/>
      <c r="L7" s="95">
        <v>1</v>
      </c>
      <c r="M7" s="97"/>
      <c r="N7" s="95">
        <v>1</v>
      </c>
      <c r="O7" s="97"/>
      <c r="P7" s="95">
        <v>1</v>
      </c>
      <c r="Q7" s="95"/>
      <c r="R7" s="95"/>
      <c r="S7" s="95">
        <v>1</v>
      </c>
      <c r="T7" s="97"/>
      <c r="U7" s="95">
        <v>1</v>
      </c>
      <c r="V7" s="97"/>
      <c r="W7" s="95">
        <v>1</v>
      </c>
      <c r="X7" s="95">
        <v>1</v>
      </c>
      <c r="Y7" s="95"/>
      <c r="Z7" s="95">
        <v>1</v>
      </c>
      <c r="AA7" s="97"/>
      <c r="AB7" s="95">
        <v>1</v>
      </c>
      <c r="AC7" s="97"/>
      <c r="AD7" s="95">
        <v>1</v>
      </c>
      <c r="AE7" s="95">
        <v>1</v>
      </c>
      <c r="AF7" s="95"/>
      <c r="AG7" s="66">
        <f t="shared" si="1"/>
        <v>15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95">
        <v>1</v>
      </c>
      <c r="D8" s="116"/>
      <c r="E8" s="95">
        <v>1</v>
      </c>
      <c r="F8" s="97"/>
      <c r="G8" s="95">
        <v>1</v>
      </c>
      <c r="H8" s="97"/>
      <c r="I8" s="95">
        <v>1</v>
      </c>
      <c r="J8" s="95">
        <v>1</v>
      </c>
      <c r="K8" s="95"/>
      <c r="L8" s="95"/>
      <c r="M8" s="97"/>
      <c r="N8" s="95"/>
      <c r="O8" s="97"/>
      <c r="P8" s="95">
        <v>1</v>
      </c>
      <c r="Q8" s="95"/>
      <c r="R8" s="95"/>
      <c r="S8" s="95"/>
      <c r="T8" s="97"/>
      <c r="U8" s="95"/>
      <c r="V8" s="97"/>
      <c r="W8" s="95">
        <v>1</v>
      </c>
      <c r="X8" s="95">
        <v>1</v>
      </c>
      <c r="Y8" s="95"/>
      <c r="Z8" s="95">
        <v>1</v>
      </c>
      <c r="AA8" s="97"/>
      <c r="AB8" s="95"/>
      <c r="AC8" s="97"/>
      <c r="AD8" s="95">
        <v>1</v>
      </c>
      <c r="AE8" s="95">
        <v>1</v>
      </c>
      <c r="AF8" s="95"/>
      <c r="AG8" s="66">
        <f t="shared" si="1"/>
        <v>10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95"/>
      <c r="D9" s="116"/>
      <c r="E9" s="95"/>
      <c r="F9" s="97"/>
      <c r="G9" s="95"/>
      <c r="H9" s="97"/>
      <c r="I9" s="95"/>
      <c r="J9" s="95"/>
      <c r="K9" s="95"/>
      <c r="L9" s="95"/>
      <c r="M9" s="97"/>
      <c r="N9" s="95"/>
      <c r="O9" s="97"/>
      <c r="P9" s="95"/>
      <c r="Q9" s="95"/>
      <c r="R9" s="95"/>
      <c r="S9" s="95">
        <v>1</v>
      </c>
      <c r="T9" s="97"/>
      <c r="U9" s="95"/>
      <c r="V9" s="97"/>
      <c r="W9" s="95"/>
      <c r="X9" s="95"/>
      <c r="Y9" s="95"/>
      <c r="Z9" s="95">
        <v>1</v>
      </c>
      <c r="AA9" s="97"/>
      <c r="AB9" s="95"/>
      <c r="AC9" s="97"/>
      <c r="AD9" s="95"/>
      <c r="AE9" s="95"/>
      <c r="AF9" s="95"/>
      <c r="AG9" s="66">
        <f t="shared" si="1"/>
        <v>2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122" t="s">
        <v>13</v>
      </c>
      <c r="C10" s="95">
        <v>1</v>
      </c>
      <c r="D10" s="116"/>
      <c r="E10" s="95">
        <v>1</v>
      </c>
      <c r="F10" s="97"/>
      <c r="G10" s="95"/>
      <c r="H10" s="97"/>
      <c r="I10" s="95">
        <v>1</v>
      </c>
      <c r="J10" s="95">
        <v>1</v>
      </c>
      <c r="K10" s="95">
        <v>1</v>
      </c>
      <c r="L10" s="95">
        <v>1</v>
      </c>
      <c r="M10" s="97"/>
      <c r="N10" s="95">
        <v>1</v>
      </c>
      <c r="O10" s="97"/>
      <c r="P10" s="95">
        <v>1</v>
      </c>
      <c r="Q10" s="95"/>
      <c r="R10" s="95"/>
      <c r="S10" s="95">
        <v>1</v>
      </c>
      <c r="T10" s="97"/>
      <c r="U10" s="95">
        <v>1</v>
      </c>
      <c r="V10" s="97"/>
      <c r="W10" s="95">
        <v>1</v>
      </c>
      <c r="X10" s="95">
        <v>1</v>
      </c>
      <c r="Y10" s="95"/>
      <c r="Z10" s="95">
        <v>1</v>
      </c>
      <c r="AA10" s="97"/>
      <c r="AB10" s="95">
        <v>1</v>
      </c>
      <c r="AC10" s="97"/>
      <c r="AD10" s="95"/>
      <c r="AE10" s="95"/>
      <c r="AF10" s="95"/>
      <c r="AG10" s="66">
        <f t="shared" si="1"/>
        <v>14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2"/>
        <v>李洋</v>
      </c>
      <c r="AJ10" s="70"/>
    </row>
    <row r="11" spans="1:36" ht="18" customHeight="1">
      <c r="A11" s="95" t="s">
        <v>174</v>
      </c>
      <c r="B11" s="96" t="s">
        <v>18</v>
      </c>
      <c r="C11" s="95"/>
      <c r="D11" s="116"/>
      <c r="E11" s="95">
        <v>1</v>
      </c>
      <c r="F11" s="97"/>
      <c r="G11" s="95"/>
      <c r="H11" s="97"/>
      <c r="I11" s="95"/>
      <c r="J11" s="95"/>
      <c r="K11" s="95"/>
      <c r="L11" s="95"/>
      <c r="M11" s="97"/>
      <c r="N11" s="95"/>
      <c r="O11" s="97"/>
      <c r="P11" s="95"/>
      <c r="Q11" s="95"/>
      <c r="R11" s="95"/>
      <c r="S11" s="95">
        <v>1</v>
      </c>
      <c r="T11" s="97"/>
      <c r="U11" s="95">
        <v>1</v>
      </c>
      <c r="V11" s="97"/>
      <c r="W11" s="95">
        <v>1</v>
      </c>
      <c r="X11" s="95"/>
      <c r="Y11" s="95"/>
      <c r="Z11" s="95">
        <v>1</v>
      </c>
      <c r="AA11" s="97"/>
      <c r="AB11" s="95">
        <v>1</v>
      </c>
      <c r="AC11" s="97"/>
      <c r="AD11" s="95"/>
      <c r="AE11" s="95"/>
      <c r="AF11" s="95"/>
      <c r="AG11" s="66">
        <f t="shared" si="1"/>
        <v>6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122" t="s">
        <v>19</v>
      </c>
      <c r="C12" s="95">
        <v>1</v>
      </c>
      <c r="D12" s="116"/>
      <c r="E12" s="95">
        <v>1</v>
      </c>
      <c r="F12" s="97"/>
      <c r="G12" s="95">
        <v>1</v>
      </c>
      <c r="H12" s="97"/>
      <c r="I12" s="95">
        <v>1</v>
      </c>
      <c r="J12" s="95">
        <v>1</v>
      </c>
      <c r="K12" s="95">
        <v>1</v>
      </c>
      <c r="L12" s="95">
        <v>1</v>
      </c>
      <c r="M12" s="97"/>
      <c r="N12" s="95">
        <v>1</v>
      </c>
      <c r="O12" s="97"/>
      <c r="P12" s="95">
        <v>1</v>
      </c>
      <c r="Q12" s="95"/>
      <c r="R12" s="95">
        <v>1</v>
      </c>
      <c r="S12" s="95">
        <v>1</v>
      </c>
      <c r="T12" s="97"/>
      <c r="U12" s="95">
        <v>1</v>
      </c>
      <c r="V12" s="97"/>
      <c r="W12" s="95">
        <v>1</v>
      </c>
      <c r="X12" s="95"/>
      <c r="Y12" s="95"/>
      <c r="Z12" s="95">
        <v>1</v>
      </c>
      <c r="AA12" s="97"/>
      <c r="AB12" s="95">
        <v>1</v>
      </c>
      <c r="AC12" s="97"/>
      <c r="AD12" s="95"/>
      <c r="AE12" s="95"/>
      <c r="AF12" s="95"/>
      <c r="AG12" s="66">
        <f t="shared" si="1"/>
        <v>15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95">
        <v>1</v>
      </c>
      <c r="D13" s="116"/>
      <c r="E13" s="95">
        <v>1</v>
      </c>
      <c r="F13" s="97"/>
      <c r="G13" s="95"/>
      <c r="H13" s="97"/>
      <c r="I13" s="95"/>
      <c r="J13" s="95">
        <v>1</v>
      </c>
      <c r="K13" s="95"/>
      <c r="L13" s="95"/>
      <c r="M13" s="97"/>
      <c r="N13" s="95">
        <v>1</v>
      </c>
      <c r="O13" s="97"/>
      <c r="P13" s="95">
        <v>1</v>
      </c>
      <c r="Q13" s="95"/>
      <c r="R13" s="95"/>
      <c r="S13" s="95"/>
      <c r="T13" s="97"/>
      <c r="U13" s="95">
        <v>1</v>
      </c>
      <c r="V13" s="97"/>
      <c r="W13" s="95">
        <v>1</v>
      </c>
      <c r="X13" s="95">
        <v>1</v>
      </c>
      <c r="Y13" s="95"/>
      <c r="Z13" s="95"/>
      <c r="AA13" s="97"/>
      <c r="AB13" s="95"/>
      <c r="AC13" s="97"/>
      <c r="AD13" s="95">
        <v>1</v>
      </c>
      <c r="AE13" s="95">
        <v>1</v>
      </c>
      <c r="AF13" s="95"/>
      <c r="AG13" s="66">
        <f t="shared" si="1"/>
        <v>9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95">
        <v>1</v>
      </c>
      <c r="D14" s="116"/>
      <c r="E14" s="95"/>
      <c r="F14" s="97"/>
      <c r="G14" s="95"/>
      <c r="H14" s="97"/>
      <c r="I14" s="95">
        <v>1</v>
      </c>
      <c r="J14" s="95">
        <v>1</v>
      </c>
      <c r="K14" s="95"/>
      <c r="L14" s="95"/>
      <c r="M14" s="97"/>
      <c r="N14" s="95">
        <v>1</v>
      </c>
      <c r="O14" s="97"/>
      <c r="P14" s="95">
        <v>1</v>
      </c>
      <c r="Q14" s="95"/>
      <c r="R14" s="95"/>
      <c r="S14" s="95">
        <v>1</v>
      </c>
      <c r="T14" s="97"/>
      <c r="U14" s="95"/>
      <c r="V14" s="97"/>
      <c r="W14" s="95"/>
      <c r="X14" s="95">
        <v>1</v>
      </c>
      <c r="Y14" s="95"/>
      <c r="Z14" s="95">
        <v>1</v>
      </c>
      <c r="AA14" s="97"/>
      <c r="AB14" s="95"/>
      <c r="AC14" s="97"/>
      <c r="AD14" s="95"/>
      <c r="AE14" s="95">
        <v>1</v>
      </c>
      <c r="AF14" s="95"/>
      <c r="AG14" s="66">
        <f t="shared" si="1"/>
        <v>8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95"/>
      <c r="D15" s="116"/>
      <c r="E15" s="95"/>
      <c r="F15" s="97"/>
      <c r="G15" s="95"/>
      <c r="H15" s="97"/>
      <c r="I15" s="95">
        <v>1</v>
      </c>
      <c r="J15" s="95"/>
      <c r="K15" s="95"/>
      <c r="L15" s="95"/>
      <c r="M15" s="97"/>
      <c r="N15" s="95"/>
      <c r="O15" s="97"/>
      <c r="P15" s="95"/>
      <c r="Q15" s="95"/>
      <c r="R15" s="95"/>
      <c r="S15" s="95">
        <v>1</v>
      </c>
      <c r="T15" s="97"/>
      <c r="U15" s="95"/>
      <c r="V15" s="97"/>
      <c r="W15" s="95"/>
      <c r="X15" s="95"/>
      <c r="Y15" s="95"/>
      <c r="Z15" s="95">
        <v>1</v>
      </c>
      <c r="AA15" s="97"/>
      <c r="AB15" s="95"/>
      <c r="AC15" s="97"/>
      <c r="AD15" s="95"/>
      <c r="AE15" s="95"/>
      <c r="AF15" s="95"/>
      <c r="AG15" s="66">
        <f t="shared" si="1"/>
        <v>3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0"/>
    </row>
    <row r="16" spans="1:36" ht="18" customHeight="1">
      <c r="A16" s="95" t="s">
        <v>174</v>
      </c>
      <c r="B16" s="96" t="s">
        <v>21</v>
      </c>
      <c r="C16" s="95"/>
      <c r="D16" s="116"/>
      <c r="E16" s="95"/>
      <c r="F16" s="97"/>
      <c r="G16" s="95"/>
      <c r="H16" s="97"/>
      <c r="I16" s="95"/>
      <c r="J16" s="95"/>
      <c r="K16" s="95"/>
      <c r="L16" s="95"/>
      <c r="M16" s="97"/>
      <c r="N16" s="95"/>
      <c r="O16" s="97"/>
      <c r="P16" s="95"/>
      <c r="Q16" s="95"/>
      <c r="R16" s="95"/>
      <c r="S16" s="95"/>
      <c r="T16" s="97"/>
      <c r="U16" s="95"/>
      <c r="V16" s="97"/>
      <c r="W16" s="95"/>
      <c r="X16" s="95"/>
      <c r="Y16" s="95"/>
      <c r="Z16" s="95"/>
      <c r="AA16" s="97"/>
      <c r="AB16" s="95"/>
      <c r="AC16" s="97"/>
      <c r="AD16" s="95"/>
      <c r="AE16" s="95"/>
      <c r="AF16" s="95"/>
      <c r="AG16" s="66">
        <f t="shared" si="1"/>
        <v>0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95">
        <v>1</v>
      </c>
      <c r="D17" s="116">
        <v>1</v>
      </c>
      <c r="E17" s="95">
        <v>1</v>
      </c>
      <c r="F17" s="97"/>
      <c r="G17" s="95">
        <v>1</v>
      </c>
      <c r="H17" s="97"/>
      <c r="I17" s="95">
        <v>1</v>
      </c>
      <c r="J17" s="95">
        <v>1</v>
      </c>
      <c r="K17" s="95">
        <v>1</v>
      </c>
      <c r="L17" s="95">
        <v>1</v>
      </c>
      <c r="M17" s="97"/>
      <c r="N17" s="95">
        <v>1</v>
      </c>
      <c r="O17" s="97"/>
      <c r="P17" s="95">
        <v>1</v>
      </c>
      <c r="Q17" s="95"/>
      <c r="R17" s="95">
        <v>1</v>
      </c>
      <c r="S17" s="95">
        <v>1</v>
      </c>
      <c r="T17" s="97"/>
      <c r="U17" s="95">
        <v>1</v>
      </c>
      <c r="V17" s="97"/>
      <c r="W17" s="95"/>
      <c r="X17" s="95"/>
      <c r="Y17" s="95"/>
      <c r="Z17" s="95">
        <v>1</v>
      </c>
      <c r="AA17" s="97"/>
      <c r="AB17" s="95">
        <v>1</v>
      </c>
      <c r="AC17" s="97"/>
      <c r="AD17" s="95">
        <v>1</v>
      </c>
      <c r="AE17" s="95"/>
      <c r="AF17" s="95">
        <v>1</v>
      </c>
      <c r="AG17" s="66">
        <f t="shared" si="1"/>
        <v>16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99">
        <v>1</v>
      </c>
      <c r="D18" s="132"/>
      <c r="E18" s="99">
        <v>1</v>
      </c>
      <c r="F18" s="97"/>
      <c r="G18" s="99">
        <v>1</v>
      </c>
      <c r="H18" s="97"/>
      <c r="I18" s="99">
        <v>1</v>
      </c>
      <c r="J18" s="99">
        <v>1</v>
      </c>
      <c r="K18" s="99"/>
      <c r="L18" s="99">
        <v>1</v>
      </c>
      <c r="M18" s="97"/>
      <c r="N18" s="99"/>
      <c r="O18" s="97"/>
      <c r="P18" s="99">
        <v>1</v>
      </c>
      <c r="Q18" s="99"/>
      <c r="R18" s="99"/>
      <c r="S18" s="99">
        <v>1</v>
      </c>
      <c r="T18" s="97"/>
      <c r="U18" s="99"/>
      <c r="V18" s="97"/>
      <c r="W18" s="99">
        <v>1</v>
      </c>
      <c r="X18" s="99"/>
      <c r="Y18" s="99">
        <v>1</v>
      </c>
      <c r="Z18" s="99">
        <v>1</v>
      </c>
      <c r="AA18" s="97"/>
      <c r="AB18" s="99">
        <v>1</v>
      </c>
      <c r="AC18" s="97"/>
      <c r="AD18" s="99">
        <v>1</v>
      </c>
      <c r="AE18" s="99">
        <v>1</v>
      </c>
      <c r="AF18" s="99">
        <v>1</v>
      </c>
      <c r="AG18" s="77">
        <f t="shared" si="1"/>
        <v>13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99"/>
      <c r="D19" s="132"/>
      <c r="E19" s="99"/>
      <c r="F19" s="97"/>
      <c r="G19" s="99"/>
      <c r="H19" s="97"/>
      <c r="I19" s="99">
        <v>1</v>
      </c>
      <c r="J19" s="99"/>
      <c r="K19" s="99"/>
      <c r="L19" s="99"/>
      <c r="M19" s="97"/>
      <c r="N19" s="99"/>
      <c r="O19" s="97"/>
      <c r="P19" s="99">
        <v>1</v>
      </c>
      <c r="Q19" s="99"/>
      <c r="R19" s="99"/>
      <c r="S19" s="99"/>
      <c r="T19" s="97"/>
      <c r="U19" s="99"/>
      <c r="V19" s="97"/>
      <c r="W19" s="99">
        <v>1</v>
      </c>
      <c r="X19" s="99"/>
      <c r="Y19" s="99">
        <v>1</v>
      </c>
      <c r="Z19" s="99"/>
      <c r="AA19" s="97"/>
      <c r="AB19" s="99"/>
      <c r="AC19" s="97"/>
      <c r="AD19" s="99">
        <v>1</v>
      </c>
      <c r="AE19" s="99"/>
      <c r="AF19" s="99">
        <v>1</v>
      </c>
      <c r="AG19" s="77">
        <f t="shared" si="1"/>
        <v>5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174</v>
      </c>
      <c r="B20" s="100" t="s">
        <v>91</v>
      </c>
      <c r="C20" s="99"/>
      <c r="D20" s="132">
        <v>1</v>
      </c>
      <c r="E20" s="99"/>
      <c r="F20" s="97"/>
      <c r="G20" s="99"/>
      <c r="H20" s="97"/>
      <c r="I20" s="99"/>
      <c r="J20" s="99"/>
      <c r="K20" s="99">
        <v>1</v>
      </c>
      <c r="L20" s="99"/>
      <c r="M20" s="97"/>
      <c r="N20" s="99"/>
      <c r="O20" s="97"/>
      <c r="P20" s="99"/>
      <c r="Q20" s="99"/>
      <c r="R20" s="99">
        <v>1</v>
      </c>
      <c r="S20" s="99"/>
      <c r="T20" s="97"/>
      <c r="U20" s="99">
        <v>1</v>
      </c>
      <c r="V20" s="97"/>
      <c r="W20" s="99"/>
      <c r="X20" s="99"/>
      <c r="Y20" s="99"/>
      <c r="Z20" s="99"/>
      <c r="AA20" s="97"/>
      <c r="AB20" s="99"/>
      <c r="AC20" s="97"/>
      <c r="AD20" s="99"/>
      <c r="AE20" s="99"/>
      <c r="AF20" s="99"/>
      <c r="AG20" s="77">
        <f t="shared" si="1"/>
        <v>4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柔柔</v>
      </c>
      <c r="AJ20" s="80"/>
    </row>
    <row r="21" spans="1:36" ht="18" customHeight="1">
      <c r="A21" s="99" t="s">
        <v>174</v>
      </c>
      <c r="B21" s="100" t="s">
        <v>92</v>
      </c>
      <c r="C21" s="99">
        <v>1</v>
      </c>
      <c r="D21" s="132"/>
      <c r="E21" s="99"/>
      <c r="F21" s="97"/>
      <c r="G21" s="99"/>
      <c r="H21" s="97"/>
      <c r="I21" s="99"/>
      <c r="J21" s="99"/>
      <c r="K21" s="99"/>
      <c r="L21" s="99"/>
      <c r="M21" s="97"/>
      <c r="N21" s="99"/>
      <c r="O21" s="97"/>
      <c r="P21" s="99"/>
      <c r="Q21" s="99"/>
      <c r="R21" s="99"/>
      <c r="S21" s="99"/>
      <c r="T21" s="97"/>
      <c r="U21" s="99"/>
      <c r="V21" s="97"/>
      <c r="W21" s="99">
        <v>1</v>
      </c>
      <c r="X21" s="99">
        <v>1</v>
      </c>
      <c r="Y21" s="99"/>
      <c r="Z21" s="99">
        <v>1</v>
      </c>
      <c r="AA21" s="97"/>
      <c r="AB21" s="99"/>
      <c r="AC21" s="97"/>
      <c r="AD21" s="99"/>
      <c r="AE21" s="99"/>
      <c r="AF21" s="99"/>
      <c r="AG21" s="77">
        <f t="shared" si="1"/>
        <v>4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婉晴</v>
      </c>
      <c r="AJ21" s="80"/>
    </row>
    <row r="22" spans="1:36" ht="18" customHeight="1">
      <c r="A22" s="99" t="s">
        <v>174</v>
      </c>
      <c r="B22" s="100" t="s">
        <v>93</v>
      </c>
      <c r="C22" s="99">
        <v>1</v>
      </c>
      <c r="D22" s="132"/>
      <c r="E22" s="99">
        <v>1</v>
      </c>
      <c r="F22" s="97"/>
      <c r="G22" s="99"/>
      <c r="H22" s="97"/>
      <c r="I22" s="99">
        <v>1</v>
      </c>
      <c r="J22" s="99"/>
      <c r="K22" s="99"/>
      <c r="L22" s="99"/>
      <c r="M22" s="97"/>
      <c r="N22" s="99"/>
      <c r="O22" s="97"/>
      <c r="P22" s="99">
        <v>1</v>
      </c>
      <c r="Q22" s="99"/>
      <c r="R22" s="99"/>
      <c r="S22" s="99">
        <v>1</v>
      </c>
      <c r="T22" s="97"/>
      <c r="U22" s="99"/>
      <c r="V22" s="97"/>
      <c r="W22" s="99"/>
      <c r="X22" s="99"/>
      <c r="Y22" s="99"/>
      <c r="Z22" s="99">
        <v>1</v>
      </c>
      <c r="AA22" s="97"/>
      <c r="AB22" s="99">
        <v>1</v>
      </c>
      <c r="AC22" s="97"/>
      <c r="AD22" s="99"/>
      <c r="AE22" s="99"/>
      <c r="AF22" s="99"/>
      <c r="AG22" s="77">
        <f t="shared" si="1"/>
        <v>7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132"/>
      <c r="E23" s="99"/>
      <c r="F23" s="97"/>
      <c r="G23" s="99"/>
      <c r="H23" s="97"/>
      <c r="I23" s="99"/>
      <c r="J23" s="99"/>
      <c r="K23" s="99"/>
      <c r="L23" s="99"/>
      <c r="M23" s="97"/>
      <c r="N23" s="99"/>
      <c r="O23" s="97"/>
      <c r="P23" s="99"/>
      <c r="Q23" s="99"/>
      <c r="R23" s="99"/>
      <c r="S23" s="99"/>
      <c r="T23" s="97"/>
      <c r="U23" s="99"/>
      <c r="V23" s="97"/>
      <c r="W23" s="99"/>
      <c r="X23" s="99"/>
      <c r="Y23" s="99"/>
      <c r="Z23" s="99"/>
      <c r="AA23" s="97"/>
      <c r="AB23" s="99"/>
      <c r="AC23" s="97"/>
      <c r="AD23" s="99"/>
      <c r="AE23" s="99"/>
      <c r="AF23" s="99"/>
      <c r="AG23" s="77">
        <f t="shared" si="1"/>
        <v>0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132"/>
      <c r="E24" s="99">
        <v>1</v>
      </c>
      <c r="F24" s="97"/>
      <c r="G24" s="99"/>
      <c r="H24" s="97"/>
      <c r="I24" s="99"/>
      <c r="J24" s="99"/>
      <c r="K24" s="99"/>
      <c r="L24" s="99"/>
      <c r="M24" s="97"/>
      <c r="N24" s="99"/>
      <c r="O24" s="97"/>
      <c r="P24" s="99"/>
      <c r="Q24" s="99"/>
      <c r="R24" s="99"/>
      <c r="S24" s="99"/>
      <c r="T24" s="97"/>
      <c r="U24" s="99"/>
      <c r="V24" s="97"/>
      <c r="W24" s="99"/>
      <c r="X24" s="99"/>
      <c r="Y24" s="99"/>
      <c r="Z24" s="99"/>
      <c r="AA24" s="97"/>
      <c r="AB24" s="99"/>
      <c r="AC24" s="97"/>
      <c r="AD24" s="99"/>
      <c r="AE24" s="99"/>
      <c r="AF24" s="99"/>
      <c r="AG24" s="77">
        <f t="shared" si="1"/>
        <v>1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高麗菜</v>
      </c>
      <c r="AJ24" s="80"/>
    </row>
    <row r="25" spans="1:36" ht="18" customHeight="1">
      <c r="A25" s="99" t="s">
        <v>174</v>
      </c>
      <c r="B25" s="100" t="s">
        <v>113</v>
      </c>
      <c r="C25" s="99">
        <v>1</v>
      </c>
      <c r="D25" s="132"/>
      <c r="E25" s="99"/>
      <c r="F25" s="97"/>
      <c r="G25" s="99"/>
      <c r="H25" s="97"/>
      <c r="I25" s="99"/>
      <c r="J25" s="99">
        <v>1</v>
      </c>
      <c r="K25" s="99"/>
      <c r="L25" s="99"/>
      <c r="M25" s="97"/>
      <c r="N25" s="99"/>
      <c r="O25" s="97"/>
      <c r="P25" s="99"/>
      <c r="Q25" s="99"/>
      <c r="R25" s="99"/>
      <c r="S25" s="99"/>
      <c r="T25" s="97"/>
      <c r="U25" s="99"/>
      <c r="V25" s="97"/>
      <c r="W25" s="99"/>
      <c r="X25" s="99"/>
      <c r="Y25" s="99"/>
      <c r="Z25" s="99"/>
      <c r="AA25" s="97"/>
      <c r="AB25" s="99"/>
      <c r="AC25" s="97"/>
      <c r="AD25" s="99"/>
      <c r="AE25" s="99"/>
      <c r="AF25" s="99"/>
      <c r="AG25" s="77">
        <f t="shared" si="1"/>
        <v>2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容容</v>
      </c>
      <c r="AJ25" s="82"/>
    </row>
    <row r="26" spans="1:36" ht="18" customHeight="1">
      <c r="A26" s="99" t="s">
        <v>174</v>
      </c>
      <c r="B26" s="100" t="s">
        <v>94</v>
      </c>
      <c r="C26" s="99">
        <v>1</v>
      </c>
      <c r="D26" s="132"/>
      <c r="E26" s="99"/>
      <c r="F26" s="97"/>
      <c r="G26" s="99"/>
      <c r="H26" s="97"/>
      <c r="I26" s="99"/>
      <c r="J26" s="99">
        <v>1</v>
      </c>
      <c r="K26" s="99"/>
      <c r="L26" s="99">
        <v>1</v>
      </c>
      <c r="M26" s="97"/>
      <c r="N26" s="99">
        <v>1</v>
      </c>
      <c r="O26" s="97"/>
      <c r="P26" s="99">
        <v>1</v>
      </c>
      <c r="Q26" s="99"/>
      <c r="R26" s="99"/>
      <c r="S26" s="99"/>
      <c r="T26" s="97"/>
      <c r="U26" s="99"/>
      <c r="V26" s="97"/>
      <c r="W26" s="99">
        <v>1</v>
      </c>
      <c r="X26" s="99">
        <v>1</v>
      </c>
      <c r="Y26" s="99"/>
      <c r="Z26" s="99"/>
      <c r="AA26" s="97"/>
      <c r="AB26" s="99"/>
      <c r="AC26" s="97"/>
      <c r="AD26" s="99"/>
      <c r="AE26" s="99">
        <v>1</v>
      </c>
      <c r="AF26" s="99"/>
      <c r="AG26" s="77">
        <f t="shared" si="1"/>
        <v>7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小花</v>
      </c>
      <c r="AJ26" s="80"/>
    </row>
    <row r="27" spans="1:36" ht="18" customHeight="1">
      <c r="A27" s="99" t="s">
        <v>174</v>
      </c>
      <c r="B27" s="100" t="s">
        <v>95</v>
      </c>
      <c r="C27" s="99">
        <v>1</v>
      </c>
      <c r="D27" s="132">
        <v>1</v>
      </c>
      <c r="E27" s="99">
        <v>1</v>
      </c>
      <c r="F27" s="97"/>
      <c r="G27" s="99">
        <v>1</v>
      </c>
      <c r="H27" s="97"/>
      <c r="I27" s="99">
        <v>1</v>
      </c>
      <c r="J27" s="99"/>
      <c r="K27" s="99">
        <v>1</v>
      </c>
      <c r="L27" s="99">
        <v>1</v>
      </c>
      <c r="M27" s="97"/>
      <c r="N27" s="99">
        <v>1</v>
      </c>
      <c r="O27" s="97"/>
      <c r="P27" s="99">
        <v>1</v>
      </c>
      <c r="Q27" s="99"/>
      <c r="R27" s="99">
        <v>1</v>
      </c>
      <c r="S27" s="99">
        <v>1</v>
      </c>
      <c r="T27" s="97"/>
      <c r="U27" s="99"/>
      <c r="V27" s="97"/>
      <c r="W27" s="99"/>
      <c r="X27" s="99"/>
      <c r="Y27" s="99"/>
      <c r="Z27" s="99">
        <v>1</v>
      </c>
      <c r="AA27" s="97"/>
      <c r="AB27" s="99">
        <v>1</v>
      </c>
      <c r="AC27" s="97"/>
      <c r="AD27" s="99">
        <v>1</v>
      </c>
      <c r="AE27" s="99"/>
      <c r="AF27" s="99">
        <v>1</v>
      </c>
      <c r="AG27" s="77">
        <f t="shared" si="1"/>
        <v>14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2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99"/>
      <c r="F28" s="97"/>
      <c r="G28" s="99"/>
      <c r="H28" s="97"/>
      <c r="I28" s="99"/>
      <c r="J28" s="99"/>
      <c r="K28" s="99"/>
      <c r="L28" s="99"/>
      <c r="M28" s="97"/>
      <c r="N28" s="99"/>
      <c r="O28" s="97"/>
      <c r="P28" s="99"/>
      <c r="Q28" s="99"/>
      <c r="R28" s="99"/>
      <c r="S28" s="99"/>
      <c r="T28" s="97"/>
      <c r="U28" s="99"/>
      <c r="V28" s="97"/>
      <c r="W28" s="99"/>
      <c r="X28" s="99"/>
      <c r="Y28" s="99"/>
      <c r="Z28" s="99"/>
      <c r="AA28" s="97"/>
      <c r="AB28" s="99"/>
      <c r="AC28" s="97"/>
      <c r="AD28" s="99"/>
      <c r="AE28" s="99"/>
      <c r="AF28" s="99"/>
      <c r="AG28" s="77">
        <f t="shared" si="1"/>
        <v>0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2"/>
        <v>飛飛</v>
      </c>
      <c r="AJ28" s="81"/>
    </row>
    <row r="29" spans="1:36" ht="18" customHeight="1">
      <c r="A29" s="99" t="s">
        <v>174</v>
      </c>
      <c r="B29" s="100" t="s">
        <v>147</v>
      </c>
      <c r="C29" s="99"/>
      <c r="D29" s="132"/>
      <c r="E29" s="99"/>
      <c r="F29" s="97"/>
      <c r="G29" s="99"/>
      <c r="H29" s="97"/>
      <c r="I29" s="99"/>
      <c r="J29" s="99"/>
      <c r="K29" s="99"/>
      <c r="L29" s="99"/>
      <c r="M29" s="97"/>
      <c r="N29" s="99"/>
      <c r="O29" s="97"/>
      <c r="P29" s="99"/>
      <c r="Q29" s="99"/>
      <c r="R29" s="99"/>
      <c r="S29" s="99"/>
      <c r="T29" s="97"/>
      <c r="U29" s="99"/>
      <c r="V29" s="97"/>
      <c r="W29" s="99">
        <v>1</v>
      </c>
      <c r="X29" s="99"/>
      <c r="Y29" s="99"/>
      <c r="Z29" s="99"/>
      <c r="AA29" s="97"/>
      <c r="AB29" s="99"/>
      <c r="AC29" s="97"/>
      <c r="AD29" s="99"/>
      <c r="AE29" s="99"/>
      <c r="AF29" s="99"/>
      <c r="AG29" s="77">
        <f t="shared" si="1"/>
        <v>1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2"/>
        <v>湘苡</v>
      </c>
      <c r="AJ29" s="80"/>
    </row>
    <row r="30" spans="1:36" ht="18" customHeight="1">
      <c r="A30" s="99" t="s">
        <v>174</v>
      </c>
      <c r="B30" s="100" t="s">
        <v>148</v>
      </c>
      <c r="C30" s="99"/>
      <c r="D30" s="132"/>
      <c r="E30" s="99"/>
      <c r="F30" s="97"/>
      <c r="G30" s="99"/>
      <c r="H30" s="97"/>
      <c r="I30" s="99"/>
      <c r="J30" s="99"/>
      <c r="K30" s="99"/>
      <c r="L30" s="99"/>
      <c r="M30" s="97"/>
      <c r="N30" s="99">
        <v>1</v>
      </c>
      <c r="O30" s="97"/>
      <c r="P30" s="99"/>
      <c r="Q30" s="99"/>
      <c r="R30" s="99"/>
      <c r="S30" s="99"/>
      <c r="T30" s="97"/>
      <c r="U30" s="99"/>
      <c r="V30" s="97"/>
      <c r="W30" s="99"/>
      <c r="X30" s="99"/>
      <c r="Y30" s="99"/>
      <c r="Z30" s="99"/>
      <c r="AA30" s="97"/>
      <c r="AB30" s="99"/>
      <c r="AC30" s="97"/>
      <c r="AD30" s="99"/>
      <c r="AE30" s="99"/>
      <c r="AF30" s="99"/>
      <c r="AG30" s="77">
        <f t="shared" si="1"/>
        <v>1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2"/>
        <v>雅雅</v>
      </c>
      <c r="AJ30" s="82"/>
    </row>
    <row r="31" spans="1:36" ht="18" customHeight="1">
      <c r="A31" s="101" t="s">
        <v>174</v>
      </c>
      <c r="B31" s="102" t="s">
        <v>103</v>
      </c>
      <c r="C31" s="101"/>
      <c r="D31" s="137">
        <v>1</v>
      </c>
      <c r="E31" s="101">
        <v>1</v>
      </c>
      <c r="F31" s="97"/>
      <c r="G31" s="101">
        <v>1</v>
      </c>
      <c r="H31" s="97"/>
      <c r="I31" s="101">
        <v>1</v>
      </c>
      <c r="J31" s="101"/>
      <c r="K31" s="101">
        <v>1</v>
      </c>
      <c r="L31" s="101">
        <v>1</v>
      </c>
      <c r="M31" s="97"/>
      <c r="N31" s="101">
        <v>1</v>
      </c>
      <c r="O31" s="97"/>
      <c r="P31" s="101"/>
      <c r="Q31" s="101"/>
      <c r="R31" s="101">
        <v>1</v>
      </c>
      <c r="S31" s="101">
        <v>1</v>
      </c>
      <c r="T31" s="97"/>
      <c r="U31" s="101">
        <v>1</v>
      </c>
      <c r="V31" s="97"/>
      <c r="W31" s="101"/>
      <c r="X31" s="101"/>
      <c r="Y31" s="101"/>
      <c r="Z31" s="101">
        <v>1</v>
      </c>
      <c r="AA31" s="97"/>
      <c r="AB31" s="101">
        <v>1</v>
      </c>
      <c r="AC31" s="97"/>
      <c r="AD31" s="101">
        <v>1</v>
      </c>
      <c r="AE31" s="101"/>
      <c r="AF31" s="101"/>
      <c r="AG31" s="86">
        <f t="shared" si="1"/>
        <v>13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圈圈</v>
      </c>
      <c r="AJ31" s="90"/>
    </row>
    <row r="32" spans="1:36" ht="18" customHeight="1">
      <c r="A32" s="101" t="s">
        <v>174</v>
      </c>
      <c r="B32" s="102" t="s">
        <v>104</v>
      </c>
      <c r="C32" s="101"/>
      <c r="D32" s="137">
        <v>1</v>
      </c>
      <c r="E32" s="101">
        <v>1</v>
      </c>
      <c r="F32" s="97"/>
      <c r="G32" s="101">
        <v>1</v>
      </c>
      <c r="H32" s="97"/>
      <c r="I32" s="101"/>
      <c r="J32" s="101"/>
      <c r="K32" s="101">
        <v>1</v>
      </c>
      <c r="L32" s="101">
        <v>1</v>
      </c>
      <c r="M32" s="97"/>
      <c r="N32" s="101">
        <v>1</v>
      </c>
      <c r="O32" s="97"/>
      <c r="P32" s="101"/>
      <c r="Q32" s="101">
        <v>1</v>
      </c>
      <c r="R32" s="101">
        <v>1</v>
      </c>
      <c r="S32" s="101">
        <v>1</v>
      </c>
      <c r="T32" s="97"/>
      <c r="U32" s="101">
        <v>1</v>
      </c>
      <c r="V32" s="97"/>
      <c r="W32" s="101"/>
      <c r="X32" s="101"/>
      <c r="Y32" s="101"/>
      <c r="Z32" s="101">
        <v>1</v>
      </c>
      <c r="AA32" s="97"/>
      <c r="AB32" s="101"/>
      <c r="AC32" s="97"/>
      <c r="AD32" s="101">
        <v>1</v>
      </c>
      <c r="AE32" s="101"/>
      <c r="AF32" s="101"/>
      <c r="AG32" s="86">
        <f t="shared" si="1"/>
        <v>12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2"/>
        <v>卡丘</v>
      </c>
      <c r="AJ32" s="90"/>
    </row>
    <row r="33" spans="1:36" ht="18" customHeight="1">
      <c r="A33" s="101" t="s">
        <v>174</v>
      </c>
      <c r="B33" s="102" t="s">
        <v>105</v>
      </c>
      <c r="C33" s="101"/>
      <c r="D33" s="137">
        <v>1</v>
      </c>
      <c r="E33" s="101">
        <v>1</v>
      </c>
      <c r="F33" s="97"/>
      <c r="G33" s="101">
        <v>1</v>
      </c>
      <c r="H33" s="97"/>
      <c r="I33" s="101"/>
      <c r="J33" s="101"/>
      <c r="K33" s="101">
        <v>1</v>
      </c>
      <c r="L33" s="101">
        <v>1</v>
      </c>
      <c r="M33" s="97"/>
      <c r="N33" s="101">
        <v>1</v>
      </c>
      <c r="O33" s="97"/>
      <c r="P33" s="101"/>
      <c r="Q33" s="101"/>
      <c r="R33" s="101">
        <v>1</v>
      </c>
      <c r="S33" s="101">
        <v>1</v>
      </c>
      <c r="T33" s="97"/>
      <c r="U33" s="101">
        <v>1</v>
      </c>
      <c r="V33" s="97"/>
      <c r="W33" s="101"/>
      <c r="X33" s="101"/>
      <c r="Y33" s="101"/>
      <c r="Z33" s="101">
        <v>1</v>
      </c>
      <c r="AA33" s="97"/>
      <c r="AB33" s="101">
        <v>1</v>
      </c>
      <c r="AC33" s="97"/>
      <c r="AD33" s="101"/>
      <c r="AE33" s="101"/>
      <c r="AF33" s="101"/>
      <c r="AG33" s="86">
        <f t="shared" si="1"/>
        <v>11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2"/>
        <v>琬蓁</v>
      </c>
      <c r="AJ33" s="90"/>
    </row>
    <row r="34" spans="1:36" ht="18" customHeight="1">
      <c r="A34" s="101" t="s">
        <v>174</v>
      </c>
      <c r="B34" s="102" t="s">
        <v>116</v>
      </c>
      <c r="C34" s="101">
        <v>1</v>
      </c>
      <c r="D34" s="137"/>
      <c r="E34" s="101"/>
      <c r="F34" s="97"/>
      <c r="G34" s="101">
        <v>1</v>
      </c>
      <c r="H34" s="97"/>
      <c r="I34" s="101">
        <v>1</v>
      </c>
      <c r="J34" s="101"/>
      <c r="K34" s="101"/>
      <c r="L34" s="101">
        <v>1</v>
      </c>
      <c r="M34" s="97"/>
      <c r="N34" s="101"/>
      <c r="O34" s="97"/>
      <c r="P34" s="101">
        <v>1</v>
      </c>
      <c r="Q34" s="101">
        <v>1</v>
      </c>
      <c r="R34" s="101"/>
      <c r="S34" s="101"/>
      <c r="T34" s="97"/>
      <c r="U34" s="101"/>
      <c r="V34" s="97"/>
      <c r="W34" s="101"/>
      <c r="X34" s="101"/>
      <c r="Y34" s="101"/>
      <c r="Z34" s="101">
        <v>1</v>
      </c>
      <c r="AA34" s="97"/>
      <c r="AB34" s="101">
        <v>1</v>
      </c>
      <c r="AC34" s="97"/>
      <c r="AD34" s="101">
        <v>1</v>
      </c>
      <c r="AE34" s="101"/>
      <c r="AF34" s="101"/>
      <c r="AG34" s="86">
        <f t="shared" si="1"/>
        <v>9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2"/>
        <v>大汪</v>
      </c>
      <c r="AJ34" s="89"/>
    </row>
    <row r="35" spans="1:36" ht="18" customHeight="1">
      <c r="A35" s="101" t="s">
        <v>174</v>
      </c>
      <c r="B35" s="102" t="s">
        <v>117</v>
      </c>
      <c r="C35" s="101"/>
      <c r="D35" s="137"/>
      <c r="E35" s="101"/>
      <c r="F35" s="97"/>
      <c r="G35" s="101"/>
      <c r="H35" s="97"/>
      <c r="I35" s="101"/>
      <c r="J35" s="101"/>
      <c r="K35" s="101"/>
      <c r="L35" s="101"/>
      <c r="M35" s="97"/>
      <c r="N35" s="101"/>
      <c r="O35" s="97"/>
      <c r="P35" s="101"/>
      <c r="Q35" s="101"/>
      <c r="R35" s="101"/>
      <c r="S35" s="101"/>
      <c r="T35" s="97"/>
      <c r="U35" s="101"/>
      <c r="V35" s="97"/>
      <c r="W35" s="101"/>
      <c r="X35" s="101"/>
      <c r="Y35" s="101">
        <v>1</v>
      </c>
      <c r="Z35" s="101"/>
      <c r="AA35" s="97"/>
      <c r="AB35" s="101"/>
      <c r="AC35" s="97"/>
      <c r="AD35" s="101"/>
      <c r="AE35" s="101"/>
      <c r="AF35" s="101"/>
      <c r="AG35" s="86">
        <f t="shared" si="1"/>
        <v>1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2"/>
        <v>依凡</v>
      </c>
      <c r="AJ35" s="89"/>
    </row>
    <row r="36" spans="1:36" ht="18" customHeight="1">
      <c r="A36" s="101" t="s">
        <v>174</v>
      </c>
      <c r="B36" s="102" t="s">
        <v>118</v>
      </c>
      <c r="C36" s="101"/>
      <c r="D36" s="137"/>
      <c r="E36" s="101"/>
      <c r="F36" s="97"/>
      <c r="G36" s="101"/>
      <c r="H36" s="97"/>
      <c r="I36" s="101"/>
      <c r="J36" s="101"/>
      <c r="K36" s="101"/>
      <c r="L36" s="101"/>
      <c r="M36" s="97"/>
      <c r="N36" s="101"/>
      <c r="O36" s="97"/>
      <c r="P36" s="101"/>
      <c r="Q36" s="101"/>
      <c r="R36" s="101"/>
      <c r="S36" s="101"/>
      <c r="T36" s="97"/>
      <c r="U36" s="101"/>
      <c r="V36" s="97"/>
      <c r="W36" s="101"/>
      <c r="X36" s="101"/>
      <c r="Y36" s="101"/>
      <c r="Z36" s="101"/>
      <c r="AA36" s="97"/>
      <c r="AB36" s="101"/>
      <c r="AC36" s="97"/>
      <c r="AD36" s="101"/>
      <c r="AE36" s="101"/>
      <c r="AF36" s="101"/>
      <c r="AG36" s="86">
        <f t="shared" ref="AG36:AG67" si="3">COUNTA(C36:AD36)</f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4">B36</f>
        <v>雅筑</v>
      </c>
      <c r="AJ36" s="89"/>
    </row>
    <row r="37" spans="1:36" ht="18" customHeight="1">
      <c r="A37" s="101" t="s">
        <v>174</v>
      </c>
      <c r="B37" s="102" t="s">
        <v>119</v>
      </c>
      <c r="C37" s="101"/>
      <c r="D37" s="137"/>
      <c r="E37" s="101"/>
      <c r="F37" s="97"/>
      <c r="G37" s="101"/>
      <c r="H37" s="97"/>
      <c r="I37" s="101">
        <v>1</v>
      </c>
      <c r="J37" s="101"/>
      <c r="K37" s="101"/>
      <c r="L37" s="101"/>
      <c r="M37" s="97"/>
      <c r="N37" s="101"/>
      <c r="O37" s="97"/>
      <c r="P37" s="101"/>
      <c r="Q37" s="101">
        <v>1</v>
      </c>
      <c r="R37" s="101"/>
      <c r="S37" s="101"/>
      <c r="T37" s="97"/>
      <c r="U37" s="101"/>
      <c r="V37" s="97"/>
      <c r="W37" s="101"/>
      <c r="X37" s="101"/>
      <c r="Y37" s="101"/>
      <c r="Z37" s="101"/>
      <c r="AA37" s="97"/>
      <c r="AB37" s="101"/>
      <c r="AC37" s="97"/>
      <c r="AD37" s="101">
        <v>1</v>
      </c>
      <c r="AE37" s="101"/>
      <c r="AF37" s="101"/>
      <c r="AG37" s="86">
        <f t="shared" si="3"/>
        <v>3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4"/>
        <v>ABBY</v>
      </c>
      <c r="AJ37" s="90"/>
    </row>
    <row r="38" spans="1:36" ht="18" customHeight="1">
      <c r="A38" s="101" t="s">
        <v>174</v>
      </c>
      <c r="B38" s="102" t="s">
        <v>120</v>
      </c>
      <c r="C38" s="101"/>
      <c r="D38" s="137"/>
      <c r="E38" s="101"/>
      <c r="F38" s="97"/>
      <c r="G38" s="101"/>
      <c r="H38" s="97"/>
      <c r="I38" s="101"/>
      <c r="J38" s="101"/>
      <c r="K38" s="101"/>
      <c r="L38" s="101"/>
      <c r="M38" s="97"/>
      <c r="N38" s="101"/>
      <c r="O38" s="97"/>
      <c r="P38" s="101"/>
      <c r="Q38" s="101"/>
      <c r="R38" s="101">
        <v>1</v>
      </c>
      <c r="S38" s="101"/>
      <c r="T38" s="97"/>
      <c r="U38" s="101"/>
      <c r="V38" s="97"/>
      <c r="W38" s="101"/>
      <c r="X38" s="101"/>
      <c r="Y38" s="101"/>
      <c r="Z38" s="101"/>
      <c r="AA38" s="97"/>
      <c r="AB38" s="101"/>
      <c r="AC38" s="97"/>
      <c r="AD38" s="101"/>
      <c r="AE38" s="101"/>
      <c r="AF38" s="101"/>
      <c r="AG38" s="86">
        <f t="shared" si="3"/>
        <v>1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4"/>
        <v>品君</v>
      </c>
      <c r="AJ38" s="90"/>
    </row>
    <row r="39" spans="1:36" ht="18" customHeight="1">
      <c r="A39" s="101" t="s">
        <v>174</v>
      </c>
      <c r="B39" s="102" t="s">
        <v>121</v>
      </c>
      <c r="C39" s="101">
        <v>1</v>
      </c>
      <c r="D39" s="137"/>
      <c r="E39" s="101"/>
      <c r="F39" s="97"/>
      <c r="G39" s="101">
        <v>1</v>
      </c>
      <c r="H39" s="97"/>
      <c r="I39" s="101">
        <v>1</v>
      </c>
      <c r="J39" s="101">
        <v>1</v>
      </c>
      <c r="K39" s="101"/>
      <c r="L39" s="101">
        <v>1</v>
      </c>
      <c r="M39" s="97"/>
      <c r="N39" s="101"/>
      <c r="O39" s="97"/>
      <c r="P39" s="101">
        <v>1</v>
      </c>
      <c r="Q39" s="101">
        <v>1</v>
      </c>
      <c r="R39" s="101"/>
      <c r="S39" s="101"/>
      <c r="T39" s="97"/>
      <c r="U39" s="101"/>
      <c r="V39" s="97"/>
      <c r="W39" s="101"/>
      <c r="X39" s="101">
        <v>1</v>
      </c>
      <c r="Y39" s="101">
        <v>1</v>
      </c>
      <c r="Z39" s="101">
        <v>1</v>
      </c>
      <c r="AA39" s="97"/>
      <c r="AB39" s="101">
        <v>1</v>
      </c>
      <c r="AC39" s="97"/>
      <c r="AD39" s="101">
        <v>1</v>
      </c>
      <c r="AE39" s="101">
        <v>1</v>
      </c>
      <c r="AF39" s="101"/>
      <c r="AG39" s="86">
        <f t="shared" si="3"/>
        <v>12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4"/>
        <v>冰沙</v>
      </c>
      <c r="AJ39" s="90"/>
    </row>
    <row r="40" spans="1:36" ht="18" customHeight="1">
      <c r="A40" s="101" t="s">
        <v>174</v>
      </c>
      <c r="B40" s="102" t="s">
        <v>122</v>
      </c>
      <c r="C40" s="101"/>
      <c r="D40" s="137"/>
      <c r="E40" s="101"/>
      <c r="F40" s="97"/>
      <c r="G40" s="101"/>
      <c r="H40" s="97"/>
      <c r="I40" s="101">
        <v>1</v>
      </c>
      <c r="J40" s="101"/>
      <c r="K40" s="101"/>
      <c r="L40" s="101"/>
      <c r="M40" s="97"/>
      <c r="N40" s="101"/>
      <c r="O40" s="97"/>
      <c r="P40" s="101"/>
      <c r="Q40" s="101"/>
      <c r="R40" s="101"/>
      <c r="S40" s="101"/>
      <c r="T40" s="97"/>
      <c r="U40" s="101"/>
      <c r="V40" s="97"/>
      <c r="W40" s="101"/>
      <c r="X40" s="101"/>
      <c r="Y40" s="101"/>
      <c r="Z40" s="101"/>
      <c r="AA40" s="97"/>
      <c r="AB40" s="101">
        <v>1</v>
      </c>
      <c r="AC40" s="97"/>
      <c r="AD40" s="101"/>
      <c r="AE40" s="101"/>
      <c r="AF40" s="101"/>
      <c r="AG40" s="86">
        <f t="shared" si="3"/>
        <v>2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4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01"/>
      <c r="F41" s="97"/>
      <c r="G41" s="101"/>
      <c r="H41" s="97"/>
      <c r="I41" s="101"/>
      <c r="J41" s="101"/>
      <c r="K41" s="101"/>
      <c r="L41" s="101">
        <v>1</v>
      </c>
      <c r="M41" s="97"/>
      <c r="N41" s="101"/>
      <c r="O41" s="97"/>
      <c r="P41" s="101"/>
      <c r="Q41" s="101"/>
      <c r="R41" s="101"/>
      <c r="S41" s="101">
        <v>1</v>
      </c>
      <c r="T41" s="97"/>
      <c r="U41" s="101"/>
      <c r="V41" s="97"/>
      <c r="W41" s="101"/>
      <c r="X41" s="101"/>
      <c r="Y41" s="101"/>
      <c r="Z41" s="101">
        <v>1</v>
      </c>
      <c r="AA41" s="97"/>
      <c r="AB41" s="101"/>
      <c r="AC41" s="97"/>
      <c r="AD41" s="101"/>
      <c r="AE41" s="101"/>
      <c r="AF41" s="101"/>
      <c r="AG41" s="86">
        <f t="shared" si="3"/>
        <v>3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4"/>
        <v>瑤瑤</v>
      </c>
      <c r="AJ41" s="89"/>
    </row>
    <row r="42" spans="1:36" ht="18" customHeight="1">
      <c r="A42" s="95" t="s">
        <v>58</v>
      </c>
      <c r="B42" s="96" t="s">
        <v>23</v>
      </c>
      <c r="C42" s="95"/>
      <c r="D42" s="116">
        <v>1</v>
      </c>
      <c r="E42" s="95"/>
      <c r="F42" s="97"/>
      <c r="G42" s="95"/>
      <c r="H42" s="97"/>
      <c r="I42" s="95"/>
      <c r="J42" s="95"/>
      <c r="K42" s="95">
        <v>1</v>
      </c>
      <c r="L42" s="95"/>
      <c r="M42" s="97"/>
      <c r="N42" s="95"/>
      <c r="O42" s="97"/>
      <c r="P42" s="95"/>
      <c r="Q42" s="95"/>
      <c r="R42" s="95">
        <v>1</v>
      </c>
      <c r="S42" s="95"/>
      <c r="T42" s="97"/>
      <c r="U42" s="95">
        <v>1</v>
      </c>
      <c r="V42" s="97"/>
      <c r="W42" s="95"/>
      <c r="X42" s="95"/>
      <c r="Y42" s="95"/>
      <c r="Z42" s="95"/>
      <c r="AA42" s="97"/>
      <c r="AB42" s="95"/>
      <c r="AC42" s="97"/>
      <c r="AD42" s="95"/>
      <c r="AE42" s="95"/>
      <c r="AF42" s="95"/>
      <c r="AG42" s="66">
        <f t="shared" si="3"/>
        <v>4</v>
      </c>
      <c r="AH42" s="68" t="e">
        <f ca="1">(IF(A42="O", (VALUE(_xludf.IFS(AG42=0,"0",AG42=1,"150",AG42=2,"300",AG42=3,"450",AG42=4,"600",AG42=5,"750",AG42&gt;=6,"800"))),(VALUE(_xludf.IFS(AG42=0,"0",AG42=1,"150",AG42=2,"300",AG42=3,"450",AG42=4,"600",AG42=5,"750",AG42=6,"900",AG42&gt;=7,"1,000")))))/2</f>
        <v>#NAME?</v>
      </c>
      <c r="AI42" s="69" t="str">
        <f t="shared" si="4"/>
        <v>ㄈㄈ</v>
      </c>
      <c r="AJ42" s="73"/>
    </row>
    <row r="43" spans="1:36" ht="18" customHeight="1">
      <c r="A43" s="95" t="s">
        <v>58</v>
      </c>
      <c r="B43" s="96" t="s">
        <v>24</v>
      </c>
      <c r="C43" s="95">
        <v>1</v>
      </c>
      <c r="D43" s="116"/>
      <c r="E43" s="95"/>
      <c r="F43" s="97"/>
      <c r="G43" s="95"/>
      <c r="H43" s="97"/>
      <c r="I43" s="95"/>
      <c r="J43" s="95"/>
      <c r="K43" s="95"/>
      <c r="L43" s="95"/>
      <c r="M43" s="97"/>
      <c r="N43" s="95"/>
      <c r="O43" s="97"/>
      <c r="P43" s="95">
        <v>1</v>
      </c>
      <c r="Q43" s="95">
        <v>1</v>
      </c>
      <c r="R43" s="95"/>
      <c r="S43" s="95"/>
      <c r="T43" s="97"/>
      <c r="U43" s="95"/>
      <c r="V43" s="97"/>
      <c r="W43" s="95">
        <v>1</v>
      </c>
      <c r="X43" s="95">
        <v>1</v>
      </c>
      <c r="Y43" s="95"/>
      <c r="Z43" s="95"/>
      <c r="AA43" s="97"/>
      <c r="AB43" s="95">
        <v>1</v>
      </c>
      <c r="AC43" s="97"/>
      <c r="AD43" s="95">
        <v>1</v>
      </c>
      <c r="AE43" s="95"/>
      <c r="AF43" s="95"/>
      <c r="AG43" s="66">
        <f t="shared" si="3"/>
        <v>7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4"/>
        <v>大熊</v>
      </c>
      <c r="AJ43" s="73"/>
    </row>
    <row r="44" spans="1:36" ht="18" customHeight="1">
      <c r="A44" s="95" t="s">
        <v>58</v>
      </c>
      <c r="B44" s="96" t="s">
        <v>64</v>
      </c>
      <c r="C44" s="95">
        <v>1</v>
      </c>
      <c r="D44" s="116"/>
      <c r="E44" s="95">
        <v>1</v>
      </c>
      <c r="F44" s="97"/>
      <c r="G44" s="95">
        <v>1</v>
      </c>
      <c r="H44" s="97"/>
      <c r="I44" s="95"/>
      <c r="J44" s="95"/>
      <c r="K44" s="95"/>
      <c r="L44" s="95"/>
      <c r="M44" s="97"/>
      <c r="N44" s="95">
        <v>1</v>
      </c>
      <c r="O44" s="97"/>
      <c r="P44" s="95">
        <v>1</v>
      </c>
      <c r="Q44" s="95"/>
      <c r="R44" s="95"/>
      <c r="S44" s="95"/>
      <c r="T44" s="97"/>
      <c r="U44" s="95">
        <v>1</v>
      </c>
      <c r="V44" s="97"/>
      <c r="W44" s="95">
        <v>1</v>
      </c>
      <c r="X44" s="95">
        <v>1</v>
      </c>
      <c r="Y44" s="95">
        <v>1</v>
      </c>
      <c r="Z44" s="95"/>
      <c r="AA44" s="97"/>
      <c r="AB44" s="95">
        <v>1</v>
      </c>
      <c r="AC44" s="97"/>
      <c r="AD44" s="95"/>
      <c r="AE44" s="95"/>
      <c r="AF44" s="95"/>
      <c r="AG44" s="66">
        <f t="shared" si="3"/>
        <v>10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4"/>
        <v>園棠</v>
      </c>
      <c r="AJ44" s="73"/>
    </row>
    <row r="45" spans="1:36" ht="18" customHeight="1">
      <c r="A45" s="95" t="s">
        <v>58</v>
      </c>
      <c r="B45" s="96" t="s">
        <v>178</v>
      </c>
      <c r="C45" s="95">
        <v>1</v>
      </c>
      <c r="D45" s="116">
        <v>1</v>
      </c>
      <c r="E45" s="95"/>
      <c r="F45" s="97"/>
      <c r="G45" s="95"/>
      <c r="H45" s="97"/>
      <c r="I45" s="95">
        <v>1</v>
      </c>
      <c r="J45" s="95">
        <v>1</v>
      </c>
      <c r="K45" s="95">
        <v>1</v>
      </c>
      <c r="L45" s="95">
        <v>1</v>
      </c>
      <c r="M45" s="97"/>
      <c r="N45" s="95"/>
      <c r="O45" s="97"/>
      <c r="P45" s="95">
        <v>1</v>
      </c>
      <c r="Q45" s="95"/>
      <c r="R45" s="95"/>
      <c r="S45" s="95"/>
      <c r="T45" s="97"/>
      <c r="U45" s="95"/>
      <c r="V45" s="97"/>
      <c r="W45" s="95"/>
      <c r="X45" s="95">
        <v>1</v>
      </c>
      <c r="Y45" s="95"/>
      <c r="Z45" s="95"/>
      <c r="AA45" s="97"/>
      <c r="AB45" s="95"/>
      <c r="AC45" s="97"/>
      <c r="AD45" s="95">
        <v>1</v>
      </c>
      <c r="AE45" s="95">
        <v>1</v>
      </c>
      <c r="AF45" s="95"/>
      <c r="AG45" s="66">
        <f t="shared" si="3"/>
        <v>9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4"/>
        <v>Fish</v>
      </c>
      <c r="AJ45" s="73"/>
    </row>
    <row r="46" spans="1:36" ht="18" customHeight="1">
      <c r="A46" s="95" t="s">
        <v>58</v>
      </c>
      <c r="B46" s="96" t="s">
        <v>25</v>
      </c>
      <c r="C46" s="95">
        <v>1</v>
      </c>
      <c r="D46" s="116"/>
      <c r="E46" s="95"/>
      <c r="F46" s="97"/>
      <c r="G46" s="95"/>
      <c r="H46" s="97"/>
      <c r="I46" s="95">
        <v>1</v>
      </c>
      <c r="J46" s="95">
        <v>1</v>
      </c>
      <c r="K46" s="95">
        <v>1</v>
      </c>
      <c r="L46" s="95"/>
      <c r="M46" s="97"/>
      <c r="N46" s="95"/>
      <c r="O46" s="97"/>
      <c r="P46" s="95">
        <v>1</v>
      </c>
      <c r="Q46" s="95"/>
      <c r="R46" s="95"/>
      <c r="S46" s="95"/>
      <c r="T46" s="97"/>
      <c r="U46" s="95"/>
      <c r="V46" s="97"/>
      <c r="W46" s="95">
        <v>1</v>
      </c>
      <c r="X46" s="95"/>
      <c r="Y46" s="95">
        <v>1</v>
      </c>
      <c r="Z46" s="95">
        <v>1</v>
      </c>
      <c r="AA46" s="97"/>
      <c r="AB46" s="95">
        <v>1</v>
      </c>
      <c r="AC46" s="97"/>
      <c r="AD46" s="95">
        <v>1</v>
      </c>
      <c r="AE46" s="95">
        <v>1</v>
      </c>
      <c r="AF46" s="95">
        <v>1</v>
      </c>
      <c r="AG46" s="66">
        <f t="shared" si="3"/>
        <v>10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4"/>
        <v>潘潘</v>
      </c>
      <c r="AJ46" s="73"/>
    </row>
    <row r="47" spans="1:36" ht="18" customHeight="1">
      <c r="A47" s="95" t="s">
        <v>58</v>
      </c>
      <c r="B47" s="96" t="s">
        <v>63</v>
      </c>
      <c r="C47" s="95"/>
      <c r="D47" s="116"/>
      <c r="E47" s="95"/>
      <c r="F47" s="97"/>
      <c r="G47" s="95"/>
      <c r="H47" s="97"/>
      <c r="I47" s="95"/>
      <c r="J47" s="95"/>
      <c r="K47" s="95"/>
      <c r="L47" s="95"/>
      <c r="M47" s="97"/>
      <c r="N47" s="95"/>
      <c r="O47" s="97"/>
      <c r="P47" s="95"/>
      <c r="Q47" s="95"/>
      <c r="R47" s="95"/>
      <c r="S47" s="95"/>
      <c r="T47" s="97"/>
      <c r="U47" s="95"/>
      <c r="V47" s="97"/>
      <c r="W47" s="95"/>
      <c r="X47" s="95"/>
      <c r="Y47" s="95"/>
      <c r="Z47" s="95"/>
      <c r="AA47" s="97"/>
      <c r="AB47" s="95"/>
      <c r="AC47" s="97"/>
      <c r="AD47" s="95"/>
      <c r="AE47" s="95"/>
      <c r="AF47" s="95"/>
      <c r="AG47" s="66">
        <f t="shared" si="3"/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4"/>
        <v>芒果</v>
      </c>
      <c r="AJ47" s="73"/>
    </row>
    <row r="48" spans="1:36" ht="18" customHeight="1">
      <c r="A48" s="95" t="s">
        <v>58</v>
      </c>
      <c r="B48" s="96" t="s">
        <v>62</v>
      </c>
      <c r="C48" s="95">
        <v>1</v>
      </c>
      <c r="D48" s="116">
        <v>1</v>
      </c>
      <c r="E48" s="95"/>
      <c r="F48" s="97"/>
      <c r="G48" s="95">
        <v>1</v>
      </c>
      <c r="H48" s="97"/>
      <c r="I48" s="95"/>
      <c r="J48" s="95"/>
      <c r="K48" s="95">
        <v>1</v>
      </c>
      <c r="L48" s="95">
        <v>1</v>
      </c>
      <c r="M48" s="97"/>
      <c r="N48" s="95"/>
      <c r="O48" s="97"/>
      <c r="P48" s="95">
        <v>1</v>
      </c>
      <c r="Q48" s="95"/>
      <c r="R48" s="95"/>
      <c r="S48" s="95"/>
      <c r="T48" s="97"/>
      <c r="U48" s="95">
        <v>1</v>
      </c>
      <c r="V48" s="97"/>
      <c r="W48" s="95"/>
      <c r="X48" s="95"/>
      <c r="Y48" s="95"/>
      <c r="Z48" s="95"/>
      <c r="AA48" s="97"/>
      <c r="AB48" s="95">
        <v>1</v>
      </c>
      <c r="AC48" s="97"/>
      <c r="AD48" s="95"/>
      <c r="AE48" s="95">
        <v>1</v>
      </c>
      <c r="AF48" s="95"/>
      <c r="AG48" s="66">
        <f t="shared" si="3"/>
        <v>8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4"/>
        <v>國源</v>
      </c>
      <c r="AJ48" s="73"/>
    </row>
    <row r="49" spans="1:36" ht="18" customHeight="1">
      <c r="A49" s="95" t="s">
        <v>58</v>
      </c>
      <c r="B49" s="96" t="s">
        <v>26</v>
      </c>
      <c r="C49" s="95"/>
      <c r="D49" s="116"/>
      <c r="E49" s="95">
        <v>1</v>
      </c>
      <c r="F49" s="97"/>
      <c r="G49" s="95"/>
      <c r="H49" s="97"/>
      <c r="I49" s="95"/>
      <c r="J49" s="95">
        <v>1</v>
      </c>
      <c r="K49" s="95"/>
      <c r="L49" s="95">
        <v>1</v>
      </c>
      <c r="M49" s="97"/>
      <c r="N49" s="95">
        <v>1</v>
      </c>
      <c r="O49" s="97"/>
      <c r="P49" s="95">
        <v>1</v>
      </c>
      <c r="Q49" s="95"/>
      <c r="R49" s="95">
        <v>1</v>
      </c>
      <c r="S49" s="95">
        <v>1</v>
      </c>
      <c r="T49" s="97"/>
      <c r="U49" s="95">
        <v>1</v>
      </c>
      <c r="V49" s="97"/>
      <c r="W49" s="95"/>
      <c r="X49" s="95"/>
      <c r="Y49" s="95">
        <v>1</v>
      </c>
      <c r="Z49" s="95">
        <v>1</v>
      </c>
      <c r="AA49" s="97"/>
      <c r="AB49" s="95">
        <v>1</v>
      </c>
      <c r="AC49" s="97"/>
      <c r="AD49" s="95"/>
      <c r="AE49" s="95">
        <v>1</v>
      </c>
      <c r="AF49" s="95"/>
      <c r="AG49" s="66">
        <f t="shared" si="3"/>
        <v>11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4"/>
        <v>曉強</v>
      </c>
      <c r="AJ49" s="73"/>
    </row>
    <row r="50" spans="1:36" ht="18" customHeight="1">
      <c r="A50" s="95" t="s">
        <v>58</v>
      </c>
      <c r="B50" s="96" t="s">
        <v>59</v>
      </c>
      <c r="C50" s="95"/>
      <c r="D50" s="116"/>
      <c r="E50" s="95"/>
      <c r="F50" s="97"/>
      <c r="G50" s="95"/>
      <c r="H50" s="97"/>
      <c r="I50" s="95"/>
      <c r="J50" s="95"/>
      <c r="K50" s="95"/>
      <c r="L50" s="95"/>
      <c r="M50" s="97"/>
      <c r="N50" s="95"/>
      <c r="O50" s="97"/>
      <c r="P50" s="95"/>
      <c r="Q50" s="95"/>
      <c r="R50" s="95"/>
      <c r="S50" s="95"/>
      <c r="T50" s="97"/>
      <c r="U50" s="95"/>
      <c r="V50" s="97"/>
      <c r="W50" s="95"/>
      <c r="X50" s="95"/>
      <c r="Y50" s="95"/>
      <c r="Z50" s="95"/>
      <c r="AA50" s="97"/>
      <c r="AB50" s="95"/>
      <c r="AC50" s="97"/>
      <c r="AD50" s="95"/>
      <c r="AE50" s="95"/>
      <c r="AF50" s="95"/>
      <c r="AG50" s="66">
        <f t="shared" si="3"/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4"/>
        <v>阿幹</v>
      </c>
      <c r="AJ50" s="73"/>
    </row>
    <row r="51" spans="1:36" ht="18" customHeight="1">
      <c r="A51" s="95" t="s">
        <v>58</v>
      </c>
      <c r="B51" s="96" t="s">
        <v>27</v>
      </c>
      <c r="C51" s="95"/>
      <c r="D51" s="116"/>
      <c r="E51" s="95"/>
      <c r="F51" s="97"/>
      <c r="G51" s="95"/>
      <c r="H51" s="97"/>
      <c r="I51" s="95"/>
      <c r="J51" s="95"/>
      <c r="K51" s="95"/>
      <c r="L51" s="95"/>
      <c r="M51" s="97"/>
      <c r="N51" s="95"/>
      <c r="O51" s="97"/>
      <c r="P51" s="95"/>
      <c r="Q51" s="95"/>
      <c r="R51" s="95"/>
      <c r="S51" s="95"/>
      <c r="T51" s="97"/>
      <c r="U51" s="95"/>
      <c r="V51" s="97"/>
      <c r="W51" s="95"/>
      <c r="X51" s="95"/>
      <c r="Y51" s="95"/>
      <c r="Z51" s="95"/>
      <c r="AA51" s="97"/>
      <c r="AB51" s="95"/>
      <c r="AC51" s="97"/>
      <c r="AD51" s="95"/>
      <c r="AE51" s="95"/>
      <c r="AF51" s="95"/>
      <c r="AG51" s="66">
        <f t="shared" si="3"/>
        <v>0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4"/>
        <v>芋圓</v>
      </c>
      <c r="AJ51" s="73"/>
    </row>
    <row r="52" spans="1:36" ht="18" customHeight="1">
      <c r="A52" s="95" t="s">
        <v>58</v>
      </c>
      <c r="B52" s="96" t="s">
        <v>28</v>
      </c>
      <c r="C52" s="95"/>
      <c r="D52" s="116"/>
      <c r="E52" s="95"/>
      <c r="F52" s="97"/>
      <c r="G52" s="95"/>
      <c r="H52" s="97"/>
      <c r="I52" s="95"/>
      <c r="J52" s="95"/>
      <c r="K52" s="95"/>
      <c r="L52" s="95"/>
      <c r="M52" s="97"/>
      <c r="N52" s="95"/>
      <c r="O52" s="97"/>
      <c r="P52" s="95"/>
      <c r="Q52" s="95"/>
      <c r="R52" s="95"/>
      <c r="S52" s="95"/>
      <c r="T52" s="97"/>
      <c r="U52" s="95"/>
      <c r="V52" s="97"/>
      <c r="W52" s="95"/>
      <c r="X52" s="95"/>
      <c r="Y52" s="95"/>
      <c r="Z52" s="95"/>
      <c r="AA52" s="97"/>
      <c r="AB52" s="95"/>
      <c r="AC52" s="97"/>
      <c r="AD52" s="95"/>
      <c r="AE52" s="95"/>
      <c r="AF52" s="95"/>
      <c r="AG52" s="66">
        <f t="shared" si="3"/>
        <v>0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4"/>
        <v>克勤</v>
      </c>
      <c r="AJ52" s="73"/>
    </row>
    <row r="53" spans="1:36" ht="18" customHeight="1">
      <c r="A53" s="95" t="s">
        <v>58</v>
      </c>
      <c r="B53" s="96" t="s">
        <v>29</v>
      </c>
      <c r="C53" s="95"/>
      <c r="D53" s="116"/>
      <c r="E53" s="95"/>
      <c r="F53" s="97"/>
      <c r="G53" s="95"/>
      <c r="H53" s="97"/>
      <c r="I53" s="95"/>
      <c r="J53" s="95"/>
      <c r="K53" s="95"/>
      <c r="L53" s="95">
        <v>1</v>
      </c>
      <c r="M53" s="97"/>
      <c r="N53" s="95"/>
      <c r="O53" s="97"/>
      <c r="P53" s="95"/>
      <c r="Q53" s="95"/>
      <c r="R53" s="95"/>
      <c r="S53" s="95"/>
      <c r="T53" s="97"/>
      <c r="U53" s="95"/>
      <c r="V53" s="97"/>
      <c r="W53" s="95"/>
      <c r="X53" s="95"/>
      <c r="Y53" s="95"/>
      <c r="Z53" s="95"/>
      <c r="AA53" s="97"/>
      <c r="AB53" s="95"/>
      <c r="AC53" s="97"/>
      <c r="AD53" s="95"/>
      <c r="AE53" s="95"/>
      <c r="AF53" s="95"/>
      <c r="AG53" s="66">
        <f t="shared" si="3"/>
        <v>1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4"/>
        <v>大頭</v>
      </c>
      <c r="AJ53" s="73"/>
    </row>
    <row r="54" spans="1:36" ht="18" customHeight="1">
      <c r="A54" s="95" t="s">
        <v>58</v>
      </c>
      <c r="B54" s="96" t="s">
        <v>65</v>
      </c>
      <c r="C54" s="95">
        <v>1</v>
      </c>
      <c r="D54" s="116"/>
      <c r="E54" s="95"/>
      <c r="F54" s="97"/>
      <c r="G54" s="95"/>
      <c r="H54" s="97"/>
      <c r="I54" s="95"/>
      <c r="J54" s="95"/>
      <c r="K54" s="95"/>
      <c r="L54" s="95">
        <v>1</v>
      </c>
      <c r="M54" s="97"/>
      <c r="N54" s="95"/>
      <c r="O54" s="97"/>
      <c r="P54" s="95"/>
      <c r="Q54" s="95"/>
      <c r="R54" s="95"/>
      <c r="S54" s="95"/>
      <c r="T54" s="97"/>
      <c r="U54" s="95"/>
      <c r="V54" s="97"/>
      <c r="W54" s="95"/>
      <c r="X54" s="95"/>
      <c r="Y54" s="95"/>
      <c r="Z54" s="95"/>
      <c r="AA54" s="97"/>
      <c r="AB54" s="95"/>
      <c r="AC54" s="97"/>
      <c r="AD54" s="95"/>
      <c r="AE54" s="95"/>
      <c r="AF54" s="95"/>
      <c r="AG54" s="66">
        <f t="shared" si="3"/>
        <v>2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4"/>
        <v>文淵</v>
      </c>
      <c r="AJ54" s="73"/>
    </row>
    <row r="55" spans="1:36" ht="18" customHeight="1">
      <c r="A55" s="95" t="s">
        <v>58</v>
      </c>
      <c r="B55" s="96" t="s">
        <v>72</v>
      </c>
      <c r="C55" s="95"/>
      <c r="D55" s="116">
        <v>1</v>
      </c>
      <c r="E55" s="95"/>
      <c r="F55" s="97"/>
      <c r="G55" s="95"/>
      <c r="H55" s="97"/>
      <c r="I55" s="95">
        <v>1</v>
      </c>
      <c r="J55" s="95"/>
      <c r="K55" s="95">
        <v>1</v>
      </c>
      <c r="L55" s="95"/>
      <c r="M55" s="97"/>
      <c r="N55" s="95"/>
      <c r="O55" s="97"/>
      <c r="P55" s="95"/>
      <c r="Q55" s="95"/>
      <c r="R55" s="95"/>
      <c r="S55" s="95"/>
      <c r="T55" s="97"/>
      <c r="U55" s="95"/>
      <c r="V55" s="97"/>
      <c r="W55" s="95"/>
      <c r="X55" s="95"/>
      <c r="Y55" s="95"/>
      <c r="Z55" s="95"/>
      <c r="AA55" s="97"/>
      <c r="AB55" s="95"/>
      <c r="AC55" s="97"/>
      <c r="AD55" s="95">
        <v>1</v>
      </c>
      <c r="AE55" s="95"/>
      <c r="AF55" s="95"/>
      <c r="AG55" s="66">
        <f t="shared" si="3"/>
        <v>4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4"/>
        <v>八卦</v>
      </c>
      <c r="AJ55" s="73"/>
    </row>
    <row r="56" spans="1:36" ht="18" customHeight="1">
      <c r="A56" s="95" t="s">
        <v>58</v>
      </c>
      <c r="B56" s="96" t="s">
        <v>66</v>
      </c>
      <c r="C56" s="95"/>
      <c r="D56" s="116"/>
      <c r="E56" s="95"/>
      <c r="F56" s="97"/>
      <c r="G56" s="95"/>
      <c r="H56" s="97"/>
      <c r="I56" s="95"/>
      <c r="J56" s="95"/>
      <c r="K56" s="95"/>
      <c r="L56" s="95"/>
      <c r="M56" s="97"/>
      <c r="N56" s="95"/>
      <c r="O56" s="97"/>
      <c r="P56" s="95"/>
      <c r="Q56" s="95"/>
      <c r="R56" s="95">
        <v>1</v>
      </c>
      <c r="S56" s="95"/>
      <c r="T56" s="97"/>
      <c r="U56" s="95">
        <v>1</v>
      </c>
      <c r="V56" s="97"/>
      <c r="W56" s="95"/>
      <c r="X56" s="95"/>
      <c r="Y56" s="95"/>
      <c r="Z56" s="95"/>
      <c r="AA56" s="97"/>
      <c r="AB56" s="95"/>
      <c r="AC56" s="97"/>
      <c r="AD56" s="95"/>
      <c r="AE56" s="95"/>
      <c r="AF56" s="95"/>
      <c r="AG56" s="66">
        <f t="shared" si="3"/>
        <v>2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4"/>
        <v>昆佑</v>
      </c>
      <c r="AJ56" s="73"/>
    </row>
    <row r="57" spans="1:36" ht="18" customHeight="1">
      <c r="A57" s="95" t="s">
        <v>58</v>
      </c>
      <c r="B57" s="96" t="s">
        <v>68</v>
      </c>
      <c r="C57" s="95"/>
      <c r="D57" s="116"/>
      <c r="E57" s="95"/>
      <c r="F57" s="97"/>
      <c r="G57" s="95"/>
      <c r="H57" s="97"/>
      <c r="I57" s="95"/>
      <c r="J57" s="95"/>
      <c r="K57" s="95"/>
      <c r="L57" s="95"/>
      <c r="M57" s="97"/>
      <c r="N57" s="95"/>
      <c r="O57" s="97"/>
      <c r="P57" s="95"/>
      <c r="Q57" s="95"/>
      <c r="R57" s="95"/>
      <c r="S57" s="95"/>
      <c r="T57" s="97"/>
      <c r="U57" s="95"/>
      <c r="V57" s="97"/>
      <c r="W57" s="95"/>
      <c r="X57" s="95"/>
      <c r="Y57" s="95"/>
      <c r="Z57" s="95"/>
      <c r="AA57" s="97"/>
      <c r="AB57" s="95"/>
      <c r="AC57" s="97"/>
      <c r="AD57" s="95"/>
      <c r="AE57" s="95"/>
      <c r="AF57" s="95"/>
      <c r="AG57" s="66">
        <f t="shared" si="3"/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4"/>
        <v>兔子</v>
      </c>
      <c r="AJ57" s="73"/>
    </row>
    <row r="58" spans="1:36" ht="18" customHeight="1">
      <c r="A58" s="95" t="s">
        <v>58</v>
      </c>
      <c r="B58" s="96" t="s">
        <v>69</v>
      </c>
      <c r="C58" s="95"/>
      <c r="D58" s="116"/>
      <c r="E58" s="95"/>
      <c r="F58" s="97"/>
      <c r="G58" s="95"/>
      <c r="H58" s="97"/>
      <c r="I58" s="95"/>
      <c r="J58" s="95"/>
      <c r="K58" s="95"/>
      <c r="L58" s="95"/>
      <c r="M58" s="97"/>
      <c r="N58" s="95"/>
      <c r="O58" s="97"/>
      <c r="P58" s="95"/>
      <c r="Q58" s="95"/>
      <c r="R58" s="95"/>
      <c r="S58" s="95"/>
      <c r="T58" s="97"/>
      <c r="U58" s="95"/>
      <c r="V58" s="97"/>
      <c r="W58" s="95"/>
      <c r="X58" s="95"/>
      <c r="Y58" s="95"/>
      <c r="Z58" s="95"/>
      <c r="AA58" s="97"/>
      <c r="AB58" s="95"/>
      <c r="AC58" s="97"/>
      <c r="AD58" s="95"/>
      <c r="AE58" s="95"/>
      <c r="AF58" s="95"/>
      <c r="AG58" s="66">
        <f t="shared" si="3"/>
        <v>0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4"/>
        <v>小馬</v>
      </c>
      <c r="AJ58" s="73"/>
    </row>
    <row r="59" spans="1:36" ht="18" customHeight="1">
      <c r="A59" s="95" t="s">
        <v>58</v>
      </c>
      <c r="B59" s="96" t="s">
        <v>70</v>
      </c>
      <c r="C59" s="95"/>
      <c r="D59" s="116"/>
      <c r="E59" s="95"/>
      <c r="F59" s="97"/>
      <c r="G59" s="95"/>
      <c r="H59" s="97"/>
      <c r="I59" s="95"/>
      <c r="J59" s="95"/>
      <c r="K59" s="95"/>
      <c r="L59" s="95"/>
      <c r="M59" s="97"/>
      <c r="N59" s="95"/>
      <c r="O59" s="97"/>
      <c r="P59" s="95"/>
      <c r="Q59" s="95"/>
      <c r="R59" s="95"/>
      <c r="S59" s="95"/>
      <c r="T59" s="97"/>
      <c r="U59" s="95"/>
      <c r="V59" s="97"/>
      <c r="W59" s="95"/>
      <c r="X59" s="95"/>
      <c r="Y59" s="95"/>
      <c r="Z59" s="95"/>
      <c r="AA59" s="97"/>
      <c r="AB59" s="95"/>
      <c r="AC59" s="97"/>
      <c r="AD59" s="95"/>
      <c r="AE59" s="95"/>
      <c r="AF59" s="95"/>
      <c r="AG59" s="66">
        <f t="shared" si="3"/>
        <v>0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4"/>
        <v>Allen</v>
      </c>
      <c r="AJ59" s="73"/>
    </row>
    <row r="60" spans="1:36" ht="18" customHeight="1">
      <c r="A60" s="95" t="s">
        <v>58</v>
      </c>
      <c r="B60" s="96" t="s">
        <v>71</v>
      </c>
      <c r="C60" s="95"/>
      <c r="D60" s="116"/>
      <c r="E60" s="95"/>
      <c r="F60" s="97"/>
      <c r="G60" s="95"/>
      <c r="H60" s="97"/>
      <c r="I60" s="95"/>
      <c r="J60" s="95"/>
      <c r="K60" s="95"/>
      <c r="L60" s="95"/>
      <c r="M60" s="97"/>
      <c r="N60" s="95"/>
      <c r="O60" s="97"/>
      <c r="P60" s="95"/>
      <c r="Q60" s="95"/>
      <c r="R60" s="95"/>
      <c r="S60" s="95"/>
      <c r="T60" s="97"/>
      <c r="U60" s="95"/>
      <c r="V60" s="97"/>
      <c r="W60" s="95"/>
      <c r="X60" s="95"/>
      <c r="Y60" s="95"/>
      <c r="Z60" s="95"/>
      <c r="AA60" s="97"/>
      <c r="AB60" s="95"/>
      <c r="AC60" s="97"/>
      <c r="AD60" s="95"/>
      <c r="AE60" s="95"/>
      <c r="AF60" s="95"/>
      <c r="AG60" s="66">
        <f t="shared" si="3"/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4"/>
        <v>嘴嘴</v>
      </c>
      <c r="AJ60" s="73"/>
    </row>
    <row r="61" spans="1:36" ht="18" customHeight="1">
      <c r="A61" s="95" t="s">
        <v>58</v>
      </c>
      <c r="B61" s="96" t="s">
        <v>74</v>
      </c>
      <c r="C61" s="95"/>
      <c r="D61" s="116"/>
      <c r="E61" s="95"/>
      <c r="F61" s="97"/>
      <c r="G61" s="95"/>
      <c r="H61" s="97"/>
      <c r="I61" s="95"/>
      <c r="J61" s="95"/>
      <c r="K61" s="95"/>
      <c r="L61" s="95"/>
      <c r="M61" s="97"/>
      <c r="N61" s="95">
        <v>1</v>
      </c>
      <c r="O61" s="97"/>
      <c r="P61" s="95"/>
      <c r="Q61" s="95"/>
      <c r="R61" s="95"/>
      <c r="S61" s="95"/>
      <c r="T61" s="97"/>
      <c r="U61" s="95">
        <v>1</v>
      </c>
      <c r="V61" s="97"/>
      <c r="W61" s="95"/>
      <c r="X61" s="95"/>
      <c r="Y61" s="95"/>
      <c r="Z61" s="95"/>
      <c r="AA61" s="97"/>
      <c r="AB61" s="95"/>
      <c r="AC61" s="97"/>
      <c r="AD61" s="95"/>
      <c r="AE61" s="95"/>
      <c r="AF61" s="95"/>
      <c r="AG61" s="66">
        <f t="shared" si="3"/>
        <v>2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4"/>
        <v>蘆葦</v>
      </c>
      <c r="AJ61" s="73"/>
    </row>
    <row r="62" spans="1:36" ht="18" customHeight="1">
      <c r="A62" s="95" t="s">
        <v>58</v>
      </c>
      <c r="B62" s="96" t="s">
        <v>30</v>
      </c>
      <c r="C62" s="95"/>
      <c r="D62" s="116">
        <v>1</v>
      </c>
      <c r="E62" s="95"/>
      <c r="F62" s="97"/>
      <c r="G62" s="95"/>
      <c r="H62" s="97"/>
      <c r="I62" s="95"/>
      <c r="J62" s="95">
        <v>1</v>
      </c>
      <c r="K62" s="95"/>
      <c r="L62" s="95"/>
      <c r="M62" s="97"/>
      <c r="N62" s="95"/>
      <c r="O62" s="97"/>
      <c r="P62" s="95"/>
      <c r="Q62" s="95"/>
      <c r="R62" s="95">
        <v>1</v>
      </c>
      <c r="S62" s="95"/>
      <c r="T62" s="97"/>
      <c r="U62" s="95">
        <v>1</v>
      </c>
      <c r="V62" s="97"/>
      <c r="W62" s="95"/>
      <c r="X62" s="95"/>
      <c r="Y62" s="95"/>
      <c r="Z62" s="95"/>
      <c r="AA62" s="97"/>
      <c r="AB62" s="95"/>
      <c r="AC62" s="97"/>
      <c r="AD62" s="95">
        <v>1</v>
      </c>
      <c r="AE62" s="95"/>
      <c r="AF62" s="95"/>
      <c r="AG62" s="66">
        <f t="shared" si="3"/>
        <v>5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4"/>
        <v>鯰魚</v>
      </c>
      <c r="AJ62" s="73"/>
    </row>
    <row r="63" spans="1:36" ht="18" customHeight="1">
      <c r="A63" s="95" t="s">
        <v>58</v>
      </c>
      <c r="B63" s="96" t="s">
        <v>31</v>
      </c>
      <c r="C63" s="95"/>
      <c r="D63" s="116"/>
      <c r="E63" s="95"/>
      <c r="F63" s="97"/>
      <c r="G63" s="95"/>
      <c r="H63" s="97"/>
      <c r="I63" s="95"/>
      <c r="J63" s="95"/>
      <c r="K63" s="95"/>
      <c r="L63" s="95">
        <v>1</v>
      </c>
      <c r="M63" s="97"/>
      <c r="N63" s="95"/>
      <c r="O63" s="97"/>
      <c r="P63" s="95">
        <v>1</v>
      </c>
      <c r="Q63" s="95"/>
      <c r="R63" s="95"/>
      <c r="S63" s="95"/>
      <c r="T63" s="97"/>
      <c r="U63" s="95"/>
      <c r="V63" s="97"/>
      <c r="W63" s="95"/>
      <c r="X63" s="95"/>
      <c r="Y63" s="95"/>
      <c r="Z63" s="95">
        <v>1</v>
      </c>
      <c r="AA63" s="97"/>
      <c r="AB63" s="95"/>
      <c r="AC63" s="97"/>
      <c r="AD63" s="95"/>
      <c r="AE63" s="95"/>
      <c r="AF63" s="95"/>
      <c r="AG63" s="66">
        <f t="shared" si="3"/>
        <v>3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4"/>
        <v>阿美</v>
      </c>
      <c r="AJ63" s="73"/>
    </row>
    <row r="64" spans="1:36" ht="18" customHeight="1">
      <c r="A64" s="95" t="s">
        <v>58</v>
      </c>
      <c r="B64" s="96" t="s">
        <v>73</v>
      </c>
      <c r="C64" s="95"/>
      <c r="D64" s="116"/>
      <c r="E64" s="95"/>
      <c r="F64" s="97"/>
      <c r="G64" s="95"/>
      <c r="H64" s="97"/>
      <c r="I64" s="95"/>
      <c r="J64" s="95"/>
      <c r="K64" s="95"/>
      <c r="L64" s="95"/>
      <c r="M64" s="97"/>
      <c r="N64" s="95"/>
      <c r="O64" s="97"/>
      <c r="P64" s="95"/>
      <c r="Q64" s="95"/>
      <c r="R64" s="95"/>
      <c r="S64" s="95"/>
      <c r="T64" s="97"/>
      <c r="U64" s="95"/>
      <c r="V64" s="97"/>
      <c r="W64" s="95"/>
      <c r="X64" s="95"/>
      <c r="Y64" s="95"/>
      <c r="Z64" s="95"/>
      <c r="AA64" s="97"/>
      <c r="AB64" s="95"/>
      <c r="AC64" s="97"/>
      <c r="AD64" s="95"/>
      <c r="AE64" s="95"/>
      <c r="AF64" s="95"/>
      <c r="AG64" s="66">
        <f t="shared" si="3"/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4"/>
        <v>冠軍</v>
      </c>
      <c r="AJ64" s="73"/>
    </row>
    <row r="65" spans="1:36" ht="18" customHeight="1">
      <c r="A65" s="95" t="s">
        <v>58</v>
      </c>
      <c r="B65" s="96" t="s">
        <v>198</v>
      </c>
      <c r="C65" s="95"/>
      <c r="D65" s="116"/>
      <c r="E65" s="95"/>
      <c r="F65" s="97"/>
      <c r="G65" s="95"/>
      <c r="H65" s="97"/>
      <c r="I65" s="95">
        <v>1</v>
      </c>
      <c r="J65" s="95">
        <v>1</v>
      </c>
      <c r="K65" s="95"/>
      <c r="L65" s="95"/>
      <c r="M65" s="97"/>
      <c r="N65" s="95">
        <v>1</v>
      </c>
      <c r="O65" s="97"/>
      <c r="P65" s="95"/>
      <c r="Q65" s="95"/>
      <c r="R65" s="95"/>
      <c r="S65" s="95"/>
      <c r="T65" s="97"/>
      <c r="U65" s="95"/>
      <c r="V65" s="97"/>
      <c r="W65" s="95"/>
      <c r="X65" s="95">
        <v>1</v>
      </c>
      <c r="Y65" s="95"/>
      <c r="Z65" s="95"/>
      <c r="AA65" s="97"/>
      <c r="AB65" s="95"/>
      <c r="AC65" s="97"/>
      <c r="AD65" s="95"/>
      <c r="AE65" s="95"/>
      <c r="AF65" s="95"/>
      <c r="AG65" s="66">
        <f t="shared" si="3"/>
        <v>4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4"/>
        <v>郁翔</v>
      </c>
      <c r="AJ65" s="73"/>
    </row>
    <row r="66" spans="1:36" ht="18" customHeight="1">
      <c r="A66" s="95" t="s">
        <v>58</v>
      </c>
      <c r="B66" s="96" t="s">
        <v>67</v>
      </c>
      <c r="C66" s="95"/>
      <c r="D66" s="116"/>
      <c r="E66" s="95"/>
      <c r="F66" s="97"/>
      <c r="G66" s="95"/>
      <c r="H66" s="97"/>
      <c r="I66" s="95"/>
      <c r="J66" s="95"/>
      <c r="K66" s="95"/>
      <c r="L66" s="95"/>
      <c r="M66" s="97"/>
      <c r="N66" s="95"/>
      <c r="O66" s="97"/>
      <c r="P66" s="95"/>
      <c r="Q66" s="95"/>
      <c r="R66" s="95"/>
      <c r="S66" s="95"/>
      <c r="T66" s="97"/>
      <c r="U66" s="95"/>
      <c r="V66" s="97"/>
      <c r="W66" s="95"/>
      <c r="X66" s="95"/>
      <c r="Y66" s="95"/>
      <c r="Z66" s="95"/>
      <c r="AA66" s="97"/>
      <c r="AB66" s="95"/>
      <c r="AC66" s="97"/>
      <c r="AD66" s="95"/>
      <c r="AE66" s="95"/>
      <c r="AF66" s="95"/>
      <c r="AG66" s="66">
        <f t="shared" si="3"/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4"/>
        <v>歐吉</v>
      </c>
      <c r="AJ66" s="73"/>
    </row>
    <row r="67" spans="1:36" ht="18" customHeight="1">
      <c r="A67" s="95" t="s">
        <v>58</v>
      </c>
      <c r="B67" s="96" t="s">
        <v>75</v>
      </c>
      <c r="C67" s="95"/>
      <c r="D67" s="116"/>
      <c r="E67" s="95"/>
      <c r="F67" s="97"/>
      <c r="G67" s="95"/>
      <c r="H67" s="97"/>
      <c r="I67" s="95"/>
      <c r="J67" s="95"/>
      <c r="K67" s="95"/>
      <c r="L67" s="95"/>
      <c r="M67" s="97"/>
      <c r="N67" s="95"/>
      <c r="O67" s="97"/>
      <c r="P67" s="95"/>
      <c r="Q67" s="95"/>
      <c r="R67" s="95"/>
      <c r="S67" s="95"/>
      <c r="T67" s="97"/>
      <c r="U67" s="95"/>
      <c r="V67" s="97"/>
      <c r="W67" s="95"/>
      <c r="X67" s="95"/>
      <c r="Y67" s="95"/>
      <c r="Z67" s="95"/>
      <c r="AA67" s="97"/>
      <c r="AB67" s="95"/>
      <c r="AC67" s="97"/>
      <c r="AD67" s="95"/>
      <c r="AE67" s="95"/>
      <c r="AF67" s="95"/>
      <c r="AG67" s="66">
        <f t="shared" si="3"/>
        <v>0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4"/>
        <v>叮噹</v>
      </c>
      <c r="AJ67" s="73"/>
    </row>
    <row r="68" spans="1:36" ht="18" customHeight="1">
      <c r="A68" s="95" t="s">
        <v>58</v>
      </c>
      <c r="B68" s="96" t="s">
        <v>76</v>
      </c>
      <c r="C68" s="95"/>
      <c r="D68" s="116"/>
      <c r="E68" s="95"/>
      <c r="F68" s="97"/>
      <c r="G68" s="95"/>
      <c r="H68" s="97"/>
      <c r="I68" s="95"/>
      <c r="J68" s="95"/>
      <c r="K68" s="95"/>
      <c r="L68" s="95"/>
      <c r="M68" s="97"/>
      <c r="N68" s="95"/>
      <c r="O68" s="97"/>
      <c r="P68" s="95"/>
      <c r="Q68" s="95"/>
      <c r="R68" s="95"/>
      <c r="S68" s="95"/>
      <c r="T68" s="97"/>
      <c r="U68" s="95"/>
      <c r="V68" s="97"/>
      <c r="W68" s="95"/>
      <c r="X68" s="95"/>
      <c r="Y68" s="95"/>
      <c r="Z68" s="95"/>
      <c r="AA68" s="97"/>
      <c r="AB68" s="95"/>
      <c r="AC68" s="97"/>
      <c r="AD68" s="95"/>
      <c r="AE68" s="95"/>
      <c r="AF68" s="95"/>
      <c r="AG68" s="66">
        <f t="shared" ref="AG68:AG99" si="5">COUNTA(C68:AD68)</f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99" si="6">B68</f>
        <v>肥肥</v>
      </c>
      <c r="AJ68" s="73"/>
    </row>
    <row r="69" spans="1:36" ht="18" customHeight="1">
      <c r="A69" s="95" t="s">
        <v>58</v>
      </c>
      <c r="B69" s="96" t="s">
        <v>77</v>
      </c>
      <c r="C69" s="95"/>
      <c r="D69" s="116"/>
      <c r="E69" s="95"/>
      <c r="F69" s="97"/>
      <c r="G69" s="95"/>
      <c r="H69" s="97"/>
      <c r="I69" s="95"/>
      <c r="J69" s="95"/>
      <c r="K69" s="95"/>
      <c r="L69" s="95"/>
      <c r="M69" s="97"/>
      <c r="N69" s="95"/>
      <c r="O69" s="97"/>
      <c r="P69" s="95"/>
      <c r="Q69" s="95"/>
      <c r="R69" s="95"/>
      <c r="S69" s="95"/>
      <c r="T69" s="97"/>
      <c r="U69" s="95"/>
      <c r="V69" s="97"/>
      <c r="W69" s="95"/>
      <c r="X69" s="95"/>
      <c r="Y69" s="95"/>
      <c r="Z69" s="95"/>
      <c r="AA69" s="97"/>
      <c r="AB69" s="95"/>
      <c r="AC69" s="97"/>
      <c r="AD69" s="95"/>
      <c r="AE69" s="95"/>
      <c r="AF69" s="95"/>
      <c r="AG69" s="66">
        <f t="shared" si="5"/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6"/>
        <v>小夫</v>
      </c>
      <c r="AJ69" s="73"/>
    </row>
    <row r="70" spans="1:36" ht="18" customHeight="1">
      <c r="A70" s="95" t="s">
        <v>58</v>
      </c>
      <c r="B70" s="96" t="s">
        <v>78</v>
      </c>
      <c r="C70" s="95"/>
      <c r="D70" s="116"/>
      <c r="E70" s="95"/>
      <c r="F70" s="97"/>
      <c r="G70" s="95"/>
      <c r="H70" s="97"/>
      <c r="I70" s="95"/>
      <c r="J70" s="95"/>
      <c r="K70" s="95"/>
      <c r="L70" s="95"/>
      <c r="M70" s="97"/>
      <c r="N70" s="95"/>
      <c r="O70" s="97"/>
      <c r="P70" s="95"/>
      <c r="Q70" s="95"/>
      <c r="R70" s="95"/>
      <c r="S70" s="95"/>
      <c r="T70" s="97"/>
      <c r="U70" s="95"/>
      <c r="V70" s="97"/>
      <c r="W70" s="95"/>
      <c r="X70" s="95"/>
      <c r="Y70" s="95"/>
      <c r="Z70" s="95"/>
      <c r="AA70" s="97"/>
      <c r="AB70" s="95"/>
      <c r="AC70" s="97"/>
      <c r="AD70" s="95"/>
      <c r="AE70" s="95"/>
      <c r="AF70" s="95"/>
      <c r="AG70" s="66">
        <f t="shared" si="5"/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6"/>
        <v>小邱</v>
      </c>
      <c r="AJ70" s="73"/>
    </row>
    <row r="71" spans="1:36" ht="18" customHeight="1">
      <c r="A71" s="95" t="s">
        <v>58</v>
      </c>
      <c r="B71" s="96" t="s">
        <v>79</v>
      </c>
      <c r="C71" s="95"/>
      <c r="D71" s="116"/>
      <c r="E71" s="95"/>
      <c r="F71" s="97"/>
      <c r="G71" s="95"/>
      <c r="H71" s="97"/>
      <c r="I71" s="95"/>
      <c r="J71" s="95"/>
      <c r="K71" s="95"/>
      <c r="L71" s="95"/>
      <c r="M71" s="97"/>
      <c r="N71" s="95"/>
      <c r="O71" s="97"/>
      <c r="P71" s="95"/>
      <c r="Q71" s="95"/>
      <c r="R71" s="95"/>
      <c r="S71" s="95"/>
      <c r="T71" s="97"/>
      <c r="U71" s="95"/>
      <c r="V71" s="97"/>
      <c r="W71" s="95"/>
      <c r="X71" s="95"/>
      <c r="Y71" s="95"/>
      <c r="Z71" s="95"/>
      <c r="AA71" s="97"/>
      <c r="AB71" s="95"/>
      <c r="AC71" s="97"/>
      <c r="AD71" s="95"/>
      <c r="AE71" s="95"/>
      <c r="AF71" s="95"/>
      <c r="AG71" s="66">
        <f t="shared" si="5"/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6"/>
        <v>淳淳</v>
      </c>
      <c r="AJ71" s="73"/>
    </row>
    <row r="72" spans="1:36" ht="18" customHeight="1">
      <c r="A72" s="95" t="s">
        <v>58</v>
      </c>
      <c r="B72" s="96" t="s">
        <v>80</v>
      </c>
      <c r="C72" s="95"/>
      <c r="D72" s="116"/>
      <c r="E72" s="95"/>
      <c r="F72" s="97"/>
      <c r="G72" s="95"/>
      <c r="H72" s="97"/>
      <c r="I72" s="95"/>
      <c r="J72" s="95"/>
      <c r="K72" s="95"/>
      <c r="L72" s="95"/>
      <c r="M72" s="97"/>
      <c r="N72" s="95"/>
      <c r="O72" s="97"/>
      <c r="P72" s="95"/>
      <c r="Q72" s="95"/>
      <c r="R72" s="95"/>
      <c r="S72" s="95"/>
      <c r="T72" s="97"/>
      <c r="U72" s="95"/>
      <c r="V72" s="97"/>
      <c r="W72" s="95"/>
      <c r="X72" s="95"/>
      <c r="Y72" s="95"/>
      <c r="Z72" s="95"/>
      <c r="AA72" s="97"/>
      <c r="AB72" s="95"/>
      <c r="AC72" s="97"/>
      <c r="AD72" s="95"/>
      <c r="AE72" s="95"/>
      <c r="AF72" s="95"/>
      <c r="AG72" s="66">
        <f t="shared" si="5"/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6"/>
        <v>禿鷹</v>
      </c>
      <c r="AJ72" s="73"/>
    </row>
    <row r="73" spans="1:36" ht="18" customHeight="1">
      <c r="A73" s="95" t="s">
        <v>58</v>
      </c>
      <c r="B73" s="96" t="s">
        <v>81</v>
      </c>
      <c r="C73" s="95"/>
      <c r="D73" s="116"/>
      <c r="E73" s="95"/>
      <c r="F73" s="97"/>
      <c r="G73" s="95"/>
      <c r="H73" s="97"/>
      <c r="I73" s="95"/>
      <c r="J73" s="95"/>
      <c r="K73" s="95"/>
      <c r="L73" s="95"/>
      <c r="M73" s="97"/>
      <c r="N73" s="95"/>
      <c r="O73" s="97"/>
      <c r="P73" s="95"/>
      <c r="Q73" s="95"/>
      <c r="R73" s="95"/>
      <c r="S73" s="95"/>
      <c r="T73" s="97"/>
      <c r="U73" s="95"/>
      <c r="V73" s="97"/>
      <c r="W73" s="95"/>
      <c r="X73" s="95"/>
      <c r="Y73" s="95"/>
      <c r="Z73" s="95"/>
      <c r="AA73" s="97"/>
      <c r="AB73" s="95"/>
      <c r="AC73" s="97"/>
      <c r="AD73" s="95"/>
      <c r="AE73" s="95"/>
      <c r="AF73" s="95"/>
      <c r="AG73" s="66">
        <f t="shared" si="5"/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6"/>
        <v>王宏</v>
      </c>
      <c r="AJ73" s="73"/>
    </row>
    <row r="74" spans="1:36" ht="18" customHeight="1">
      <c r="A74" s="95" t="s">
        <v>58</v>
      </c>
      <c r="B74" s="96" t="s">
        <v>82</v>
      </c>
      <c r="C74" s="95"/>
      <c r="D74" s="116"/>
      <c r="E74" s="95"/>
      <c r="F74" s="97"/>
      <c r="G74" s="95"/>
      <c r="H74" s="97"/>
      <c r="I74" s="95"/>
      <c r="J74" s="95"/>
      <c r="K74" s="95"/>
      <c r="L74" s="95"/>
      <c r="M74" s="97"/>
      <c r="N74" s="95"/>
      <c r="O74" s="97"/>
      <c r="P74" s="95"/>
      <c r="Q74" s="95"/>
      <c r="R74" s="95"/>
      <c r="S74" s="95"/>
      <c r="T74" s="97"/>
      <c r="U74" s="95"/>
      <c r="V74" s="97"/>
      <c r="W74" s="95"/>
      <c r="X74" s="95"/>
      <c r="Y74" s="95"/>
      <c r="Z74" s="95"/>
      <c r="AA74" s="97"/>
      <c r="AB74" s="95"/>
      <c r="AC74" s="97"/>
      <c r="AD74" s="95"/>
      <c r="AE74" s="95"/>
      <c r="AF74" s="95"/>
      <c r="AG74" s="66">
        <f t="shared" si="5"/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6"/>
        <v>犀牛</v>
      </c>
      <c r="AJ74" s="73"/>
    </row>
    <row r="75" spans="1:36" ht="18" customHeight="1">
      <c r="A75" s="95" t="s">
        <v>58</v>
      </c>
      <c r="B75" s="96" t="s">
        <v>83</v>
      </c>
      <c r="C75" s="95"/>
      <c r="D75" s="116"/>
      <c r="E75" s="95"/>
      <c r="F75" s="97"/>
      <c r="G75" s="95"/>
      <c r="H75" s="97"/>
      <c r="I75" s="95"/>
      <c r="J75" s="95"/>
      <c r="K75" s="95"/>
      <c r="L75" s="95"/>
      <c r="M75" s="97"/>
      <c r="N75" s="95"/>
      <c r="O75" s="97"/>
      <c r="P75" s="95"/>
      <c r="Q75" s="95"/>
      <c r="R75" s="95"/>
      <c r="S75" s="95"/>
      <c r="T75" s="97"/>
      <c r="U75" s="95"/>
      <c r="V75" s="97"/>
      <c r="W75" s="95"/>
      <c r="X75" s="95"/>
      <c r="Y75" s="95"/>
      <c r="Z75" s="95"/>
      <c r="AA75" s="97"/>
      <c r="AB75" s="95"/>
      <c r="AC75" s="97"/>
      <c r="AD75" s="95"/>
      <c r="AE75" s="95"/>
      <c r="AF75" s="95"/>
      <c r="AG75" s="66">
        <f t="shared" si="5"/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6"/>
        <v>來福</v>
      </c>
      <c r="AJ75" s="73"/>
    </row>
    <row r="76" spans="1:36" ht="18" customHeight="1">
      <c r="A76" s="95" t="s">
        <v>58</v>
      </c>
      <c r="B76" s="96" t="s">
        <v>84</v>
      </c>
      <c r="C76" s="95"/>
      <c r="D76" s="116"/>
      <c r="E76" s="95"/>
      <c r="F76" s="97"/>
      <c r="G76" s="95"/>
      <c r="H76" s="97"/>
      <c r="I76" s="95"/>
      <c r="J76" s="95"/>
      <c r="K76" s="95"/>
      <c r="L76" s="95"/>
      <c r="M76" s="97"/>
      <c r="N76" s="95"/>
      <c r="O76" s="97"/>
      <c r="P76" s="95"/>
      <c r="Q76" s="95"/>
      <c r="R76" s="95"/>
      <c r="S76" s="95"/>
      <c r="T76" s="97"/>
      <c r="U76" s="95"/>
      <c r="V76" s="97"/>
      <c r="W76" s="95"/>
      <c r="X76" s="95"/>
      <c r="Y76" s="95"/>
      <c r="Z76" s="95"/>
      <c r="AA76" s="97"/>
      <c r="AB76" s="95"/>
      <c r="AC76" s="97"/>
      <c r="AD76" s="95"/>
      <c r="AE76" s="95"/>
      <c r="AF76" s="95"/>
      <c r="AG76" s="66">
        <f t="shared" si="5"/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6"/>
        <v>誌誌</v>
      </c>
      <c r="AJ76" s="73"/>
    </row>
    <row r="77" spans="1:36" ht="18" customHeight="1">
      <c r="A77" s="95" t="s">
        <v>58</v>
      </c>
      <c r="B77" s="96" t="s">
        <v>86</v>
      </c>
      <c r="C77" s="95"/>
      <c r="D77" s="116"/>
      <c r="E77" s="95"/>
      <c r="F77" s="97"/>
      <c r="G77" s="95"/>
      <c r="H77" s="97"/>
      <c r="I77" s="95"/>
      <c r="J77" s="95"/>
      <c r="K77" s="95"/>
      <c r="L77" s="95"/>
      <c r="M77" s="97"/>
      <c r="N77" s="95"/>
      <c r="O77" s="97"/>
      <c r="P77" s="95"/>
      <c r="Q77" s="95"/>
      <c r="R77" s="95"/>
      <c r="S77" s="95"/>
      <c r="T77" s="97"/>
      <c r="U77" s="95"/>
      <c r="V77" s="97"/>
      <c r="W77" s="95"/>
      <c r="X77" s="95"/>
      <c r="Y77" s="95"/>
      <c r="Z77" s="95"/>
      <c r="AA77" s="97"/>
      <c r="AB77" s="95"/>
      <c r="AC77" s="97"/>
      <c r="AD77" s="95"/>
      <c r="AE77" s="95"/>
      <c r="AF77" s="95"/>
      <c r="AG77" s="66">
        <f t="shared" si="5"/>
        <v>0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6"/>
        <v>正誼</v>
      </c>
      <c r="AJ77" s="73"/>
    </row>
    <row r="78" spans="1:36" ht="18" customHeight="1">
      <c r="A78" s="95" t="s">
        <v>58</v>
      </c>
      <c r="B78" s="96" t="s">
        <v>32</v>
      </c>
      <c r="C78" s="95"/>
      <c r="D78" s="116"/>
      <c r="E78" s="95"/>
      <c r="F78" s="97"/>
      <c r="G78" s="95"/>
      <c r="H78" s="97"/>
      <c r="I78" s="95"/>
      <c r="J78" s="95"/>
      <c r="K78" s="95"/>
      <c r="L78" s="95"/>
      <c r="M78" s="97"/>
      <c r="N78" s="95"/>
      <c r="O78" s="97"/>
      <c r="P78" s="95"/>
      <c r="Q78" s="95"/>
      <c r="R78" s="95"/>
      <c r="S78" s="95"/>
      <c r="T78" s="97"/>
      <c r="U78" s="95"/>
      <c r="V78" s="97"/>
      <c r="W78" s="95"/>
      <c r="X78" s="95"/>
      <c r="Y78" s="95"/>
      <c r="Z78" s="95"/>
      <c r="AA78" s="97"/>
      <c r="AB78" s="95"/>
      <c r="AC78" s="97"/>
      <c r="AD78" s="95"/>
      <c r="AE78" s="95"/>
      <c r="AF78" s="95"/>
      <c r="AG78" s="66">
        <f t="shared" si="5"/>
        <v>0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6"/>
        <v>小翔</v>
      </c>
      <c r="AJ78" s="73"/>
    </row>
    <row r="79" spans="1:36" ht="18" customHeight="1">
      <c r="A79" s="95" t="s">
        <v>58</v>
      </c>
      <c r="B79" s="96" t="s">
        <v>179</v>
      </c>
      <c r="C79" s="95"/>
      <c r="D79" s="116"/>
      <c r="E79" s="95"/>
      <c r="F79" s="97"/>
      <c r="G79" s="95"/>
      <c r="H79" s="97"/>
      <c r="I79" s="95"/>
      <c r="J79" s="95"/>
      <c r="K79" s="95"/>
      <c r="L79" s="95"/>
      <c r="M79" s="97"/>
      <c r="N79" s="95"/>
      <c r="O79" s="97"/>
      <c r="P79" s="95"/>
      <c r="Q79" s="95"/>
      <c r="R79" s="95"/>
      <c r="S79" s="95"/>
      <c r="T79" s="97"/>
      <c r="U79" s="95"/>
      <c r="V79" s="97"/>
      <c r="W79" s="95"/>
      <c r="X79" s="95"/>
      <c r="Y79" s="95"/>
      <c r="Z79" s="95"/>
      <c r="AA79" s="97"/>
      <c r="AB79" s="95"/>
      <c r="AC79" s="97"/>
      <c r="AD79" s="95"/>
      <c r="AE79" s="95"/>
      <c r="AF79" s="95"/>
      <c r="AG79" s="66">
        <f t="shared" si="5"/>
        <v>0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6"/>
        <v>玹玹</v>
      </c>
      <c r="AJ79" s="73"/>
    </row>
    <row r="80" spans="1:36" ht="18" customHeight="1">
      <c r="A80" s="95" t="s">
        <v>58</v>
      </c>
      <c r="B80" s="96" t="s">
        <v>85</v>
      </c>
      <c r="C80" s="95"/>
      <c r="D80" s="116"/>
      <c r="E80" s="95"/>
      <c r="F80" s="97"/>
      <c r="G80" s="95"/>
      <c r="H80" s="97"/>
      <c r="I80" s="95"/>
      <c r="J80" s="95"/>
      <c r="K80" s="95"/>
      <c r="L80" s="95"/>
      <c r="M80" s="97"/>
      <c r="N80" s="95"/>
      <c r="O80" s="97"/>
      <c r="P80" s="95"/>
      <c r="Q80" s="95"/>
      <c r="R80" s="95"/>
      <c r="S80" s="95"/>
      <c r="T80" s="97"/>
      <c r="U80" s="95"/>
      <c r="V80" s="97"/>
      <c r="W80" s="95"/>
      <c r="X80" s="95"/>
      <c r="Y80" s="95"/>
      <c r="Z80" s="95"/>
      <c r="AA80" s="97"/>
      <c r="AB80" s="95"/>
      <c r="AC80" s="97"/>
      <c r="AD80" s="95"/>
      <c r="AE80" s="95"/>
      <c r="AF80" s="95"/>
      <c r="AG80" s="66">
        <f t="shared" si="5"/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6"/>
        <v>阿璽</v>
      </c>
      <c r="AJ80" s="73"/>
    </row>
    <row r="81" spans="1:36" ht="18" customHeight="1">
      <c r="A81" s="95" t="s">
        <v>58</v>
      </c>
      <c r="B81" s="96" t="s">
        <v>33</v>
      </c>
      <c r="C81" s="95"/>
      <c r="D81" s="116"/>
      <c r="E81" s="95"/>
      <c r="F81" s="97"/>
      <c r="G81" s="95"/>
      <c r="H81" s="97"/>
      <c r="I81" s="95"/>
      <c r="J81" s="95"/>
      <c r="K81" s="95"/>
      <c r="L81" s="95"/>
      <c r="M81" s="97"/>
      <c r="N81" s="95"/>
      <c r="O81" s="97"/>
      <c r="P81" s="95"/>
      <c r="Q81" s="95"/>
      <c r="R81" s="95"/>
      <c r="S81" s="95"/>
      <c r="T81" s="97"/>
      <c r="U81" s="95"/>
      <c r="V81" s="97"/>
      <c r="W81" s="95"/>
      <c r="X81" s="95"/>
      <c r="Y81" s="95"/>
      <c r="Z81" s="95"/>
      <c r="AA81" s="97"/>
      <c r="AB81" s="95"/>
      <c r="AC81" s="97"/>
      <c r="AD81" s="95"/>
      <c r="AE81" s="95"/>
      <c r="AF81" s="95"/>
      <c r="AG81" s="66">
        <f t="shared" si="5"/>
        <v>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6"/>
        <v>一飛</v>
      </c>
      <c r="AJ81" s="73"/>
    </row>
    <row r="82" spans="1:36" ht="18" customHeight="1">
      <c r="A82" s="95" t="s">
        <v>58</v>
      </c>
      <c r="B82" s="96" t="s">
        <v>34</v>
      </c>
      <c r="C82" s="95">
        <v>1</v>
      </c>
      <c r="D82" s="116"/>
      <c r="E82" s="95"/>
      <c r="F82" s="97"/>
      <c r="G82" s="95"/>
      <c r="H82" s="97"/>
      <c r="I82" s="95"/>
      <c r="J82" s="95">
        <v>1</v>
      </c>
      <c r="K82" s="95"/>
      <c r="L82" s="95"/>
      <c r="M82" s="97"/>
      <c r="N82" s="95"/>
      <c r="O82" s="97"/>
      <c r="P82" s="95"/>
      <c r="Q82" s="95"/>
      <c r="R82" s="95"/>
      <c r="S82" s="95"/>
      <c r="T82" s="97"/>
      <c r="U82" s="95"/>
      <c r="V82" s="97"/>
      <c r="W82" s="95"/>
      <c r="X82" s="95">
        <v>1</v>
      </c>
      <c r="Y82" s="95"/>
      <c r="Z82" s="95"/>
      <c r="AA82" s="97"/>
      <c r="AB82" s="95"/>
      <c r="AC82" s="97"/>
      <c r="AD82" s="95"/>
      <c r="AE82" s="95">
        <v>1</v>
      </c>
      <c r="AF82" s="95"/>
      <c r="AG82" s="66">
        <f t="shared" si="5"/>
        <v>3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6"/>
        <v>雲翔</v>
      </c>
      <c r="AJ82" s="70"/>
    </row>
    <row r="83" spans="1:36" ht="18" customHeight="1">
      <c r="A83" s="95" t="s">
        <v>58</v>
      </c>
      <c r="B83" s="96" t="s">
        <v>88</v>
      </c>
      <c r="C83" s="95">
        <v>1</v>
      </c>
      <c r="D83" s="116"/>
      <c r="E83" s="95"/>
      <c r="F83" s="97"/>
      <c r="G83" s="95"/>
      <c r="H83" s="97"/>
      <c r="I83" s="95"/>
      <c r="J83" s="95"/>
      <c r="K83" s="95"/>
      <c r="L83" s="95"/>
      <c r="M83" s="97"/>
      <c r="N83" s="95"/>
      <c r="O83" s="97"/>
      <c r="P83" s="95"/>
      <c r="Q83" s="95"/>
      <c r="R83" s="95"/>
      <c r="S83" s="95"/>
      <c r="T83" s="97"/>
      <c r="U83" s="95"/>
      <c r="V83" s="97"/>
      <c r="W83" s="95"/>
      <c r="X83" s="95"/>
      <c r="Y83" s="95"/>
      <c r="Z83" s="95"/>
      <c r="AA83" s="97"/>
      <c r="AB83" s="95"/>
      <c r="AC83" s="97"/>
      <c r="AD83" s="95"/>
      <c r="AE83" s="95"/>
      <c r="AF83" s="95"/>
      <c r="AG83" s="66">
        <f t="shared" si="5"/>
        <v>1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6"/>
        <v>皓皓</v>
      </c>
      <c r="AJ83" s="70"/>
    </row>
    <row r="84" spans="1:36" ht="18" customHeight="1">
      <c r="A84" s="95" t="s">
        <v>58</v>
      </c>
      <c r="B84" s="96" t="s">
        <v>35</v>
      </c>
      <c r="C84" s="95">
        <v>1</v>
      </c>
      <c r="D84" s="116"/>
      <c r="E84" s="95"/>
      <c r="F84" s="97"/>
      <c r="G84" s="95"/>
      <c r="H84" s="97"/>
      <c r="I84" s="95"/>
      <c r="J84" s="95">
        <v>1</v>
      </c>
      <c r="K84" s="95"/>
      <c r="L84" s="95"/>
      <c r="M84" s="97"/>
      <c r="N84" s="95"/>
      <c r="O84" s="97"/>
      <c r="P84" s="95"/>
      <c r="Q84" s="95"/>
      <c r="R84" s="95"/>
      <c r="S84" s="95"/>
      <c r="T84" s="97"/>
      <c r="U84" s="95"/>
      <c r="V84" s="97"/>
      <c r="W84" s="95"/>
      <c r="X84" s="95"/>
      <c r="Y84" s="95"/>
      <c r="Z84" s="95"/>
      <c r="AA84" s="97"/>
      <c r="AB84" s="95"/>
      <c r="AC84" s="97"/>
      <c r="AD84" s="95"/>
      <c r="AE84" s="95">
        <v>1</v>
      </c>
      <c r="AF84" s="95"/>
      <c r="AG84" s="66">
        <f t="shared" si="5"/>
        <v>2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6"/>
        <v>阿戴</v>
      </c>
      <c r="AJ84" s="70"/>
    </row>
    <row r="85" spans="1:36" ht="18" customHeight="1">
      <c r="A85" s="95" t="s">
        <v>58</v>
      </c>
      <c r="B85" s="96" t="s">
        <v>36</v>
      </c>
      <c r="C85" s="95"/>
      <c r="D85" s="116"/>
      <c r="E85" s="95"/>
      <c r="F85" s="97"/>
      <c r="G85" s="95"/>
      <c r="H85" s="97"/>
      <c r="I85" s="95"/>
      <c r="J85" s="95"/>
      <c r="K85" s="95"/>
      <c r="L85" s="95"/>
      <c r="M85" s="97"/>
      <c r="N85" s="95"/>
      <c r="O85" s="97"/>
      <c r="P85" s="95"/>
      <c r="Q85" s="95"/>
      <c r="R85" s="95"/>
      <c r="S85" s="95">
        <v>1</v>
      </c>
      <c r="T85" s="97"/>
      <c r="U85" s="95"/>
      <c r="V85" s="97"/>
      <c r="W85" s="95"/>
      <c r="X85" s="95"/>
      <c r="Y85" s="95"/>
      <c r="Z85" s="95">
        <v>1</v>
      </c>
      <c r="AA85" s="97"/>
      <c r="AB85" s="95"/>
      <c r="AC85" s="97"/>
      <c r="AD85" s="95"/>
      <c r="AE85" s="95"/>
      <c r="AF85" s="95"/>
      <c r="AG85" s="66">
        <f t="shared" si="5"/>
        <v>2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6"/>
        <v>子澔</v>
      </c>
      <c r="AJ85" s="70"/>
    </row>
    <row r="86" spans="1:36" ht="18" customHeight="1">
      <c r="A86" s="95" t="s">
        <v>58</v>
      </c>
      <c r="B86" s="96" t="s">
        <v>37</v>
      </c>
      <c r="C86" s="95"/>
      <c r="D86" s="116"/>
      <c r="E86" s="95"/>
      <c r="F86" s="97"/>
      <c r="G86" s="95">
        <v>1</v>
      </c>
      <c r="H86" s="97"/>
      <c r="I86" s="95">
        <v>1</v>
      </c>
      <c r="J86" s="95">
        <v>1</v>
      </c>
      <c r="K86" s="95"/>
      <c r="L86" s="95"/>
      <c r="M86" s="97"/>
      <c r="N86" s="95"/>
      <c r="O86" s="97"/>
      <c r="P86" s="95"/>
      <c r="Q86" s="95"/>
      <c r="R86" s="95"/>
      <c r="S86" s="95"/>
      <c r="T86" s="97"/>
      <c r="U86" s="95"/>
      <c r="V86" s="97"/>
      <c r="W86" s="95"/>
      <c r="X86" s="95"/>
      <c r="Y86" s="95"/>
      <c r="Z86" s="95"/>
      <c r="AA86" s="97"/>
      <c r="AB86" s="95"/>
      <c r="AC86" s="97"/>
      <c r="AD86" s="95">
        <v>1</v>
      </c>
      <c r="AE86" s="95"/>
      <c r="AF86" s="95"/>
      <c r="AG86" s="66">
        <f t="shared" si="5"/>
        <v>4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6"/>
        <v>魚仔</v>
      </c>
      <c r="AJ86" s="70"/>
    </row>
    <row r="87" spans="1:36" ht="18" customHeight="1">
      <c r="A87" s="95" t="s">
        <v>58</v>
      </c>
      <c r="B87" s="96" t="s">
        <v>87</v>
      </c>
      <c r="C87" s="95"/>
      <c r="D87" s="116"/>
      <c r="E87" s="95"/>
      <c r="F87" s="97"/>
      <c r="G87" s="95"/>
      <c r="H87" s="97"/>
      <c r="I87" s="95"/>
      <c r="J87" s="95"/>
      <c r="K87" s="95"/>
      <c r="L87" s="95"/>
      <c r="M87" s="97"/>
      <c r="N87" s="95"/>
      <c r="O87" s="97"/>
      <c r="P87" s="95"/>
      <c r="Q87" s="95"/>
      <c r="R87" s="95"/>
      <c r="S87" s="95"/>
      <c r="T87" s="97"/>
      <c r="U87" s="95"/>
      <c r="V87" s="97"/>
      <c r="W87" s="95"/>
      <c r="X87" s="95"/>
      <c r="Y87" s="95"/>
      <c r="Z87" s="95"/>
      <c r="AA87" s="97"/>
      <c r="AB87" s="95"/>
      <c r="AC87" s="97"/>
      <c r="AD87" s="95">
        <v>1</v>
      </c>
      <c r="AE87" s="95"/>
      <c r="AF87" s="95"/>
      <c r="AG87" s="66">
        <f t="shared" si="5"/>
        <v>1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6"/>
        <v>Mango</v>
      </c>
      <c r="AJ87" s="70"/>
    </row>
    <row r="88" spans="1:36" ht="18" customHeight="1">
      <c r="A88" s="95" t="s">
        <v>58</v>
      </c>
      <c r="B88" s="96" t="s">
        <v>38</v>
      </c>
      <c r="C88" s="95">
        <v>1</v>
      </c>
      <c r="D88" s="116"/>
      <c r="E88" s="95"/>
      <c r="F88" s="97"/>
      <c r="G88" s="95"/>
      <c r="H88" s="97"/>
      <c r="I88" s="95"/>
      <c r="J88" s="95"/>
      <c r="K88" s="95">
        <v>1</v>
      </c>
      <c r="L88" s="95"/>
      <c r="M88" s="97"/>
      <c r="N88" s="95"/>
      <c r="O88" s="97"/>
      <c r="P88" s="95"/>
      <c r="Q88" s="95"/>
      <c r="R88" s="95"/>
      <c r="S88" s="95"/>
      <c r="T88" s="97"/>
      <c r="U88" s="95"/>
      <c r="V88" s="97"/>
      <c r="W88" s="95"/>
      <c r="X88" s="95">
        <v>1</v>
      </c>
      <c r="Y88" s="95"/>
      <c r="Z88" s="95"/>
      <c r="AA88" s="97"/>
      <c r="AB88" s="95"/>
      <c r="AC88" s="97"/>
      <c r="AD88" s="95"/>
      <c r="AE88" s="95">
        <v>1</v>
      </c>
      <c r="AF88" s="95"/>
      <c r="AG88" s="66">
        <f t="shared" si="5"/>
        <v>3</v>
      </c>
      <c r="AH88" s="6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69" t="str">
        <f t="shared" si="6"/>
        <v>阿龍</v>
      </c>
      <c r="AJ88" s="70"/>
    </row>
    <row r="89" spans="1:36" ht="18" customHeight="1">
      <c r="A89" s="99" t="s">
        <v>58</v>
      </c>
      <c r="B89" s="100" t="s">
        <v>151</v>
      </c>
      <c r="C89" s="99">
        <v>1</v>
      </c>
      <c r="D89" s="132"/>
      <c r="E89" s="99">
        <v>1</v>
      </c>
      <c r="F89" s="97"/>
      <c r="G89" s="99">
        <v>1</v>
      </c>
      <c r="H89" s="97"/>
      <c r="I89" s="99"/>
      <c r="J89" s="99"/>
      <c r="K89" s="99"/>
      <c r="L89" s="99"/>
      <c r="M89" s="97"/>
      <c r="N89" s="99">
        <v>1</v>
      </c>
      <c r="O89" s="97"/>
      <c r="P89" s="99">
        <v>1</v>
      </c>
      <c r="Q89" s="99"/>
      <c r="R89" s="99"/>
      <c r="S89" s="99"/>
      <c r="T89" s="97"/>
      <c r="U89" s="99">
        <v>1</v>
      </c>
      <c r="V89" s="97"/>
      <c r="W89" s="99">
        <v>1</v>
      </c>
      <c r="X89" s="99">
        <v>1</v>
      </c>
      <c r="Y89" s="99">
        <v>1</v>
      </c>
      <c r="Z89" s="99"/>
      <c r="AA89" s="97"/>
      <c r="AB89" s="99">
        <v>1</v>
      </c>
      <c r="AC89" s="97"/>
      <c r="AD89" s="99"/>
      <c r="AE89" s="99"/>
      <c r="AF89" s="99"/>
      <c r="AG89" s="77">
        <f t="shared" si="5"/>
        <v>10</v>
      </c>
      <c r="AH89" s="9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79" t="str">
        <f t="shared" si="6"/>
        <v>宇嬅</v>
      </c>
      <c r="AJ89" s="82"/>
    </row>
    <row r="90" spans="1:36" ht="18" customHeight="1">
      <c r="A90" s="99" t="s">
        <v>58</v>
      </c>
      <c r="B90" s="100" t="s">
        <v>152</v>
      </c>
      <c r="C90" s="99">
        <v>1</v>
      </c>
      <c r="D90" s="132"/>
      <c r="E90" s="99"/>
      <c r="F90" s="97"/>
      <c r="G90" s="99"/>
      <c r="H90" s="97"/>
      <c r="I90" s="99"/>
      <c r="J90" s="99"/>
      <c r="K90" s="99"/>
      <c r="L90" s="99"/>
      <c r="M90" s="97"/>
      <c r="N90" s="99"/>
      <c r="O90" s="97"/>
      <c r="P90" s="99"/>
      <c r="Q90" s="99"/>
      <c r="R90" s="99"/>
      <c r="S90" s="99"/>
      <c r="T90" s="97"/>
      <c r="U90" s="99"/>
      <c r="V90" s="97"/>
      <c r="W90" s="99"/>
      <c r="X90" s="99"/>
      <c r="Y90" s="99"/>
      <c r="Z90" s="99"/>
      <c r="AA90" s="97"/>
      <c r="AB90" s="99"/>
      <c r="AC90" s="97"/>
      <c r="AD90" s="99"/>
      <c r="AE90" s="99"/>
      <c r="AF90" s="99"/>
      <c r="AG90" s="77">
        <f t="shared" si="5"/>
        <v>1</v>
      </c>
      <c r="AH90" s="9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79" t="str">
        <f t="shared" si="6"/>
        <v>阿俗</v>
      </c>
      <c r="AJ90" s="81"/>
    </row>
    <row r="91" spans="1:36" ht="18" customHeight="1">
      <c r="A91" s="99" t="s">
        <v>58</v>
      </c>
      <c r="B91" s="100" t="s">
        <v>153</v>
      </c>
      <c r="C91" s="99"/>
      <c r="D91" s="132"/>
      <c r="E91" s="99"/>
      <c r="F91" s="97"/>
      <c r="G91" s="99"/>
      <c r="H91" s="97"/>
      <c r="I91" s="99"/>
      <c r="J91" s="99"/>
      <c r="K91" s="99"/>
      <c r="L91" s="99"/>
      <c r="M91" s="97"/>
      <c r="N91" s="99"/>
      <c r="O91" s="97"/>
      <c r="P91" s="99"/>
      <c r="Q91" s="99"/>
      <c r="R91" s="99"/>
      <c r="S91" s="99"/>
      <c r="T91" s="97"/>
      <c r="U91" s="99"/>
      <c r="V91" s="97"/>
      <c r="W91" s="99"/>
      <c r="X91" s="99"/>
      <c r="Y91" s="99"/>
      <c r="Z91" s="99">
        <v>1</v>
      </c>
      <c r="AA91" s="97"/>
      <c r="AB91" s="99"/>
      <c r="AC91" s="97"/>
      <c r="AD91" s="99"/>
      <c r="AE91" s="99"/>
      <c r="AF91" s="99"/>
      <c r="AG91" s="77">
        <f t="shared" si="5"/>
        <v>1</v>
      </c>
      <c r="AH91" s="98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79" t="str">
        <f t="shared" si="6"/>
        <v>傻妹</v>
      </c>
      <c r="AJ91" s="81"/>
    </row>
    <row r="92" spans="1:36" ht="18" customHeight="1">
      <c r="A92" s="99" t="s">
        <v>58</v>
      </c>
      <c r="B92" s="100" t="s">
        <v>96</v>
      </c>
      <c r="C92" s="99">
        <v>1</v>
      </c>
      <c r="D92" s="132"/>
      <c r="E92" s="99">
        <v>1</v>
      </c>
      <c r="F92" s="97"/>
      <c r="G92" s="99">
        <v>1</v>
      </c>
      <c r="H92" s="97"/>
      <c r="I92" s="99"/>
      <c r="J92" s="99"/>
      <c r="K92" s="99"/>
      <c r="L92" s="99"/>
      <c r="M92" s="97"/>
      <c r="N92" s="99">
        <v>1</v>
      </c>
      <c r="O92" s="97"/>
      <c r="P92" s="99">
        <v>1</v>
      </c>
      <c r="Q92" s="99"/>
      <c r="R92" s="99"/>
      <c r="S92" s="99">
        <v>1</v>
      </c>
      <c r="T92" s="97"/>
      <c r="U92" s="99">
        <v>1</v>
      </c>
      <c r="V92" s="97"/>
      <c r="W92" s="99"/>
      <c r="X92" s="99"/>
      <c r="Y92" s="99"/>
      <c r="Z92" s="99">
        <v>1</v>
      </c>
      <c r="AA92" s="97"/>
      <c r="AB92" s="99">
        <v>1</v>
      </c>
      <c r="AC92" s="97"/>
      <c r="AD92" s="99"/>
      <c r="AE92" s="99"/>
      <c r="AF92" s="99"/>
      <c r="AG92" s="77">
        <f t="shared" si="5"/>
        <v>9</v>
      </c>
      <c r="AH92" s="98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79" t="str">
        <f t="shared" si="6"/>
        <v>靜婷</v>
      </c>
      <c r="AJ92" s="81"/>
    </row>
    <row r="93" spans="1:36" ht="18" customHeight="1">
      <c r="A93" s="99" t="s">
        <v>58</v>
      </c>
      <c r="B93" s="100" t="s">
        <v>154</v>
      </c>
      <c r="C93" s="99"/>
      <c r="D93" s="132"/>
      <c r="E93" s="99"/>
      <c r="F93" s="97"/>
      <c r="G93" s="99"/>
      <c r="H93" s="97"/>
      <c r="I93" s="99"/>
      <c r="J93" s="99"/>
      <c r="K93" s="99">
        <v>1</v>
      </c>
      <c r="L93" s="99"/>
      <c r="M93" s="97"/>
      <c r="N93" s="99"/>
      <c r="O93" s="97"/>
      <c r="P93" s="99"/>
      <c r="Q93" s="99"/>
      <c r="R93" s="99"/>
      <c r="S93" s="99"/>
      <c r="T93" s="97"/>
      <c r="U93" s="99"/>
      <c r="V93" s="97"/>
      <c r="W93" s="99"/>
      <c r="X93" s="99"/>
      <c r="Y93" s="99"/>
      <c r="Z93" s="99"/>
      <c r="AA93" s="97"/>
      <c r="AB93" s="99"/>
      <c r="AC93" s="97"/>
      <c r="AD93" s="99"/>
      <c r="AE93" s="99"/>
      <c r="AF93" s="99"/>
      <c r="AG93" s="77">
        <f t="shared" si="5"/>
        <v>1</v>
      </c>
      <c r="AH93" s="9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79" t="str">
        <f t="shared" si="6"/>
        <v>筱攸</v>
      </c>
      <c r="AJ93" s="81"/>
    </row>
    <row r="94" spans="1:36" ht="18" customHeight="1">
      <c r="A94" s="99" t="s">
        <v>58</v>
      </c>
      <c r="B94" s="100" t="s">
        <v>155</v>
      </c>
      <c r="C94" s="99"/>
      <c r="D94" s="132"/>
      <c r="E94" s="99"/>
      <c r="F94" s="97"/>
      <c r="G94" s="99"/>
      <c r="H94" s="97"/>
      <c r="I94" s="99"/>
      <c r="J94" s="99"/>
      <c r="K94" s="99"/>
      <c r="L94" s="99"/>
      <c r="M94" s="97"/>
      <c r="N94" s="99"/>
      <c r="O94" s="97"/>
      <c r="P94" s="99"/>
      <c r="Q94" s="99"/>
      <c r="R94" s="99"/>
      <c r="S94" s="99"/>
      <c r="T94" s="97"/>
      <c r="U94" s="99"/>
      <c r="V94" s="97"/>
      <c r="W94" s="99"/>
      <c r="X94" s="99"/>
      <c r="Y94" s="99"/>
      <c r="Z94" s="99"/>
      <c r="AA94" s="97"/>
      <c r="AB94" s="99"/>
      <c r="AC94" s="97"/>
      <c r="AD94" s="99"/>
      <c r="AE94" s="99"/>
      <c r="AF94" s="99"/>
      <c r="AG94" s="77">
        <f t="shared" si="5"/>
        <v>0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si="6"/>
        <v>康康</v>
      </c>
      <c r="AJ94" s="81"/>
    </row>
    <row r="95" spans="1:36" ht="18" customHeight="1">
      <c r="A95" s="99" t="s">
        <v>58</v>
      </c>
      <c r="B95" s="100" t="s">
        <v>156</v>
      </c>
      <c r="C95" s="99"/>
      <c r="D95" s="132"/>
      <c r="E95" s="99"/>
      <c r="F95" s="97"/>
      <c r="G95" s="99"/>
      <c r="H95" s="97"/>
      <c r="I95" s="99"/>
      <c r="J95" s="99"/>
      <c r="K95" s="99"/>
      <c r="L95" s="99"/>
      <c r="M95" s="97"/>
      <c r="N95" s="99"/>
      <c r="O95" s="97"/>
      <c r="P95" s="99"/>
      <c r="Q95" s="99"/>
      <c r="R95" s="99"/>
      <c r="S95" s="99"/>
      <c r="T95" s="97"/>
      <c r="U95" s="99"/>
      <c r="V95" s="97"/>
      <c r="W95" s="99"/>
      <c r="X95" s="99"/>
      <c r="Y95" s="99"/>
      <c r="Z95" s="99"/>
      <c r="AA95" s="97"/>
      <c r="AB95" s="99"/>
      <c r="AC95" s="97"/>
      <c r="AD95" s="99"/>
      <c r="AE95" s="99"/>
      <c r="AF95" s="99"/>
      <c r="AG95" s="77">
        <f t="shared" si="5"/>
        <v>0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6"/>
        <v>阿金</v>
      </c>
      <c r="AJ95" s="81"/>
    </row>
    <row r="96" spans="1:36" ht="18" customHeight="1">
      <c r="A96" s="99" t="s">
        <v>58</v>
      </c>
      <c r="B96" s="100" t="s">
        <v>157</v>
      </c>
      <c r="C96" s="99"/>
      <c r="D96" s="132"/>
      <c r="E96" s="99"/>
      <c r="F96" s="97"/>
      <c r="G96" s="99"/>
      <c r="H96" s="97"/>
      <c r="I96" s="99"/>
      <c r="J96" s="99"/>
      <c r="K96" s="99"/>
      <c r="L96" s="99"/>
      <c r="M96" s="97"/>
      <c r="N96" s="99"/>
      <c r="O96" s="97"/>
      <c r="P96" s="99"/>
      <c r="Q96" s="99"/>
      <c r="R96" s="99"/>
      <c r="S96" s="99"/>
      <c r="T96" s="97"/>
      <c r="U96" s="99"/>
      <c r="V96" s="97"/>
      <c r="W96" s="99"/>
      <c r="X96" s="99"/>
      <c r="Y96" s="99"/>
      <c r="Z96" s="99"/>
      <c r="AA96" s="97"/>
      <c r="AB96" s="99"/>
      <c r="AC96" s="97"/>
      <c r="AD96" s="99"/>
      <c r="AE96" s="99"/>
      <c r="AF96" s="99"/>
      <c r="AG96" s="77">
        <f t="shared" si="5"/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6"/>
        <v>派大</v>
      </c>
      <c r="AJ96" s="81"/>
    </row>
    <row r="97" spans="1:36" ht="18" customHeight="1">
      <c r="A97" s="99" t="s">
        <v>58</v>
      </c>
      <c r="B97" s="100" t="s">
        <v>158</v>
      </c>
      <c r="C97" s="99"/>
      <c r="D97" s="132"/>
      <c r="E97" s="99"/>
      <c r="F97" s="97"/>
      <c r="G97" s="99"/>
      <c r="H97" s="97"/>
      <c r="I97" s="99"/>
      <c r="J97" s="99"/>
      <c r="K97" s="99"/>
      <c r="L97" s="99"/>
      <c r="M97" s="97"/>
      <c r="N97" s="99"/>
      <c r="O97" s="97"/>
      <c r="P97" s="99"/>
      <c r="Q97" s="99"/>
      <c r="R97" s="99"/>
      <c r="S97" s="99"/>
      <c r="T97" s="97"/>
      <c r="U97" s="99"/>
      <c r="V97" s="97"/>
      <c r="W97" s="99"/>
      <c r="X97" s="99"/>
      <c r="Y97" s="99"/>
      <c r="Z97" s="99"/>
      <c r="AA97" s="97"/>
      <c r="AB97" s="99"/>
      <c r="AC97" s="97"/>
      <c r="AD97" s="99"/>
      <c r="AE97" s="99"/>
      <c r="AF97" s="99"/>
      <c r="AG97" s="77">
        <f t="shared" si="5"/>
        <v>0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6"/>
        <v>吉娃</v>
      </c>
      <c r="AJ97" s="81"/>
    </row>
    <row r="98" spans="1:36" ht="18" customHeight="1">
      <c r="A98" s="99" t="s">
        <v>58</v>
      </c>
      <c r="B98" s="100" t="s">
        <v>159</v>
      </c>
      <c r="C98" s="99"/>
      <c r="D98" s="132"/>
      <c r="E98" s="99"/>
      <c r="F98" s="97"/>
      <c r="G98" s="99"/>
      <c r="H98" s="97"/>
      <c r="I98" s="99"/>
      <c r="J98" s="99"/>
      <c r="K98" s="99"/>
      <c r="L98" s="99"/>
      <c r="M98" s="97"/>
      <c r="N98" s="99"/>
      <c r="O98" s="97"/>
      <c r="P98" s="99"/>
      <c r="Q98" s="99"/>
      <c r="R98" s="99"/>
      <c r="S98" s="99"/>
      <c r="T98" s="97"/>
      <c r="U98" s="99"/>
      <c r="V98" s="97"/>
      <c r="W98" s="99"/>
      <c r="X98" s="99"/>
      <c r="Y98" s="99"/>
      <c r="Z98" s="99"/>
      <c r="AA98" s="97"/>
      <c r="AB98" s="99"/>
      <c r="AC98" s="97"/>
      <c r="AD98" s="99"/>
      <c r="AE98" s="99"/>
      <c r="AF98" s="99"/>
      <c r="AG98" s="77">
        <f t="shared" si="5"/>
        <v>0</v>
      </c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6"/>
        <v>小寧</v>
      </c>
      <c r="AJ98" s="81"/>
    </row>
    <row r="99" spans="1:36" ht="18" customHeight="1">
      <c r="A99" s="99" t="s">
        <v>58</v>
      </c>
      <c r="B99" s="100" t="s">
        <v>160</v>
      </c>
      <c r="C99" s="99"/>
      <c r="D99" s="132"/>
      <c r="E99" s="99"/>
      <c r="F99" s="97"/>
      <c r="G99" s="99"/>
      <c r="H99" s="97"/>
      <c r="I99" s="99"/>
      <c r="J99" s="99"/>
      <c r="K99" s="99"/>
      <c r="L99" s="99"/>
      <c r="M99" s="97"/>
      <c r="N99" s="99"/>
      <c r="O99" s="97"/>
      <c r="P99" s="99"/>
      <c r="Q99" s="99"/>
      <c r="R99" s="99"/>
      <c r="S99" s="99"/>
      <c r="T99" s="97"/>
      <c r="U99" s="99"/>
      <c r="V99" s="97"/>
      <c r="W99" s="99"/>
      <c r="X99" s="99"/>
      <c r="Y99" s="99"/>
      <c r="Z99" s="99"/>
      <c r="AA99" s="97"/>
      <c r="AB99" s="99"/>
      <c r="AC99" s="97"/>
      <c r="AD99" s="99"/>
      <c r="AE99" s="99"/>
      <c r="AF99" s="99"/>
      <c r="AG99" s="77">
        <f t="shared" si="5"/>
        <v>0</v>
      </c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6"/>
        <v>小妹</v>
      </c>
      <c r="AJ99" s="81"/>
    </row>
    <row r="100" spans="1:36" ht="18" customHeight="1">
      <c r="A100" s="99" t="s">
        <v>58</v>
      </c>
      <c r="B100" s="100" t="s">
        <v>101</v>
      </c>
      <c r="C100" s="99"/>
      <c r="D100" s="132">
        <v>1</v>
      </c>
      <c r="E100" s="99"/>
      <c r="F100" s="97"/>
      <c r="G100" s="99"/>
      <c r="H100" s="97"/>
      <c r="I100" s="99"/>
      <c r="J100" s="99"/>
      <c r="K100" s="99"/>
      <c r="L100" s="99"/>
      <c r="M100" s="97"/>
      <c r="N100" s="99"/>
      <c r="O100" s="97"/>
      <c r="P100" s="99"/>
      <c r="Q100" s="99"/>
      <c r="R100" s="99">
        <v>1</v>
      </c>
      <c r="S100" s="99"/>
      <c r="T100" s="97"/>
      <c r="U100" s="99"/>
      <c r="V100" s="97"/>
      <c r="W100" s="99"/>
      <c r="X100" s="99"/>
      <c r="Y100" s="99"/>
      <c r="Z100" s="99"/>
      <c r="AA100" s="97"/>
      <c r="AB100" s="99"/>
      <c r="AC100" s="97"/>
      <c r="AD100" s="99"/>
      <c r="AE100" s="99"/>
      <c r="AF100" s="99"/>
      <c r="AG100" s="77">
        <f t="shared" ref="AG100:AG133" si="7">COUNTA(C100:AD100)</f>
        <v>2</v>
      </c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ref="AI100:AI133" si="8">B100</f>
        <v>文媛</v>
      </c>
      <c r="AJ100" s="81"/>
    </row>
    <row r="101" spans="1:36" ht="18" customHeight="1">
      <c r="A101" s="99" t="s">
        <v>58</v>
      </c>
      <c r="B101" s="100" t="s">
        <v>161</v>
      </c>
      <c r="C101" s="99"/>
      <c r="D101" s="132"/>
      <c r="E101" s="99"/>
      <c r="F101" s="97"/>
      <c r="G101" s="99"/>
      <c r="H101" s="97"/>
      <c r="I101" s="99"/>
      <c r="J101" s="99"/>
      <c r="K101" s="99"/>
      <c r="L101" s="99"/>
      <c r="M101" s="97"/>
      <c r="N101" s="99"/>
      <c r="O101" s="97"/>
      <c r="P101" s="99"/>
      <c r="Q101" s="99"/>
      <c r="R101" s="99"/>
      <c r="S101" s="99"/>
      <c r="T101" s="97"/>
      <c r="U101" s="99"/>
      <c r="V101" s="97"/>
      <c r="W101" s="99"/>
      <c r="X101" s="99"/>
      <c r="Y101" s="99"/>
      <c r="Z101" s="99"/>
      <c r="AA101" s="97"/>
      <c r="AB101" s="99"/>
      <c r="AC101" s="97"/>
      <c r="AD101" s="99"/>
      <c r="AE101" s="99"/>
      <c r="AF101" s="99"/>
      <c r="AG101" s="77">
        <f t="shared" si="7"/>
        <v>0</v>
      </c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8"/>
        <v>佩鈺</v>
      </c>
      <c r="AJ101" s="81"/>
    </row>
    <row r="102" spans="1:36" ht="18" customHeight="1">
      <c r="A102" s="99" t="s">
        <v>58</v>
      </c>
      <c r="B102" s="100" t="s">
        <v>162</v>
      </c>
      <c r="C102" s="99"/>
      <c r="D102" s="132"/>
      <c r="E102" s="99"/>
      <c r="F102" s="97"/>
      <c r="G102" s="99"/>
      <c r="H102" s="97"/>
      <c r="I102" s="99"/>
      <c r="J102" s="99"/>
      <c r="K102" s="99"/>
      <c r="L102" s="99"/>
      <c r="M102" s="97"/>
      <c r="N102" s="99"/>
      <c r="O102" s="97"/>
      <c r="P102" s="99"/>
      <c r="Q102" s="99"/>
      <c r="R102" s="99"/>
      <c r="S102" s="99"/>
      <c r="T102" s="97"/>
      <c r="U102" s="99"/>
      <c r="V102" s="97"/>
      <c r="W102" s="99"/>
      <c r="X102" s="99"/>
      <c r="Y102" s="99"/>
      <c r="Z102" s="99"/>
      <c r="AA102" s="97"/>
      <c r="AB102" s="99"/>
      <c r="AC102" s="97"/>
      <c r="AD102" s="99"/>
      <c r="AE102" s="99"/>
      <c r="AF102" s="99"/>
      <c r="AG102" s="77">
        <f t="shared" si="7"/>
        <v>0</v>
      </c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8"/>
        <v>阿布</v>
      </c>
      <c r="AJ102" s="81"/>
    </row>
    <row r="103" spans="1:36" ht="18" customHeight="1">
      <c r="A103" s="99" t="s">
        <v>58</v>
      </c>
      <c r="B103" s="100" t="s">
        <v>100</v>
      </c>
      <c r="C103" s="99"/>
      <c r="D103" s="132"/>
      <c r="E103" s="99"/>
      <c r="F103" s="97"/>
      <c r="G103" s="99"/>
      <c r="H103" s="97"/>
      <c r="I103" s="99"/>
      <c r="J103" s="99"/>
      <c r="K103" s="99"/>
      <c r="L103" s="99"/>
      <c r="M103" s="97"/>
      <c r="N103" s="99"/>
      <c r="O103" s="97"/>
      <c r="P103" s="99"/>
      <c r="Q103" s="99"/>
      <c r="R103" s="99"/>
      <c r="S103" s="99"/>
      <c r="T103" s="97"/>
      <c r="U103" s="99">
        <v>1</v>
      </c>
      <c r="V103" s="97"/>
      <c r="W103" s="99"/>
      <c r="X103" s="99">
        <v>1</v>
      </c>
      <c r="Y103" s="99"/>
      <c r="Z103" s="99"/>
      <c r="AA103" s="97"/>
      <c r="AB103" s="99"/>
      <c r="AC103" s="97"/>
      <c r="AD103" s="99"/>
      <c r="AE103" s="99">
        <v>1</v>
      </c>
      <c r="AF103" s="99"/>
      <c r="AG103" s="77">
        <f t="shared" si="7"/>
        <v>2</v>
      </c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8"/>
        <v>餅餅</v>
      </c>
      <c r="AJ103" s="81"/>
    </row>
    <row r="104" spans="1:36" ht="18" customHeight="1">
      <c r="A104" s="99" t="s">
        <v>58</v>
      </c>
      <c r="B104" s="100" t="s">
        <v>163</v>
      </c>
      <c r="C104" s="99"/>
      <c r="D104" s="132"/>
      <c r="E104" s="99"/>
      <c r="F104" s="97"/>
      <c r="G104" s="99"/>
      <c r="H104" s="97"/>
      <c r="I104" s="99"/>
      <c r="J104" s="99"/>
      <c r="K104" s="99"/>
      <c r="L104" s="99"/>
      <c r="M104" s="97"/>
      <c r="N104" s="99"/>
      <c r="O104" s="97"/>
      <c r="P104" s="99"/>
      <c r="Q104" s="99"/>
      <c r="R104" s="99"/>
      <c r="S104" s="99"/>
      <c r="T104" s="97"/>
      <c r="U104" s="99"/>
      <c r="V104" s="97"/>
      <c r="W104" s="99"/>
      <c r="X104" s="99"/>
      <c r="Y104" s="99"/>
      <c r="Z104" s="99"/>
      <c r="AA104" s="97"/>
      <c r="AB104" s="99"/>
      <c r="AC104" s="97"/>
      <c r="AD104" s="99"/>
      <c r="AE104" s="99"/>
      <c r="AF104" s="99"/>
      <c r="AG104" s="77">
        <f t="shared" si="7"/>
        <v>0</v>
      </c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8"/>
        <v>小個</v>
      </c>
      <c r="AJ104" s="81"/>
    </row>
    <row r="105" spans="1:36" ht="18" customHeight="1">
      <c r="A105" s="99" t="s">
        <v>58</v>
      </c>
      <c r="B105" s="100" t="s">
        <v>164</v>
      </c>
      <c r="C105" s="99"/>
      <c r="D105" s="132"/>
      <c r="E105" s="99"/>
      <c r="F105" s="97"/>
      <c r="G105" s="99"/>
      <c r="H105" s="97"/>
      <c r="I105" s="99"/>
      <c r="J105" s="99"/>
      <c r="K105" s="99"/>
      <c r="L105" s="99"/>
      <c r="M105" s="97"/>
      <c r="N105" s="99"/>
      <c r="O105" s="97"/>
      <c r="P105" s="99"/>
      <c r="Q105" s="99"/>
      <c r="R105" s="99"/>
      <c r="S105" s="99"/>
      <c r="T105" s="97"/>
      <c r="U105" s="99"/>
      <c r="V105" s="97"/>
      <c r="W105" s="99"/>
      <c r="X105" s="99"/>
      <c r="Y105" s="99"/>
      <c r="Z105" s="99"/>
      <c r="AA105" s="97"/>
      <c r="AB105" s="99"/>
      <c r="AC105" s="97"/>
      <c r="AD105" s="99"/>
      <c r="AE105" s="99"/>
      <c r="AF105" s="99"/>
      <c r="AG105" s="77">
        <f t="shared" si="7"/>
        <v>0</v>
      </c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8"/>
        <v>小菜</v>
      </c>
      <c r="AJ105" s="81"/>
    </row>
    <row r="106" spans="1:36" ht="18" customHeight="1">
      <c r="A106" s="99" t="s">
        <v>58</v>
      </c>
      <c r="B106" s="100" t="s">
        <v>102</v>
      </c>
      <c r="C106" s="99"/>
      <c r="D106" s="132">
        <v>1</v>
      </c>
      <c r="E106" s="99"/>
      <c r="F106" s="97"/>
      <c r="G106" s="99"/>
      <c r="H106" s="97"/>
      <c r="I106" s="99"/>
      <c r="J106" s="99"/>
      <c r="K106" s="99"/>
      <c r="L106" s="99"/>
      <c r="M106" s="97"/>
      <c r="N106" s="99"/>
      <c r="O106" s="97"/>
      <c r="P106" s="99"/>
      <c r="Q106" s="99"/>
      <c r="R106" s="99"/>
      <c r="S106" s="99"/>
      <c r="T106" s="97"/>
      <c r="U106" s="99"/>
      <c r="V106" s="97"/>
      <c r="W106" s="99"/>
      <c r="X106" s="99"/>
      <c r="Y106" s="99"/>
      <c r="Z106" s="99"/>
      <c r="AA106" s="97"/>
      <c r="AB106" s="99"/>
      <c r="AC106" s="97"/>
      <c r="AD106" s="99"/>
      <c r="AE106" s="99"/>
      <c r="AF106" s="99"/>
      <c r="AG106" s="77">
        <f t="shared" si="7"/>
        <v>1</v>
      </c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8"/>
        <v>妮妮</v>
      </c>
      <c r="AJ106" s="81"/>
    </row>
    <row r="107" spans="1:36" ht="18" customHeight="1">
      <c r="A107" s="99" t="s">
        <v>58</v>
      </c>
      <c r="B107" s="100" t="s">
        <v>165</v>
      </c>
      <c r="C107" s="99"/>
      <c r="D107" s="132">
        <v>1</v>
      </c>
      <c r="E107" s="99"/>
      <c r="F107" s="97"/>
      <c r="G107" s="99"/>
      <c r="H107" s="97"/>
      <c r="I107" s="99">
        <v>1</v>
      </c>
      <c r="J107" s="99"/>
      <c r="K107" s="99">
        <v>1</v>
      </c>
      <c r="L107" s="99"/>
      <c r="M107" s="97"/>
      <c r="N107" s="99"/>
      <c r="O107" s="97"/>
      <c r="P107" s="99"/>
      <c r="Q107" s="99"/>
      <c r="R107" s="99">
        <v>1</v>
      </c>
      <c r="S107" s="99"/>
      <c r="T107" s="97"/>
      <c r="U107" s="99"/>
      <c r="V107" s="97"/>
      <c r="W107" s="99"/>
      <c r="X107" s="99"/>
      <c r="Y107" s="99"/>
      <c r="Z107" s="99"/>
      <c r="AA107" s="97"/>
      <c r="AB107" s="99"/>
      <c r="AC107" s="97"/>
      <c r="AD107" s="99">
        <v>1</v>
      </c>
      <c r="AE107" s="99"/>
      <c r="AF107" s="99"/>
      <c r="AG107" s="77">
        <f t="shared" si="7"/>
        <v>5</v>
      </c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8"/>
        <v>小貓</v>
      </c>
      <c r="AJ107" s="81"/>
    </row>
    <row r="108" spans="1:36" ht="18" customHeight="1">
      <c r="A108" s="99" t="s">
        <v>58</v>
      </c>
      <c r="B108" s="100" t="s">
        <v>166</v>
      </c>
      <c r="C108" s="99"/>
      <c r="D108" s="132"/>
      <c r="E108" s="99"/>
      <c r="F108" s="97"/>
      <c r="G108" s="99"/>
      <c r="H108" s="97"/>
      <c r="I108" s="99"/>
      <c r="J108" s="99"/>
      <c r="K108" s="99"/>
      <c r="L108" s="99"/>
      <c r="M108" s="97"/>
      <c r="N108" s="99"/>
      <c r="O108" s="97"/>
      <c r="P108" s="99"/>
      <c r="Q108" s="99"/>
      <c r="R108" s="99"/>
      <c r="S108" s="99"/>
      <c r="T108" s="97"/>
      <c r="U108" s="99"/>
      <c r="V108" s="97"/>
      <c r="W108" s="99"/>
      <c r="X108" s="99"/>
      <c r="Y108" s="99"/>
      <c r="Z108" s="99"/>
      <c r="AA108" s="97"/>
      <c r="AB108" s="99"/>
      <c r="AC108" s="97"/>
      <c r="AD108" s="99"/>
      <c r="AE108" s="99"/>
      <c r="AF108" s="99"/>
      <c r="AG108" s="77">
        <f t="shared" si="7"/>
        <v>0</v>
      </c>
      <c r="AH108" s="98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79" t="str">
        <f t="shared" si="8"/>
        <v>哈比</v>
      </c>
      <c r="AJ108" s="81"/>
    </row>
    <row r="109" spans="1:36" ht="18" customHeight="1">
      <c r="A109" s="101" t="s">
        <v>58</v>
      </c>
      <c r="B109" s="102" t="s">
        <v>124</v>
      </c>
      <c r="C109" s="101"/>
      <c r="D109" s="137"/>
      <c r="E109" s="101"/>
      <c r="F109" s="97"/>
      <c r="G109" s="101"/>
      <c r="H109" s="97"/>
      <c r="I109" s="101">
        <v>1</v>
      </c>
      <c r="J109" s="101"/>
      <c r="K109" s="101"/>
      <c r="L109" s="101"/>
      <c r="M109" s="97"/>
      <c r="N109" s="101"/>
      <c r="O109" s="97"/>
      <c r="P109" s="101"/>
      <c r="Q109" s="101"/>
      <c r="R109" s="101"/>
      <c r="S109" s="101"/>
      <c r="T109" s="97"/>
      <c r="U109" s="101"/>
      <c r="V109" s="97"/>
      <c r="W109" s="101"/>
      <c r="X109" s="101"/>
      <c r="Y109" s="101"/>
      <c r="Z109" s="101"/>
      <c r="AA109" s="97"/>
      <c r="AB109" s="101">
        <v>1</v>
      </c>
      <c r="AC109" s="97"/>
      <c r="AD109" s="101">
        <v>1</v>
      </c>
      <c r="AE109" s="101"/>
      <c r="AF109" s="101"/>
      <c r="AG109" s="86">
        <f t="shared" si="7"/>
        <v>3</v>
      </c>
      <c r="AH109" s="103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88" t="str">
        <f t="shared" si="8"/>
        <v>玉蕙</v>
      </c>
      <c r="AJ109" s="89"/>
    </row>
    <row r="110" spans="1:36" ht="18" customHeight="1">
      <c r="A110" s="101" t="s">
        <v>58</v>
      </c>
      <c r="B110" s="102" t="s">
        <v>125</v>
      </c>
      <c r="C110" s="101"/>
      <c r="D110" s="137"/>
      <c r="E110" s="101"/>
      <c r="F110" s="97"/>
      <c r="G110" s="101"/>
      <c r="H110" s="97"/>
      <c r="I110" s="101"/>
      <c r="J110" s="101"/>
      <c r="K110" s="101"/>
      <c r="L110" s="101"/>
      <c r="M110" s="97"/>
      <c r="N110" s="101"/>
      <c r="O110" s="97"/>
      <c r="P110" s="101"/>
      <c r="Q110" s="101"/>
      <c r="R110" s="101"/>
      <c r="S110" s="101"/>
      <c r="T110" s="97"/>
      <c r="U110" s="101"/>
      <c r="V110" s="97"/>
      <c r="W110" s="101"/>
      <c r="X110" s="101"/>
      <c r="Y110" s="101"/>
      <c r="Z110" s="101"/>
      <c r="AA110" s="97"/>
      <c r="AB110" s="101"/>
      <c r="AC110" s="97"/>
      <c r="AD110" s="101"/>
      <c r="AE110" s="101"/>
      <c r="AF110" s="101"/>
      <c r="AG110" s="86">
        <f t="shared" si="7"/>
        <v>0</v>
      </c>
      <c r="AH110" s="103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88" t="str">
        <f t="shared" si="8"/>
        <v>沛緁</v>
      </c>
      <c r="AJ110" s="89"/>
    </row>
    <row r="111" spans="1:36" ht="18" customHeight="1">
      <c r="A111" s="101" t="s">
        <v>58</v>
      </c>
      <c r="B111" s="102" t="s">
        <v>126</v>
      </c>
      <c r="C111" s="101"/>
      <c r="D111" s="137"/>
      <c r="E111" s="101"/>
      <c r="F111" s="97"/>
      <c r="G111" s="101"/>
      <c r="H111" s="97"/>
      <c r="I111" s="101"/>
      <c r="J111" s="101"/>
      <c r="K111" s="101"/>
      <c r="L111" s="101"/>
      <c r="M111" s="97"/>
      <c r="N111" s="101"/>
      <c r="O111" s="97"/>
      <c r="P111" s="101"/>
      <c r="Q111" s="101"/>
      <c r="R111" s="101">
        <v>1</v>
      </c>
      <c r="S111" s="101">
        <v>1</v>
      </c>
      <c r="T111" s="97"/>
      <c r="U111" s="101"/>
      <c r="V111" s="97"/>
      <c r="W111" s="101"/>
      <c r="X111" s="101">
        <v>1</v>
      </c>
      <c r="Y111" s="101"/>
      <c r="Z111" s="101"/>
      <c r="AA111" s="97"/>
      <c r="AB111" s="101"/>
      <c r="AC111" s="97"/>
      <c r="AD111" s="101"/>
      <c r="AE111" s="101"/>
      <c r="AF111" s="101"/>
      <c r="AG111" s="86">
        <f t="shared" si="7"/>
        <v>3</v>
      </c>
      <c r="AH111" s="103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88" t="str">
        <f t="shared" si="8"/>
        <v>妹妹</v>
      </c>
      <c r="AJ111" s="89"/>
    </row>
    <row r="112" spans="1:36" ht="18" customHeight="1">
      <c r="A112" s="101" t="s">
        <v>58</v>
      </c>
      <c r="B112" s="102" t="s">
        <v>127</v>
      </c>
      <c r="C112" s="101"/>
      <c r="D112" s="137">
        <v>1</v>
      </c>
      <c r="E112" s="101"/>
      <c r="F112" s="97"/>
      <c r="G112" s="101"/>
      <c r="H112" s="97"/>
      <c r="I112" s="101"/>
      <c r="J112" s="101">
        <v>1</v>
      </c>
      <c r="K112" s="101">
        <v>1</v>
      </c>
      <c r="L112" s="101">
        <v>1</v>
      </c>
      <c r="M112" s="97"/>
      <c r="N112" s="101"/>
      <c r="O112" s="97"/>
      <c r="P112" s="101">
        <v>1</v>
      </c>
      <c r="Q112" s="101">
        <v>1</v>
      </c>
      <c r="R112" s="101"/>
      <c r="S112" s="101"/>
      <c r="T112" s="97"/>
      <c r="U112" s="101"/>
      <c r="V112" s="97"/>
      <c r="W112" s="101"/>
      <c r="X112" s="101"/>
      <c r="Y112" s="101"/>
      <c r="Z112" s="101"/>
      <c r="AA112" s="97"/>
      <c r="AB112" s="101"/>
      <c r="AC112" s="97"/>
      <c r="AD112" s="101">
        <v>1</v>
      </c>
      <c r="AE112" s="101">
        <v>1</v>
      </c>
      <c r="AF112" s="101"/>
      <c r="AG112" s="86">
        <f t="shared" si="7"/>
        <v>7</v>
      </c>
      <c r="AH112" s="103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88" t="str">
        <f t="shared" si="8"/>
        <v>小雞</v>
      </c>
      <c r="AJ112" s="89"/>
    </row>
    <row r="113" spans="1:36" ht="18" customHeight="1">
      <c r="A113" s="101" t="s">
        <v>58</v>
      </c>
      <c r="B113" s="102" t="s">
        <v>128</v>
      </c>
      <c r="C113" s="101"/>
      <c r="D113" s="137"/>
      <c r="E113" s="101"/>
      <c r="F113" s="97"/>
      <c r="G113" s="101"/>
      <c r="H113" s="97"/>
      <c r="I113" s="101"/>
      <c r="J113" s="101"/>
      <c r="K113" s="101"/>
      <c r="L113" s="101"/>
      <c r="M113" s="97"/>
      <c r="N113" s="101"/>
      <c r="O113" s="97"/>
      <c r="P113" s="101"/>
      <c r="Q113" s="101"/>
      <c r="R113" s="101"/>
      <c r="S113" s="101"/>
      <c r="T113" s="97"/>
      <c r="U113" s="101"/>
      <c r="V113" s="97"/>
      <c r="W113" s="101"/>
      <c r="X113" s="101"/>
      <c r="Y113" s="101"/>
      <c r="Z113" s="101"/>
      <c r="AA113" s="97"/>
      <c r="AB113" s="101"/>
      <c r="AC113" s="97"/>
      <c r="AD113" s="101"/>
      <c r="AE113" s="101"/>
      <c r="AF113" s="101"/>
      <c r="AG113" s="86">
        <f t="shared" si="7"/>
        <v>0</v>
      </c>
      <c r="AH113" s="103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88" t="str">
        <f t="shared" si="8"/>
        <v>雨昕</v>
      </c>
      <c r="AJ113" s="89"/>
    </row>
    <row r="114" spans="1:36" ht="18" customHeight="1">
      <c r="A114" s="101" t="s">
        <v>58</v>
      </c>
      <c r="B114" s="102" t="s">
        <v>129</v>
      </c>
      <c r="C114" s="101"/>
      <c r="D114" s="137"/>
      <c r="E114" s="101"/>
      <c r="F114" s="97"/>
      <c r="G114" s="101"/>
      <c r="H114" s="97"/>
      <c r="I114" s="101"/>
      <c r="J114" s="101"/>
      <c r="K114" s="101"/>
      <c r="L114" s="101"/>
      <c r="M114" s="97"/>
      <c r="N114" s="101"/>
      <c r="O114" s="97"/>
      <c r="P114" s="101"/>
      <c r="Q114" s="101"/>
      <c r="R114" s="101"/>
      <c r="S114" s="101"/>
      <c r="T114" s="97"/>
      <c r="U114" s="101"/>
      <c r="V114" s="97"/>
      <c r="W114" s="101"/>
      <c r="X114" s="101"/>
      <c r="Y114" s="101"/>
      <c r="Z114" s="101"/>
      <c r="AA114" s="97"/>
      <c r="AB114" s="101"/>
      <c r="AC114" s="97"/>
      <c r="AD114" s="101"/>
      <c r="AE114" s="101"/>
      <c r="AF114" s="101"/>
      <c r="AG114" s="86">
        <f t="shared" si="7"/>
        <v>0</v>
      </c>
      <c r="AH114" s="103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88" t="str">
        <f t="shared" si="8"/>
        <v>矮矮</v>
      </c>
      <c r="AJ114" s="89"/>
    </row>
    <row r="115" spans="1:36" ht="18" customHeight="1">
      <c r="A115" s="101" t="s">
        <v>58</v>
      </c>
      <c r="B115" s="102" t="s">
        <v>130</v>
      </c>
      <c r="C115" s="101"/>
      <c r="D115" s="137"/>
      <c r="E115" s="101"/>
      <c r="F115" s="97"/>
      <c r="G115" s="101"/>
      <c r="H115" s="97"/>
      <c r="I115" s="101"/>
      <c r="J115" s="101"/>
      <c r="K115" s="101"/>
      <c r="L115" s="101"/>
      <c r="M115" s="97"/>
      <c r="N115" s="101"/>
      <c r="O115" s="97"/>
      <c r="P115" s="101"/>
      <c r="Q115" s="101"/>
      <c r="R115" s="101"/>
      <c r="S115" s="101"/>
      <c r="T115" s="97"/>
      <c r="U115" s="101"/>
      <c r="V115" s="97"/>
      <c r="W115" s="101"/>
      <c r="X115" s="101"/>
      <c r="Y115" s="101"/>
      <c r="Z115" s="101"/>
      <c r="AA115" s="97"/>
      <c r="AB115" s="101"/>
      <c r="AC115" s="97"/>
      <c r="AD115" s="101"/>
      <c r="AE115" s="101"/>
      <c r="AF115" s="101"/>
      <c r="AG115" s="86">
        <f t="shared" si="7"/>
        <v>0</v>
      </c>
      <c r="AH115" s="103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88" t="str">
        <f t="shared" si="8"/>
        <v>猛女</v>
      </c>
      <c r="AJ115" s="89"/>
    </row>
    <row r="116" spans="1:36" ht="18" customHeight="1">
      <c r="A116" s="101" t="s">
        <v>58</v>
      </c>
      <c r="B116" s="102" t="s">
        <v>131</v>
      </c>
      <c r="C116" s="101"/>
      <c r="D116" s="137"/>
      <c r="E116" s="101"/>
      <c r="F116" s="97"/>
      <c r="G116" s="101"/>
      <c r="H116" s="97"/>
      <c r="I116" s="101"/>
      <c r="J116" s="101"/>
      <c r="K116" s="101"/>
      <c r="L116" s="101"/>
      <c r="M116" s="97"/>
      <c r="N116" s="101"/>
      <c r="O116" s="97"/>
      <c r="P116" s="101"/>
      <c r="Q116" s="101"/>
      <c r="R116" s="101"/>
      <c r="S116" s="101"/>
      <c r="T116" s="97"/>
      <c r="U116" s="101"/>
      <c r="V116" s="97"/>
      <c r="W116" s="101"/>
      <c r="X116" s="101"/>
      <c r="Y116" s="101"/>
      <c r="Z116" s="101"/>
      <c r="AA116" s="97"/>
      <c r="AB116" s="101"/>
      <c r="AC116" s="97"/>
      <c r="AD116" s="101"/>
      <c r="AE116" s="101"/>
      <c r="AF116" s="101"/>
      <c r="AG116" s="86">
        <f t="shared" si="7"/>
        <v>0</v>
      </c>
      <c r="AH116" s="103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88" t="str">
        <f t="shared" si="8"/>
        <v>欣容</v>
      </c>
      <c r="AJ116" s="89"/>
    </row>
    <row r="117" spans="1:36" ht="18" customHeight="1">
      <c r="A117" s="101" t="s">
        <v>58</v>
      </c>
      <c r="B117" s="102" t="s">
        <v>132</v>
      </c>
      <c r="C117" s="101"/>
      <c r="D117" s="137"/>
      <c r="E117" s="101"/>
      <c r="F117" s="97"/>
      <c r="G117" s="101"/>
      <c r="H117" s="97"/>
      <c r="I117" s="101"/>
      <c r="J117" s="101"/>
      <c r="K117" s="101"/>
      <c r="L117" s="101"/>
      <c r="M117" s="97"/>
      <c r="N117" s="101"/>
      <c r="O117" s="97"/>
      <c r="P117" s="101"/>
      <c r="Q117" s="101"/>
      <c r="R117" s="101"/>
      <c r="S117" s="101"/>
      <c r="T117" s="97"/>
      <c r="U117" s="101"/>
      <c r="V117" s="97"/>
      <c r="W117" s="101"/>
      <c r="X117" s="101"/>
      <c r="Y117" s="101"/>
      <c r="Z117" s="101"/>
      <c r="AA117" s="97"/>
      <c r="AB117" s="101"/>
      <c r="AC117" s="97"/>
      <c r="AD117" s="101"/>
      <c r="AE117" s="101"/>
      <c r="AF117" s="101"/>
      <c r="AG117" s="86">
        <f t="shared" si="7"/>
        <v>0</v>
      </c>
      <c r="AH117" s="103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si="8"/>
        <v>萁萁</v>
      </c>
      <c r="AJ117" s="89"/>
    </row>
    <row r="118" spans="1:36" ht="18" customHeight="1">
      <c r="A118" s="101" t="s">
        <v>58</v>
      </c>
      <c r="B118" s="102" t="s">
        <v>133</v>
      </c>
      <c r="C118" s="101"/>
      <c r="D118" s="137"/>
      <c r="E118" s="101"/>
      <c r="F118" s="97"/>
      <c r="G118" s="101">
        <v>1</v>
      </c>
      <c r="H118" s="97"/>
      <c r="I118" s="101">
        <v>1</v>
      </c>
      <c r="J118" s="101"/>
      <c r="K118" s="101"/>
      <c r="L118" s="101"/>
      <c r="M118" s="97"/>
      <c r="N118" s="101"/>
      <c r="O118" s="97"/>
      <c r="P118" s="101"/>
      <c r="Q118" s="101"/>
      <c r="R118" s="101"/>
      <c r="S118" s="101"/>
      <c r="T118" s="97"/>
      <c r="U118" s="101"/>
      <c r="V118" s="97"/>
      <c r="W118" s="101"/>
      <c r="X118" s="101"/>
      <c r="Y118" s="101">
        <v>1</v>
      </c>
      <c r="Z118" s="101"/>
      <c r="AA118" s="97"/>
      <c r="AB118" s="101"/>
      <c r="AC118" s="97"/>
      <c r="AD118" s="101">
        <v>1</v>
      </c>
      <c r="AE118" s="101"/>
      <c r="AF118" s="101"/>
      <c r="AG118" s="86">
        <f t="shared" si="7"/>
        <v>4</v>
      </c>
      <c r="AH118" s="87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8"/>
        <v>萱</v>
      </c>
      <c r="AJ118" s="91"/>
    </row>
    <row r="119" spans="1:36" ht="18" customHeight="1">
      <c r="A119" s="101" t="s">
        <v>58</v>
      </c>
      <c r="B119" s="102" t="s">
        <v>134</v>
      </c>
      <c r="C119" s="101"/>
      <c r="D119" s="137"/>
      <c r="E119" s="101"/>
      <c r="F119" s="97"/>
      <c r="G119" s="101"/>
      <c r="H119" s="97"/>
      <c r="I119" s="101"/>
      <c r="J119" s="101"/>
      <c r="K119" s="101"/>
      <c r="L119" s="101"/>
      <c r="M119" s="97"/>
      <c r="N119" s="101"/>
      <c r="O119" s="97"/>
      <c r="P119" s="101"/>
      <c r="Q119" s="101"/>
      <c r="R119" s="101"/>
      <c r="S119" s="101"/>
      <c r="T119" s="97"/>
      <c r="U119" s="101"/>
      <c r="V119" s="97"/>
      <c r="W119" s="101"/>
      <c r="X119" s="101"/>
      <c r="Y119" s="101"/>
      <c r="Z119" s="101"/>
      <c r="AA119" s="97"/>
      <c r="AB119" s="101"/>
      <c r="AC119" s="97"/>
      <c r="AD119" s="101"/>
      <c r="AE119" s="101"/>
      <c r="AF119" s="101"/>
      <c r="AG119" s="86">
        <f t="shared" si="7"/>
        <v>0</v>
      </c>
      <c r="AH119" s="87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8"/>
        <v>Mei</v>
      </c>
      <c r="AJ119" s="91"/>
    </row>
    <row r="120" spans="1:36" ht="18" customHeight="1">
      <c r="A120" s="101" t="s">
        <v>58</v>
      </c>
      <c r="B120" s="102" t="s">
        <v>135</v>
      </c>
      <c r="C120" s="101"/>
      <c r="D120" s="137"/>
      <c r="E120" s="101"/>
      <c r="F120" s="97"/>
      <c r="G120" s="101"/>
      <c r="H120" s="97"/>
      <c r="I120" s="101"/>
      <c r="J120" s="101"/>
      <c r="K120" s="101"/>
      <c r="L120" s="101"/>
      <c r="M120" s="97"/>
      <c r="N120" s="101"/>
      <c r="O120" s="97"/>
      <c r="P120" s="101"/>
      <c r="Q120" s="101"/>
      <c r="R120" s="101"/>
      <c r="S120" s="101"/>
      <c r="T120" s="97"/>
      <c r="U120" s="101"/>
      <c r="V120" s="97"/>
      <c r="W120" s="101"/>
      <c r="X120" s="101"/>
      <c r="Y120" s="101"/>
      <c r="Z120" s="101"/>
      <c r="AA120" s="97"/>
      <c r="AB120" s="101"/>
      <c r="AC120" s="97"/>
      <c r="AD120" s="101"/>
      <c r="AE120" s="101"/>
      <c r="AF120" s="101"/>
      <c r="AG120" s="86">
        <f t="shared" si="7"/>
        <v>0</v>
      </c>
      <c r="AH120" s="87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8"/>
        <v>屁屁</v>
      </c>
      <c r="AJ120" s="91"/>
    </row>
    <row r="121" spans="1:36" ht="18" customHeight="1">
      <c r="A121" s="101" t="s">
        <v>58</v>
      </c>
      <c r="B121" s="102" t="s">
        <v>136</v>
      </c>
      <c r="C121" s="101"/>
      <c r="D121" s="137"/>
      <c r="E121" s="101"/>
      <c r="F121" s="97"/>
      <c r="G121" s="101"/>
      <c r="H121" s="97"/>
      <c r="I121" s="101"/>
      <c r="J121" s="101"/>
      <c r="K121" s="101"/>
      <c r="L121" s="101"/>
      <c r="M121" s="97"/>
      <c r="N121" s="101"/>
      <c r="O121" s="97"/>
      <c r="P121" s="101"/>
      <c r="Q121" s="101"/>
      <c r="R121" s="101"/>
      <c r="S121" s="101"/>
      <c r="T121" s="97"/>
      <c r="U121" s="101">
        <v>1</v>
      </c>
      <c r="V121" s="97"/>
      <c r="W121" s="101"/>
      <c r="X121" s="101"/>
      <c r="Y121" s="101"/>
      <c r="Z121" s="101"/>
      <c r="AA121" s="97"/>
      <c r="AB121" s="101"/>
      <c r="AC121" s="97"/>
      <c r="AD121" s="101"/>
      <c r="AE121" s="101"/>
      <c r="AF121" s="101"/>
      <c r="AG121" s="86">
        <f t="shared" si="7"/>
        <v>1</v>
      </c>
      <c r="AH121" s="87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8"/>
        <v>泡泡</v>
      </c>
      <c r="AJ121" s="91"/>
    </row>
    <row r="122" spans="1:36" ht="18" customHeight="1">
      <c r="A122" s="101" t="s">
        <v>58</v>
      </c>
      <c r="B122" s="102" t="s">
        <v>137</v>
      </c>
      <c r="C122" s="101"/>
      <c r="D122" s="137"/>
      <c r="E122" s="101"/>
      <c r="F122" s="97"/>
      <c r="G122" s="101"/>
      <c r="H122" s="97"/>
      <c r="I122" s="101"/>
      <c r="J122" s="101"/>
      <c r="K122" s="101"/>
      <c r="L122" s="101"/>
      <c r="M122" s="97"/>
      <c r="N122" s="101"/>
      <c r="O122" s="97"/>
      <c r="P122" s="101"/>
      <c r="Q122" s="101"/>
      <c r="R122" s="101"/>
      <c r="S122" s="101"/>
      <c r="T122" s="97"/>
      <c r="U122" s="101"/>
      <c r="V122" s="97"/>
      <c r="W122" s="101"/>
      <c r="X122" s="101"/>
      <c r="Y122" s="101"/>
      <c r="Z122" s="101"/>
      <c r="AA122" s="97"/>
      <c r="AB122" s="101"/>
      <c r="AC122" s="97"/>
      <c r="AD122" s="101"/>
      <c r="AE122" s="101"/>
      <c r="AF122" s="101"/>
      <c r="AG122" s="86">
        <f t="shared" si="7"/>
        <v>0</v>
      </c>
      <c r="AH122" s="87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8"/>
        <v>姚</v>
      </c>
      <c r="AJ122" s="91"/>
    </row>
    <row r="123" spans="1:36" ht="18" customHeight="1">
      <c r="A123" s="101" t="s">
        <v>58</v>
      </c>
      <c r="B123" s="102" t="s">
        <v>138</v>
      </c>
      <c r="C123" s="101"/>
      <c r="D123" s="137"/>
      <c r="E123" s="101"/>
      <c r="F123" s="97"/>
      <c r="G123" s="101"/>
      <c r="H123" s="97"/>
      <c r="I123" s="101"/>
      <c r="J123" s="101"/>
      <c r="K123" s="101"/>
      <c r="L123" s="101"/>
      <c r="M123" s="97"/>
      <c r="N123" s="101"/>
      <c r="O123" s="97"/>
      <c r="P123" s="101"/>
      <c r="Q123" s="101"/>
      <c r="R123" s="101"/>
      <c r="S123" s="101"/>
      <c r="T123" s="97"/>
      <c r="U123" s="101"/>
      <c r="V123" s="97"/>
      <c r="W123" s="101"/>
      <c r="X123" s="101"/>
      <c r="Y123" s="101"/>
      <c r="Z123" s="101"/>
      <c r="AA123" s="97"/>
      <c r="AB123" s="101"/>
      <c r="AC123" s="97"/>
      <c r="AD123" s="101"/>
      <c r="AE123" s="101"/>
      <c r="AF123" s="101"/>
      <c r="AG123" s="86">
        <f t="shared" si="7"/>
        <v>0</v>
      </c>
      <c r="AH123" s="87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8"/>
        <v>奜茜</v>
      </c>
      <c r="AJ123" s="91"/>
    </row>
    <row r="124" spans="1:36" ht="18" customHeight="1">
      <c r="A124" s="101" t="s">
        <v>58</v>
      </c>
      <c r="B124" s="115" t="s">
        <v>139</v>
      </c>
      <c r="C124" s="101"/>
      <c r="D124" s="137">
        <v>1</v>
      </c>
      <c r="E124" s="101">
        <v>1</v>
      </c>
      <c r="F124" s="97"/>
      <c r="G124" s="101">
        <v>1</v>
      </c>
      <c r="H124" s="97"/>
      <c r="I124" s="101"/>
      <c r="J124" s="101"/>
      <c r="K124" s="101">
        <v>1</v>
      </c>
      <c r="L124" s="101">
        <v>1</v>
      </c>
      <c r="M124" s="97"/>
      <c r="N124" s="101">
        <v>1</v>
      </c>
      <c r="O124" s="97"/>
      <c r="P124" s="101"/>
      <c r="Q124" s="101"/>
      <c r="R124" s="101">
        <v>1</v>
      </c>
      <c r="S124" s="101">
        <v>1</v>
      </c>
      <c r="T124" s="97"/>
      <c r="U124" s="101">
        <v>1</v>
      </c>
      <c r="V124" s="97"/>
      <c r="W124" s="101"/>
      <c r="X124" s="101"/>
      <c r="Y124" s="101"/>
      <c r="Z124" s="101">
        <v>1</v>
      </c>
      <c r="AA124" s="97"/>
      <c r="AB124" s="101"/>
      <c r="AC124" s="97"/>
      <c r="AD124" s="101"/>
      <c r="AE124" s="101"/>
      <c r="AF124" s="101"/>
      <c r="AG124" s="86">
        <f t="shared" si="7"/>
        <v>10</v>
      </c>
      <c r="AH124" s="87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8"/>
        <v>Tina</v>
      </c>
      <c r="AJ124" s="91"/>
    </row>
    <row r="125" spans="1:36" ht="18" customHeight="1">
      <c r="A125" s="101" t="s">
        <v>58</v>
      </c>
      <c r="B125" s="115" t="s">
        <v>140</v>
      </c>
      <c r="C125" s="101"/>
      <c r="D125" s="137"/>
      <c r="E125" s="101"/>
      <c r="F125" s="97"/>
      <c r="G125" s="101"/>
      <c r="H125" s="97"/>
      <c r="I125" s="101"/>
      <c r="J125" s="101"/>
      <c r="K125" s="101"/>
      <c r="L125" s="101"/>
      <c r="M125" s="97"/>
      <c r="N125" s="101"/>
      <c r="O125" s="97"/>
      <c r="P125" s="101"/>
      <c r="Q125" s="101"/>
      <c r="R125" s="101"/>
      <c r="S125" s="101"/>
      <c r="T125" s="97"/>
      <c r="U125" s="101"/>
      <c r="V125" s="97"/>
      <c r="W125" s="101"/>
      <c r="X125" s="101"/>
      <c r="Y125" s="101"/>
      <c r="Z125" s="101"/>
      <c r="AA125" s="97"/>
      <c r="AB125" s="101"/>
      <c r="AC125" s="97"/>
      <c r="AD125" s="101"/>
      <c r="AE125" s="101"/>
      <c r="AF125" s="101"/>
      <c r="AG125" s="86">
        <f t="shared" si="7"/>
        <v>0</v>
      </c>
      <c r="AH125" s="87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8"/>
        <v>芷琦</v>
      </c>
      <c r="AJ125" s="91"/>
    </row>
    <row r="126" spans="1:36" ht="18" customHeight="1">
      <c r="A126" s="101" t="s">
        <v>58</v>
      </c>
      <c r="B126" s="115" t="s">
        <v>106</v>
      </c>
      <c r="C126" s="101"/>
      <c r="D126" s="137"/>
      <c r="E126" s="101"/>
      <c r="F126" s="97"/>
      <c r="G126" s="101"/>
      <c r="H126" s="97"/>
      <c r="I126" s="101"/>
      <c r="J126" s="101"/>
      <c r="K126" s="101">
        <v>1</v>
      </c>
      <c r="L126" s="101"/>
      <c r="M126" s="97"/>
      <c r="N126" s="101"/>
      <c r="O126" s="97"/>
      <c r="P126" s="101"/>
      <c r="Q126" s="101"/>
      <c r="R126" s="101"/>
      <c r="S126" s="101"/>
      <c r="T126" s="97"/>
      <c r="U126" s="101"/>
      <c r="V126" s="97"/>
      <c r="W126" s="101"/>
      <c r="X126" s="101"/>
      <c r="Y126" s="101"/>
      <c r="Z126" s="101"/>
      <c r="AA126" s="97"/>
      <c r="AB126" s="101"/>
      <c r="AC126" s="97"/>
      <c r="AD126" s="101"/>
      <c r="AE126" s="101"/>
      <c r="AF126" s="101"/>
      <c r="AG126" s="86">
        <f t="shared" si="7"/>
        <v>1</v>
      </c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8"/>
        <v>Nina</v>
      </c>
      <c r="AJ126" s="91"/>
    </row>
    <row r="127" spans="1:36" ht="18" customHeight="1">
      <c r="A127" s="101" t="s">
        <v>58</v>
      </c>
      <c r="B127" s="102" t="s">
        <v>141</v>
      </c>
      <c r="C127" s="101"/>
      <c r="D127" s="137"/>
      <c r="E127" s="101"/>
      <c r="F127" s="97"/>
      <c r="G127" s="101"/>
      <c r="H127" s="97"/>
      <c r="I127" s="101"/>
      <c r="J127" s="101"/>
      <c r="K127" s="101"/>
      <c r="L127" s="101"/>
      <c r="M127" s="97"/>
      <c r="N127" s="101"/>
      <c r="O127" s="97"/>
      <c r="P127" s="101"/>
      <c r="Q127" s="101"/>
      <c r="R127" s="101"/>
      <c r="S127" s="101"/>
      <c r="T127" s="97"/>
      <c r="U127" s="101"/>
      <c r="V127" s="97"/>
      <c r="W127" s="101"/>
      <c r="X127" s="101"/>
      <c r="Y127" s="101"/>
      <c r="Z127" s="101"/>
      <c r="AA127" s="97"/>
      <c r="AB127" s="101"/>
      <c r="AC127" s="97"/>
      <c r="AD127" s="101"/>
      <c r="AE127" s="101"/>
      <c r="AF127" s="101"/>
      <c r="AG127" s="86">
        <f t="shared" si="7"/>
        <v>0</v>
      </c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8"/>
        <v>Cindy</v>
      </c>
      <c r="AJ127" s="91"/>
    </row>
    <row r="128" spans="1:36" ht="18" customHeight="1">
      <c r="A128" s="101" t="s">
        <v>58</v>
      </c>
      <c r="B128" s="102" t="s">
        <v>142</v>
      </c>
      <c r="C128" s="101"/>
      <c r="D128" s="137"/>
      <c r="E128" s="101"/>
      <c r="F128" s="97"/>
      <c r="G128" s="101"/>
      <c r="H128" s="97"/>
      <c r="I128" s="101"/>
      <c r="J128" s="101"/>
      <c r="K128" s="101"/>
      <c r="L128" s="101"/>
      <c r="M128" s="97"/>
      <c r="N128" s="101"/>
      <c r="O128" s="97"/>
      <c r="P128" s="101"/>
      <c r="Q128" s="101"/>
      <c r="R128" s="101"/>
      <c r="S128" s="101"/>
      <c r="T128" s="97"/>
      <c r="U128" s="101"/>
      <c r="V128" s="97"/>
      <c r="W128" s="101"/>
      <c r="X128" s="101"/>
      <c r="Y128" s="101"/>
      <c r="Z128" s="101"/>
      <c r="AA128" s="97"/>
      <c r="AB128" s="101"/>
      <c r="AC128" s="97"/>
      <c r="AD128" s="101"/>
      <c r="AE128" s="101"/>
      <c r="AF128" s="101"/>
      <c r="AG128" s="86">
        <f t="shared" si="7"/>
        <v>0</v>
      </c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8"/>
        <v>如靜</v>
      </c>
      <c r="AJ128" s="91"/>
    </row>
    <row r="129" spans="1:36" ht="18" customHeight="1">
      <c r="A129" s="101" t="s">
        <v>58</v>
      </c>
      <c r="B129" s="102" t="s">
        <v>143</v>
      </c>
      <c r="C129" s="101"/>
      <c r="D129" s="137"/>
      <c r="E129" s="101"/>
      <c r="F129" s="97"/>
      <c r="G129" s="101"/>
      <c r="H129" s="97"/>
      <c r="I129" s="101"/>
      <c r="J129" s="101"/>
      <c r="K129" s="101"/>
      <c r="L129" s="101"/>
      <c r="M129" s="97"/>
      <c r="N129" s="101"/>
      <c r="O129" s="97"/>
      <c r="P129" s="101"/>
      <c r="Q129" s="101"/>
      <c r="R129" s="101"/>
      <c r="S129" s="101"/>
      <c r="T129" s="97"/>
      <c r="U129" s="101"/>
      <c r="V129" s="97"/>
      <c r="W129" s="101"/>
      <c r="X129" s="101"/>
      <c r="Y129" s="101"/>
      <c r="Z129" s="101"/>
      <c r="AA129" s="97"/>
      <c r="AB129" s="101"/>
      <c r="AC129" s="97"/>
      <c r="AD129" s="101"/>
      <c r="AE129" s="101"/>
      <c r="AF129" s="101"/>
      <c r="AG129" s="86">
        <f t="shared" si="7"/>
        <v>0</v>
      </c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8"/>
        <v>毓玫</v>
      </c>
      <c r="AJ129" s="91"/>
    </row>
    <row r="130" spans="1:36" ht="18" customHeight="1">
      <c r="A130" s="101" t="s">
        <v>58</v>
      </c>
      <c r="B130" s="102" t="s">
        <v>144</v>
      </c>
      <c r="C130" s="101"/>
      <c r="D130" s="137"/>
      <c r="E130" s="101"/>
      <c r="F130" s="97"/>
      <c r="G130" s="101"/>
      <c r="H130" s="97"/>
      <c r="I130" s="101"/>
      <c r="J130" s="101"/>
      <c r="K130" s="101"/>
      <c r="L130" s="101"/>
      <c r="M130" s="97"/>
      <c r="N130" s="101"/>
      <c r="O130" s="97"/>
      <c r="P130" s="101"/>
      <c r="Q130" s="101"/>
      <c r="R130" s="101"/>
      <c r="S130" s="101"/>
      <c r="T130" s="97"/>
      <c r="U130" s="101"/>
      <c r="V130" s="97"/>
      <c r="W130" s="101"/>
      <c r="X130" s="101"/>
      <c r="Y130" s="101"/>
      <c r="Z130" s="101"/>
      <c r="AA130" s="97"/>
      <c r="AB130" s="101"/>
      <c r="AC130" s="97"/>
      <c r="AD130" s="101"/>
      <c r="AE130" s="101"/>
      <c r="AF130" s="101"/>
      <c r="AG130" s="86">
        <f t="shared" si="7"/>
        <v>0</v>
      </c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8"/>
        <v>美枝</v>
      </c>
      <c r="AJ130" s="91"/>
    </row>
    <row r="131" spans="1:36" ht="18" customHeight="1">
      <c r="A131" s="101" t="s">
        <v>58</v>
      </c>
      <c r="B131" s="102" t="s">
        <v>145</v>
      </c>
      <c r="C131" s="101"/>
      <c r="D131" s="137"/>
      <c r="E131" s="101"/>
      <c r="F131" s="97"/>
      <c r="G131" s="101"/>
      <c r="H131" s="97"/>
      <c r="I131" s="101"/>
      <c r="J131" s="101"/>
      <c r="K131" s="101"/>
      <c r="L131" s="101"/>
      <c r="M131" s="97"/>
      <c r="N131" s="101"/>
      <c r="O131" s="97"/>
      <c r="P131" s="101"/>
      <c r="Q131" s="101"/>
      <c r="R131" s="101"/>
      <c r="S131" s="101"/>
      <c r="T131" s="97"/>
      <c r="U131" s="101"/>
      <c r="V131" s="97"/>
      <c r="W131" s="101"/>
      <c r="X131" s="101"/>
      <c r="Y131" s="101"/>
      <c r="Z131" s="101"/>
      <c r="AA131" s="97"/>
      <c r="AB131" s="101"/>
      <c r="AC131" s="97"/>
      <c r="AD131" s="101"/>
      <c r="AE131" s="101"/>
      <c r="AF131" s="101"/>
      <c r="AG131" s="86">
        <f t="shared" si="7"/>
        <v>0</v>
      </c>
      <c r="AH131" s="87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88" t="str">
        <f t="shared" si="8"/>
        <v>魯魯咪</v>
      </c>
      <c r="AJ131" s="91"/>
    </row>
    <row r="132" spans="1:36" ht="18" customHeight="1">
      <c r="A132" s="120" t="s">
        <v>58</v>
      </c>
      <c r="B132" s="121" t="s">
        <v>41</v>
      </c>
      <c r="C132" s="120"/>
      <c r="D132" s="143"/>
      <c r="E132" s="120"/>
      <c r="F132" s="97"/>
      <c r="G132" s="120"/>
      <c r="H132" s="97"/>
      <c r="I132" s="120"/>
      <c r="J132" s="120"/>
      <c r="K132" s="120"/>
      <c r="L132" s="120"/>
      <c r="M132" s="97"/>
      <c r="N132" s="120"/>
      <c r="O132" s="97"/>
      <c r="P132" s="120"/>
      <c r="Q132" s="120"/>
      <c r="R132" s="120"/>
      <c r="S132" s="120"/>
      <c r="T132" s="97"/>
      <c r="U132" s="120"/>
      <c r="V132" s="97"/>
      <c r="W132" s="120"/>
      <c r="X132" s="120"/>
      <c r="Y132" s="120"/>
      <c r="Z132" s="120"/>
      <c r="AA132" s="97"/>
      <c r="AB132" s="120"/>
      <c r="AC132" s="97"/>
      <c r="AD132" s="120"/>
      <c r="AE132" s="120"/>
      <c r="AF132" s="120"/>
      <c r="AG132" s="107">
        <f t="shared" si="7"/>
        <v>0</v>
      </c>
      <c r="AH132" s="108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109" t="str">
        <f t="shared" si="8"/>
        <v>軟軟</v>
      </c>
      <c r="AJ132" s="110"/>
    </row>
    <row r="133" spans="1:36" ht="18" customHeight="1">
      <c r="A133" s="120" t="s">
        <v>58</v>
      </c>
      <c r="B133" s="121" t="s">
        <v>42</v>
      </c>
      <c r="C133" s="120"/>
      <c r="D133" s="143"/>
      <c r="E133" s="120"/>
      <c r="F133" s="97"/>
      <c r="G133" s="120"/>
      <c r="H133" s="97"/>
      <c r="I133" s="120"/>
      <c r="J133" s="120"/>
      <c r="K133" s="120"/>
      <c r="L133" s="120"/>
      <c r="M133" s="97"/>
      <c r="N133" s="120"/>
      <c r="O133" s="97"/>
      <c r="P133" s="120"/>
      <c r="Q133" s="120"/>
      <c r="R133" s="120"/>
      <c r="S133" s="120"/>
      <c r="T133" s="97"/>
      <c r="U133" s="120"/>
      <c r="V133" s="97"/>
      <c r="W133" s="120"/>
      <c r="X133" s="120"/>
      <c r="Y133" s="120"/>
      <c r="Z133" s="120"/>
      <c r="AA133" s="97"/>
      <c r="AB133" s="120"/>
      <c r="AC133" s="97"/>
      <c r="AD133" s="120"/>
      <c r="AE133" s="120"/>
      <c r="AF133" s="120"/>
      <c r="AG133" s="107">
        <f t="shared" si="7"/>
        <v>0</v>
      </c>
      <c r="AH133" s="108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109" t="str">
        <f t="shared" si="8"/>
        <v>屎蛋</v>
      </c>
      <c r="AJ133" s="110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33">
    <cfRule type="expression" dxfId="20" priority="1">
      <formula>COUNTIF($B:$B,$B2)&gt;1</formula>
    </cfRule>
  </conditionalFormatting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A9999"/>
    <outlinePr summaryBelow="0" summaryRight="0"/>
    <pageSetUpPr fitToPage="1"/>
  </sheetPr>
  <dimension ref="A1:AK1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3" width="4.81640625" customWidth="1"/>
    <col min="34" max="34" width="4.453125" customWidth="1"/>
    <col min="35" max="35" width="6" customWidth="1"/>
    <col min="36" max="36" width="6.1796875" customWidth="1"/>
    <col min="37" max="37" width="13.26953125" customWidth="1"/>
  </cols>
  <sheetData>
    <row r="1" spans="1:37" ht="18" customHeight="1">
      <c r="A1" s="287" t="s">
        <v>0</v>
      </c>
      <c r="B1" s="280"/>
      <c r="C1" s="51" t="s">
        <v>182</v>
      </c>
      <c r="D1" s="52"/>
      <c r="E1" s="51" t="s">
        <v>183</v>
      </c>
      <c r="F1" s="52"/>
      <c r="G1" s="51" t="s">
        <v>184</v>
      </c>
      <c r="H1" s="51" t="s">
        <v>185</v>
      </c>
      <c r="I1" s="51" t="s">
        <v>183</v>
      </c>
      <c r="J1" s="51" t="s">
        <v>182</v>
      </c>
      <c r="K1" s="52"/>
      <c r="L1" s="51" t="s">
        <v>183</v>
      </c>
      <c r="M1" s="52"/>
      <c r="N1" s="51" t="s">
        <v>184</v>
      </c>
      <c r="O1" s="51"/>
      <c r="P1" s="51"/>
      <c r="Q1" s="51" t="s">
        <v>182</v>
      </c>
      <c r="R1" s="52"/>
      <c r="S1" s="51" t="s">
        <v>183</v>
      </c>
      <c r="T1" s="52"/>
      <c r="U1" s="51" t="s">
        <v>184</v>
      </c>
      <c r="V1" s="51" t="s">
        <v>185</v>
      </c>
      <c r="W1" s="51" t="s">
        <v>22</v>
      </c>
      <c r="X1" s="51" t="s">
        <v>182</v>
      </c>
      <c r="Y1" s="52"/>
      <c r="Z1" s="51"/>
      <c r="AA1" s="52"/>
      <c r="AB1" s="51" t="s">
        <v>184</v>
      </c>
      <c r="AC1" s="51" t="s">
        <v>185</v>
      </c>
      <c r="AD1" s="51" t="s">
        <v>22</v>
      </c>
      <c r="AE1" s="51" t="s">
        <v>182</v>
      </c>
      <c r="AF1" s="52"/>
      <c r="AG1" s="51" t="s">
        <v>183</v>
      </c>
      <c r="AH1" s="286" t="s">
        <v>6</v>
      </c>
      <c r="AI1" s="284" t="s">
        <v>7</v>
      </c>
      <c r="AJ1" s="285" t="s">
        <v>172</v>
      </c>
      <c r="AK1" s="288" t="s">
        <v>1</v>
      </c>
    </row>
    <row r="2" spans="1:37" ht="18" customHeight="1">
      <c r="A2" s="53" t="s">
        <v>2</v>
      </c>
      <c r="B2" s="113" t="s">
        <v>3</v>
      </c>
      <c r="C2" s="55">
        <v>45474</v>
      </c>
      <c r="D2" s="56">
        <v>45475</v>
      </c>
      <c r="E2" s="55">
        <v>45476</v>
      </c>
      <c r="F2" s="56">
        <v>45477</v>
      </c>
      <c r="G2" s="55">
        <v>45478</v>
      </c>
      <c r="H2" s="55">
        <v>45479</v>
      </c>
      <c r="I2" s="55">
        <v>45480</v>
      </c>
      <c r="J2" s="55">
        <v>45481</v>
      </c>
      <c r="K2" s="56">
        <v>45482</v>
      </c>
      <c r="L2" s="55">
        <v>45483</v>
      </c>
      <c r="M2" s="56">
        <v>45484</v>
      </c>
      <c r="N2" s="55">
        <v>45485</v>
      </c>
      <c r="O2" s="55">
        <v>45486</v>
      </c>
      <c r="P2" s="55">
        <v>45487</v>
      </c>
      <c r="Q2" s="55">
        <v>45488</v>
      </c>
      <c r="R2" s="56">
        <v>45489</v>
      </c>
      <c r="S2" s="55">
        <v>45490</v>
      </c>
      <c r="T2" s="56">
        <v>45491</v>
      </c>
      <c r="U2" s="55">
        <v>45492</v>
      </c>
      <c r="V2" s="55">
        <v>45493</v>
      </c>
      <c r="W2" s="55">
        <v>45494</v>
      </c>
      <c r="X2" s="55">
        <v>45495</v>
      </c>
      <c r="Y2" s="56">
        <v>45496</v>
      </c>
      <c r="Z2" s="55">
        <v>45497</v>
      </c>
      <c r="AA2" s="56">
        <v>45498</v>
      </c>
      <c r="AB2" s="55">
        <v>45499</v>
      </c>
      <c r="AC2" s="55">
        <v>45500</v>
      </c>
      <c r="AD2" s="55">
        <v>45501</v>
      </c>
      <c r="AE2" s="55">
        <v>45502</v>
      </c>
      <c r="AF2" s="56">
        <v>45503</v>
      </c>
      <c r="AG2" s="55">
        <v>45504</v>
      </c>
      <c r="AH2" s="282"/>
      <c r="AI2" s="277"/>
      <c r="AJ2" s="272"/>
      <c r="AK2" s="275"/>
    </row>
    <row r="3" spans="1:37" ht="18" customHeight="1">
      <c r="A3" s="53" t="s">
        <v>4</v>
      </c>
      <c r="B3" s="113" t="s">
        <v>5</v>
      </c>
      <c r="C3" s="51">
        <f t="shared" ref="C3:AG3" si="0">WEEKDAY(C2-1)</f>
        <v>1</v>
      </c>
      <c r="D3" s="52">
        <f t="shared" si="0"/>
        <v>2</v>
      </c>
      <c r="E3" s="51">
        <f t="shared" si="0"/>
        <v>3</v>
      </c>
      <c r="F3" s="52">
        <f t="shared" si="0"/>
        <v>4</v>
      </c>
      <c r="G3" s="51">
        <f t="shared" si="0"/>
        <v>5</v>
      </c>
      <c r="H3" s="51">
        <f t="shared" si="0"/>
        <v>6</v>
      </c>
      <c r="I3" s="51">
        <f t="shared" si="0"/>
        <v>7</v>
      </c>
      <c r="J3" s="51">
        <f t="shared" si="0"/>
        <v>1</v>
      </c>
      <c r="K3" s="52">
        <f t="shared" si="0"/>
        <v>2</v>
      </c>
      <c r="L3" s="51">
        <f t="shared" si="0"/>
        <v>3</v>
      </c>
      <c r="M3" s="52">
        <f t="shared" si="0"/>
        <v>4</v>
      </c>
      <c r="N3" s="51">
        <f t="shared" si="0"/>
        <v>5</v>
      </c>
      <c r="O3" s="51">
        <f t="shared" si="0"/>
        <v>6</v>
      </c>
      <c r="P3" s="51">
        <f t="shared" si="0"/>
        <v>7</v>
      </c>
      <c r="Q3" s="51">
        <f t="shared" si="0"/>
        <v>1</v>
      </c>
      <c r="R3" s="52">
        <f t="shared" si="0"/>
        <v>2</v>
      </c>
      <c r="S3" s="51">
        <f t="shared" si="0"/>
        <v>3</v>
      </c>
      <c r="T3" s="52">
        <f t="shared" si="0"/>
        <v>4</v>
      </c>
      <c r="U3" s="51">
        <f t="shared" si="0"/>
        <v>5</v>
      </c>
      <c r="V3" s="51">
        <f t="shared" si="0"/>
        <v>6</v>
      </c>
      <c r="W3" s="51">
        <f t="shared" si="0"/>
        <v>7</v>
      </c>
      <c r="X3" s="51">
        <f t="shared" si="0"/>
        <v>1</v>
      </c>
      <c r="Y3" s="52">
        <f t="shared" si="0"/>
        <v>2</v>
      </c>
      <c r="Z3" s="51">
        <f t="shared" si="0"/>
        <v>3</v>
      </c>
      <c r="AA3" s="52">
        <f t="shared" si="0"/>
        <v>4</v>
      </c>
      <c r="AB3" s="51">
        <f t="shared" si="0"/>
        <v>5</v>
      </c>
      <c r="AC3" s="51">
        <f t="shared" si="0"/>
        <v>6</v>
      </c>
      <c r="AD3" s="51">
        <f t="shared" si="0"/>
        <v>7</v>
      </c>
      <c r="AE3" s="51">
        <f t="shared" si="0"/>
        <v>1</v>
      </c>
      <c r="AF3" s="52">
        <f t="shared" si="0"/>
        <v>2</v>
      </c>
      <c r="AG3" s="51">
        <f t="shared" si="0"/>
        <v>3</v>
      </c>
      <c r="AH3" s="283"/>
      <c r="AI3" s="278"/>
      <c r="AJ3" s="273"/>
      <c r="AK3" s="62" t="e">
        <f ca="1">SUM(AI4:AI134)</f>
        <v>#NAME?</v>
      </c>
    </row>
    <row r="4" spans="1:37" ht="18" customHeight="1">
      <c r="A4" s="92" t="s">
        <v>174</v>
      </c>
      <c r="B4" s="117" t="s">
        <v>10</v>
      </c>
      <c r="C4" s="118">
        <v>1</v>
      </c>
      <c r="D4" s="119"/>
      <c r="E4" s="118"/>
      <c r="F4" s="119"/>
      <c r="G4" s="118">
        <v>1</v>
      </c>
      <c r="H4" s="118">
        <v>1</v>
      </c>
      <c r="I4" s="118"/>
      <c r="J4" s="118">
        <v>1</v>
      </c>
      <c r="K4" s="119"/>
      <c r="L4" s="118"/>
      <c r="M4" s="119"/>
      <c r="N4" s="118">
        <v>1</v>
      </c>
      <c r="O4" s="118"/>
      <c r="P4" s="118"/>
      <c r="Q4" s="118">
        <v>1</v>
      </c>
      <c r="R4" s="119"/>
      <c r="S4" s="118"/>
      <c r="T4" s="119"/>
      <c r="U4" s="118">
        <v>1</v>
      </c>
      <c r="V4" s="118">
        <v>1</v>
      </c>
      <c r="W4" s="118"/>
      <c r="X4" s="118">
        <v>1</v>
      </c>
      <c r="Y4" s="119"/>
      <c r="Z4" s="118"/>
      <c r="AA4" s="119"/>
      <c r="AB4" s="118"/>
      <c r="AC4" s="118"/>
      <c r="AD4" s="118"/>
      <c r="AE4" s="118">
        <v>1</v>
      </c>
      <c r="AF4" s="119"/>
      <c r="AG4" s="118">
        <v>1</v>
      </c>
      <c r="AH4" s="66">
        <f t="shared" ref="AH4:AH35" si="1">COUNTA(C4:AG4)</f>
        <v>11</v>
      </c>
      <c r="AI4" s="68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69" t="str">
        <f t="shared" ref="AJ4:AJ35" si="2">B4</f>
        <v>阿發</v>
      </c>
      <c r="AK4" s="70"/>
    </row>
    <row r="5" spans="1:37" ht="18" customHeight="1">
      <c r="A5" s="95" t="s">
        <v>174</v>
      </c>
      <c r="B5" s="122" t="s">
        <v>11</v>
      </c>
      <c r="C5" s="123"/>
      <c r="D5" s="124"/>
      <c r="E5" s="123">
        <v>1</v>
      </c>
      <c r="F5" s="124"/>
      <c r="G5" s="123">
        <v>1</v>
      </c>
      <c r="H5" s="123">
        <v>1</v>
      </c>
      <c r="I5" s="123"/>
      <c r="J5" s="123">
        <v>1</v>
      </c>
      <c r="K5" s="124"/>
      <c r="L5" s="123">
        <v>1</v>
      </c>
      <c r="M5" s="124"/>
      <c r="N5" s="123">
        <v>1</v>
      </c>
      <c r="O5" s="123"/>
      <c r="P5" s="123"/>
      <c r="Q5" s="123">
        <v>1</v>
      </c>
      <c r="R5" s="124"/>
      <c r="S5" s="123">
        <v>1</v>
      </c>
      <c r="T5" s="124"/>
      <c r="U5" s="123">
        <v>1</v>
      </c>
      <c r="V5" s="123">
        <v>1</v>
      </c>
      <c r="W5" s="123"/>
      <c r="X5" s="123"/>
      <c r="Y5" s="124"/>
      <c r="Z5" s="123"/>
      <c r="AA5" s="124"/>
      <c r="AB5" s="123">
        <v>1</v>
      </c>
      <c r="AC5" s="123"/>
      <c r="AD5" s="123"/>
      <c r="AE5" s="123">
        <v>1</v>
      </c>
      <c r="AF5" s="124"/>
      <c r="AG5" s="123">
        <v>1</v>
      </c>
      <c r="AH5" s="66">
        <f t="shared" si="1"/>
        <v>13</v>
      </c>
      <c r="AI5" s="68" t="e">
        <f ca="1">(IF(A5="O", (VALUE(_xludf.IFS(AH5=0,"0",AH5=1,"150",AH5=2,"300",AH5=3,"450",AH5=4,"600",AH5=5,"750",AH5&gt;=6,"800"))),(VALUE(_xludf.IFS(AH5=0,"0",AH5=1,"150",AH5=2,"300",AH5=3,"450",AH5=4,"600",AH5=5,"750",AH5=6,"900",AH5&gt;=7,"1,000")))))/2</f>
        <v>#NAME?</v>
      </c>
      <c r="AJ5" s="122" t="str">
        <f t="shared" si="2"/>
        <v>捷升</v>
      </c>
      <c r="AK5" s="70"/>
    </row>
    <row r="6" spans="1:37" ht="18" customHeight="1">
      <c r="A6" s="95" t="s">
        <v>174</v>
      </c>
      <c r="B6" s="122" t="s">
        <v>14</v>
      </c>
      <c r="C6" s="123">
        <v>1</v>
      </c>
      <c r="D6" s="124"/>
      <c r="E6" s="123">
        <v>1</v>
      </c>
      <c r="F6" s="124"/>
      <c r="G6" s="123">
        <v>1</v>
      </c>
      <c r="H6" s="123">
        <v>1</v>
      </c>
      <c r="I6" s="123">
        <v>1</v>
      </c>
      <c r="J6" s="123">
        <v>1</v>
      </c>
      <c r="K6" s="124"/>
      <c r="L6" s="123">
        <v>1</v>
      </c>
      <c r="M6" s="124"/>
      <c r="N6" s="123">
        <v>1</v>
      </c>
      <c r="O6" s="123"/>
      <c r="P6" s="123"/>
      <c r="Q6" s="123">
        <v>1</v>
      </c>
      <c r="R6" s="124"/>
      <c r="S6" s="123">
        <v>1</v>
      </c>
      <c r="T6" s="124"/>
      <c r="U6" s="123">
        <v>1</v>
      </c>
      <c r="V6" s="123">
        <v>1</v>
      </c>
      <c r="W6" s="123">
        <v>1</v>
      </c>
      <c r="X6" s="123">
        <v>1</v>
      </c>
      <c r="Y6" s="124"/>
      <c r="Z6" s="123"/>
      <c r="AA6" s="124"/>
      <c r="AB6" s="123">
        <v>1</v>
      </c>
      <c r="AC6" s="123"/>
      <c r="AD6" s="123"/>
      <c r="AE6" s="123">
        <v>1</v>
      </c>
      <c r="AF6" s="124"/>
      <c r="AG6" s="123">
        <v>1</v>
      </c>
      <c r="AH6" s="66">
        <f t="shared" si="1"/>
        <v>17</v>
      </c>
      <c r="AI6" s="68" t="e">
        <f ca="1">(IF(A6="O", (VALUE(_xludf.IFS(AH6=0,"0",AH6=1,"150",AH6=2,"300",AH6=3,"450",AH6=4,"600",AH6=5,"750",AH6&gt;=6,"800"))),(VALUE(_xludf.IFS(AH6=0,"0",AH6=1,"150",AH6=2,"300",AH6=3,"450",AH6=4,"600",AH6=5,"750",AH6=6,"900",AH6&gt;=7,"1,000")))))/2</f>
        <v>#NAME?</v>
      </c>
      <c r="AJ6" s="122" t="str">
        <f t="shared" si="2"/>
        <v>曉明</v>
      </c>
      <c r="AK6" s="70"/>
    </row>
    <row r="7" spans="1:37" ht="18" customHeight="1">
      <c r="A7" s="95" t="s">
        <v>174</v>
      </c>
      <c r="B7" s="125" t="s">
        <v>15</v>
      </c>
      <c r="C7" s="123"/>
      <c r="D7" s="124"/>
      <c r="E7" s="123">
        <v>1</v>
      </c>
      <c r="F7" s="124"/>
      <c r="G7" s="123">
        <v>1</v>
      </c>
      <c r="H7" s="123"/>
      <c r="I7" s="123">
        <v>1</v>
      </c>
      <c r="J7" s="123"/>
      <c r="K7" s="124"/>
      <c r="L7" s="123"/>
      <c r="M7" s="124"/>
      <c r="N7" s="123">
        <v>1</v>
      </c>
      <c r="O7" s="123"/>
      <c r="P7" s="123"/>
      <c r="Q7" s="123">
        <v>1</v>
      </c>
      <c r="R7" s="124"/>
      <c r="S7" s="123">
        <v>1</v>
      </c>
      <c r="T7" s="124"/>
      <c r="U7" s="123"/>
      <c r="V7" s="123"/>
      <c r="W7" s="123">
        <v>1</v>
      </c>
      <c r="X7" s="123"/>
      <c r="Y7" s="124"/>
      <c r="Z7" s="123"/>
      <c r="AA7" s="124"/>
      <c r="AB7" s="123">
        <v>1</v>
      </c>
      <c r="AC7" s="123"/>
      <c r="AD7" s="123"/>
      <c r="AE7" s="123">
        <v>1</v>
      </c>
      <c r="AF7" s="124"/>
      <c r="AG7" s="123">
        <v>1</v>
      </c>
      <c r="AH7" s="66">
        <f t="shared" si="1"/>
        <v>10</v>
      </c>
      <c r="AI7" s="68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69" t="str">
        <f t="shared" si="2"/>
        <v>大支</v>
      </c>
      <c r="AK7" s="70"/>
    </row>
    <row r="8" spans="1:37" ht="18" customHeight="1">
      <c r="A8" s="95" t="s">
        <v>174</v>
      </c>
      <c r="B8" s="125" t="s">
        <v>16</v>
      </c>
      <c r="C8" s="123">
        <v>1</v>
      </c>
      <c r="D8" s="124"/>
      <c r="E8" s="123"/>
      <c r="F8" s="124"/>
      <c r="G8" s="123">
        <v>1</v>
      </c>
      <c r="H8" s="123">
        <v>1</v>
      </c>
      <c r="I8" s="123">
        <v>1</v>
      </c>
      <c r="J8" s="123">
        <v>1</v>
      </c>
      <c r="K8" s="124"/>
      <c r="L8" s="123">
        <v>1</v>
      </c>
      <c r="M8" s="124"/>
      <c r="N8" s="123">
        <v>1</v>
      </c>
      <c r="O8" s="123"/>
      <c r="P8" s="123"/>
      <c r="Q8" s="123">
        <v>1</v>
      </c>
      <c r="R8" s="124"/>
      <c r="S8" s="123">
        <v>1</v>
      </c>
      <c r="T8" s="124"/>
      <c r="U8" s="123">
        <v>1</v>
      </c>
      <c r="V8" s="123"/>
      <c r="W8" s="123">
        <v>1</v>
      </c>
      <c r="X8" s="123">
        <v>1</v>
      </c>
      <c r="Y8" s="124"/>
      <c r="Z8" s="123"/>
      <c r="AA8" s="124"/>
      <c r="AB8" s="123">
        <v>1</v>
      </c>
      <c r="AC8" s="123"/>
      <c r="AD8" s="123"/>
      <c r="AE8" s="123">
        <v>1</v>
      </c>
      <c r="AF8" s="124"/>
      <c r="AG8" s="123">
        <v>1</v>
      </c>
      <c r="AH8" s="66">
        <f t="shared" si="1"/>
        <v>15</v>
      </c>
      <c r="AI8" s="68" t="e">
        <f ca="1">IF(A8="O", (VALUE(_xludf.IFS(AH8=0,"0",AH8=1,"150",AH8=2,"300",AH8=3,"450",AH8=4,"600",AH8=5,"750",AH8&gt;=6,"800"))),(VALUE(_xludf.IFS(AH8=0,"0",AH8=1,"150",AH8=2,"300",AH8=3,"450",AH8=4,"600",AH8=5,"750",AH8=6,"900",AH8&gt;=7,"1,000"))))</f>
        <v>#NAME?</v>
      </c>
      <c r="AJ8" s="69" t="str">
        <f t="shared" si="2"/>
        <v>弼善</v>
      </c>
      <c r="AK8" s="70"/>
    </row>
    <row r="9" spans="1:37" ht="18" customHeight="1">
      <c r="A9" s="95" t="s">
        <v>174</v>
      </c>
      <c r="B9" s="125" t="s">
        <v>17</v>
      </c>
      <c r="C9" s="123">
        <v>1</v>
      </c>
      <c r="D9" s="124"/>
      <c r="E9" s="123"/>
      <c r="F9" s="124"/>
      <c r="G9" s="123"/>
      <c r="H9" s="123"/>
      <c r="I9" s="123"/>
      <c r="J9" s="123">
        <v>1</v>
      </c>
      <c r="K9" s="124"/>
      <c r="L9" s="123">
        <v>1</v>
      </c>
      <c r="M9" s="124"/>
      <c r="N9" s="123">
        <v>1</v>
      </c>
      <c r="O9" s="123"/>
      <c r="P9" s="123"/>
      <c r="Q9" s="123">
        <v>1</v>
      </c>
      <c r="R9" s="124"/>
      <c r="S9" s="123">
        <v>1</v>
      </c>
      <c r="T9" s="124"/>
      <c r="U9" s="123"/>
      <c r="V9" s="123"/>
      <c r="W9" s="123"/>
      <c r="X9" s="123">
        <v>1</v>
      </c>
      <c r="Y9" s="124"/>
      <c r="Z9" s="123"/>
      <c r="AA9" s="124"/>
      <c r="AB9" s="123"/>
      <c r="AC9" s="123"/>
      <c r="AD9" s="123"/>
      <c r="AE9" s="123"/>
      <c r="AF9" s="124"/>
      <c r="AG9" s="123"/>
      <c r="AH9" s="66">
        <f t="shared" si="1"/>
        <v>7</v>
      </c>
      <c r="AI9" s="68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69" t="str">
        <f t="shared" si="2"/>
        <v>光曜</v>
      </c>
      <c r="AK9" s="70"/>
    </row>
    <row r="10" spans="1:37" ht="18" customHeight="1">
      <c r="A10" s="95" t="s">
        <v>174</v>
      </c>
      <c r="B10" s="122" t="s">
        <v>13</v>
      </c>
      <c r="C10" s="123">
        <v>1</v>
      </c>
      <c r="D10" s="124"/>
      <c r="E10" s="123">
        <v>1</v>
      </c>
      <c r="F10" s="124"/>
      <c r="G10" s="123">
        <v>1</v>
      </c>
      <c r="H10" s="123">
        <v>1</v>
      </c>
      <c r="I10" s="123">
        <v>1</v>
      </c>
      <c r="J10" s="123">
        <v>1</v>
      </c>
      <c r="K10" s="124"/>
      <c r="L10" s="123">
        <v>1</v>
      </c>
      <c r="M10" s="124"/>
      <c r="N10" s="123">
        <v>1</v>
      </c>
      <c r="O10" s="123"/>
      <c r="P10" s="123"/>
      <c r="Q10" s="123">
        <v>1</v>
      </c>
      <c r="R10" s="124"/>
      <c r="S10" s="123">
        <v>1</v>
      </c>
      <c r="T10" s="124"/>
      <c r="U10" s="123"/>
      <c r="V10" s="123"/>
      <c r="W10" s="123"/>
      <c r="X10" s="123"/>
      <c r="Y10" s="124"/>
      <c r="Z10" s="123"/>
      <c r="AA10" s="124"/>
      <c r="AB10" s="123">
        <v>1</v>
      </c>
      <c r="AC10" s="123"/>
      <c r="AD10" s="123"/>
      <c r="AE10" s="123">
        <v>1</v>
      </c>
      <c r="AF10" s="124"/>
      <c r="AG10" s="123">
        <v>1</v>
      </c>
      <c r="AH10" s="66">
        <f t="shared" si="1"/>
        <v>13</v>
      </c>
      <c r="AI10" s="68" t="e">
        <f ca="1">(IF(A10="O", (VALUE(_xludf.IFS(AH10=0,"0",AH10=1,"150",AH10=2,"300",AH10=3,"450",AH10=4,"600",AH10=5,"750",AH10&gt;=6,"800"))),(VALUE(_xludf.IFS(AH10=0,"0",AH10=1,"150",AH10=2,"300",AH10=3,"450",AH10=4,"600",AH10=5,"750",AH10=6,"900",AH10&gt;=7,"1,000")))))/2</f>
        <v>#NAME?</v>
      </c>
      <c r="AJ10" s="122" t="str">
        <f t="shared" si="2"/>
        <v>李洋</v>
      </c>
      <c r="AK10" s="70"/>
    </row>
    <row r="11" spans="1:37" ht="18" customHeight="1">
      <c r="A11" s="95" t="s">
        <v>174</v>
      </c>
      <c r="B11" s="125" t="s">
        <v>18</v>
      </c>
      <c r="C11" s="123">
        <v>1</v>
      </c>
      <c r="D11" s="124"/>
      <c r="E11" s="123">
        <v>1</v>
      </c>
      <c r="F11" s="124"/>
      <c r="G11" s="123">
        <v>1</v>
      </c>
      <c r="H11" s="123"/>
      <c r="I11" s="123"/>
      <c r="J11" s="123">
        <v>1</v>
      </c>
      <c r="K11" s="124"/>
      <c r="L11" s="123">
        <v>1</v>
      </c>
      <c r="M11" s="124"/>
      <c r="N11" s="123">
        <v>1</v>
      </c>
      <c r="O11" s="123"/>
      <c r="P11" s="123"/>
      <c r="Q11" s="123">
        <v>1</v>
      </c>
      <c r="R11" s="124"/>
      <c r="S11" s="123">
        <v>1</v>
      </c>
      <c r="T11" s="124"/>
      <c r="U11" s="123"/>
      <c r="V11" s="123"/>
      <c r="W11" s="123"/>
      <c r="X11" s="123"/>
      <c r="Y11" s="124"/>
      <c r="Z11" s="123"/>
      <c r="AA11" s="124"/>
      <c r="AB11" s="123">
        <v>1</v>
      </c>
      <c r="AC11" s="123"/>
      <c r="AD11" s="123"/>
      <c r="AE11" s="123"/>
      <c r="AF11" s="124"/>
      <c r="AG11" s="123">
        <v>1</v>
      </c>
      <c r="AH11" s="66">
        <f t="shared" si="1"/>
        <v>10</v>
      </c>
      <c r="AI11" s="68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69" t="str">
        <f t="shared" si="2"/>
        <v>皓元</v>
      </c>
      <c r="AK11" s="70"/>
    </row>
    <row r="12" spans="1:37" ht="18" customHeight="1">
      <c r="A12" s="95" t="s">
        <v>174</v>
      </c>
      <c r="B12" s="122" t="s">
        <v>19</v>
      </c>
      <c r="C12" s="123">
        <v>1</v>
      </c>
      <c r="D12" s="124"/>
      <c r="E12" s="123">
        <v>1</v>
      </c>
      <c r="F12" s="124"/>
      <c r="G12" s="123">
        <v>1</v>
      </c>
      <c r="H12" s="123">
        <v>1</v>
      </c>
      <c r="I12" s="123"/>
      <c r="J12" s="123">
        <v>1</v>
      </c>
      <c r="K12" s="124"/>
      <c r="L12" s="123">
        <v>1</v>
      </c>
      <c r="M12" s="124"/>
      <c r="N12" s="123">
        <v>1</v>
      </c>
      <c r="O12" s="123"/>
      <c r="P12" s="123"/>
      <c r="Q12" s="123">
        <v>1</v>
      </c>
      <c r="R12" s="124"/>
      <c r="S12" s="123">
        <v>1</v>
      </c>
      <c r="T12" s="124"/>
      <c r="U12" s="123">
        <v>1</v>
      </c>
      <c r="V12" s="123">
        <v>1</v>
      </c>
      <c r="W12" s="123">
        <v>1</v>
      </c>
      <c r="X12" s="123">
        <v>1</v>
      </c>
      <c r="Y12" s="124"/>
      <c r="Z12" s="123"/>
      <c r="AA12" s="124"/>
      <c r="AB12" s="123">
        <v>1</v>
      </c>
      <c r="AC12" s="123"/>
      <c r="AD12" s="123"/>
      <c r="AE12" s="123">
        <v>1</v>
      </c>
      <c r="AF12" s="124"/>
      <c r="AG12" s="123">
        <v>1</v>
      </c>
      <c r="AH12" s="66">
        <f t="shared" si="1"/>
        <v>16</v>
      </c>
      <c r="AI12" s="68" t="e">
        <f ca="1">(IF(A12="O", (VALUE(_xludf.IFS(AH12=0,"0",AH12=1,"150",AH12=2,"300",AH12=3,"450",AH12=4,"600",AH12=5,"750",AH12&gt;=6,"800"))),(VALUE(_xludf.IFS(AH12=0,"0",AH12=1,"150",AH12=2,"300",AH12=3,"450",AH12=4,"600",AH12=5,"750",AH12=6,"900",AH12&gt;=7,"1,000")))))/2</f>
        <v>#NAME?</v>
      </c>
      <c r="AJ12" s="122" t="str">
        <f t="shared" si="2"/>
        <v>青蛙</v>
      </c>
      <c r="AK12" s="70"/>
    </row>
    <row r="13" spans="1:37" ht="18" customHeight="1">
      <c r="A13" s="95" t="s">
        <v>174</v>
      </c>
      <c r="B13" s="125" t="s">
        <v>61</v>
      </c>
      <c r="C13" s="123">
        <v>1</v>
      </c>
      <c r="D13" s="124"/>
      <c r="E13" s="123"/>
      <c r="F13" s="124"/>
      <c r="G13" s="123">
        <v>1</v>
      </c>
      <c r="H13" s="123">
        <v>1</v>
      </c>
      <c r="I13" s="123">
        <v>1</v>
      </c>
      <c r="J13" s="123"/>
      <c r="K13" s="124"/>
      <c r="L13" s="123"/>
      <c r="M13" s="124"/>
      <c r="N13" s="123"/>
      <c r="O13" s="123"/>
      <c r="P13" s="123"/>
      <c r="Q13" s="123">
        <v>1</v>
      </c>
      <c r="R13" s="124"/>
      <c r="S13" s="123">
        <v>1</v>
      </c>
      <c r="T13" s="124"/>
      <c r="U13" s="123">
        <v>1</v>
      </c>
      <c r="V13" s="123"/>
      <c r="W13" s="123"/>
      <c r="X13" s="123"/>
      <c r="Y13" s="124"/>
      <c r="Z13" s="123"/>
      <c r="AA13" s="124"/>
      <c r="AB13" s="123">
        <v>1</v>
      </c>
      <c r="AC13" s="123"/>
      <c r="AD13" s="123">
        <v>1</v>
      </c>
      <c r="AE13" s="123"/>
      <c r="AF13" s="124"/>
      <c r="AG13" s="123">
        <v>1</v>
      </c>
      <c r="AH13" s="66">
        <f t="shared" si="1"/>
        <v>10</v>
      </c>
      <c r="AI13" s="68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69" t="str">
        <f t="shared" si="2"/>
        <v>韋融</v>
      </c>
      <c r="AK13" s="70"/>
    </row>
    <row r="14" spans="1:37" ht="18" customHeight="1">
      <c r="A14" s="95" t="s">
        <v>174</v>
      </c>
      <c r="B14" s="125" t="s">
        <v>175</v>
      </c>
      <c r="C14" s="123">
        <v>1</v>
      </c>
      <c r="D14" s="124"/>
      <c r="E14" s="123"/>
      <c r="F14" s="124"/>
      <c r="G14" s="123"/>
      <c r="H14" s="123">
        <v>1</v>
      </c>
      <c r="I14" s="123"/>
      <c r="J14" s="123">
        <v>1</v>
      </c>
      <c r="K14" s="124"/>
      <c r="L14" s="123"/>
      <c r="M14" s="124"/>
      <c r="N14" s="123"/>
      <c r="O14" s="123"/>
      <c r="P14" s="123"/>
      <c r="Q14" s="123">
        <v>1</v>
      </c>
      <c r="R14" s="124"/>
      <c r="S14" s="123">
        <v>1</v>
      </c>
      <c r="T14" s="124"/>
      <c r="U14" s="123">
        <v>1</v>
      </c>
      <c r="V14" s="123">
        <v>1</v>
      </c>
      <c r="W14" s="123"/>
      <c r="X14" s="123">
        <v>1</v>
      </c>
      <c r="Y14" s="124"/>
      <c r="Z14" s="123"/>
      <c r="AA14" s="124"/>
      <c r="AB14" s="123"/>
      <c r="AC14" s="123"/>
      <c r="AD14" s="123"/>
      <c r="AE14" s="123">
        <v>1</v>
      </c>
      <c r="AF14" s="124"/>
      <c r="AG14" s="123">
        <v>1</v>
      </c>
      <c r="AH14" s="66">
        <f t="shared" si="1"/>
        <v>10</v>
      </c>
      <c r="AI14" s="68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69" t="str">
        <f t="shared" si="2"/>
        <v>咪咪</v>
      </c>
      <c r="AK14" s="70"/>
    </row>
    <row r="15" spans="1:37" ht="18" customHeight="1">
      <c r="A15" s="95" t="s">
        <v>174</v>
      </c>
      <c r="B15" s="125" t="s">
        <v>20</v>
      </c>
      <c r="C15" s="123">
        <v>1</v>
      </c>
      <c r="D15" s="124"/>
      <c r="E15" s="123"/>
      <c r="F15" s="124"/>
      <c r="G15" s="123">
        <v>1</v>
      </c>
      <c r="H15" s="123"/>
      <c r="I15" s="123"/>
      <c r="J15" s="123">
        <v>1</v>
      </c>
      <c r="K15" s="124"/>
      <c r="L15" s="123">
        <v>1</v>
      </c>
      <c r="M15" s="124"/>
      <c r="N15" s="123">
        <v>1</v>
      </c>
      <c r="O15" s="123"/>
      <c r="P15" s="123"/>
      <c r="Q15" s="123">
        <v>1</v>
      </c>
      <c r="R15" s="124"/>
      <c r="S15" s="123">
        <v>1</v>
      </c>
      <c r="T15" s="124"/>
      <c r="U15" s="123">
        <v>1</v>
      </c>
      <c r="V15" s="123"/>
      <c r="W15" s="123"/>
      <c r="X15" s="123"/>
      <c r="Y15" s="124"/>
      <c r="Z15" s="123"/>
      <c r="AA15" s="124"/>
      <c r="AB15" s="123"/>
      <c r="AC15" s="123">
        <v>1</v>
      </c>
      <c r="AD15" s="123"/>
      <c r="AE15" s="123">
        <v>1</v>
      </c>
      <c r="AF15" s="124"/>
      <c r="AG15" s="123">
        <v>1</v>
      </c>
      <c r="AH15" s="66">
        <f t="shared" si="1"/>
        <v>11</v>
      </c>
      <c r="AI15" s="68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69" t="str">
        <f t="shared" si="2"/>
        <v>港弟</v>
      </c>
      <c r="AK15" s="70"/>
    </row>
    <row r="16" spans="1:37" ht="18" customHeight="1">
      <c r="A16" s="95" t="s">
        <v>174</v>
      </c>
      <c r="B16" s="125" t="s">
        <v>21</v>
      </c>
      <c r="C16" s="123"/>
      <c r="D16" s="124"/>
      <c r="E16" s="123"/>
      <c r="F16" s="124"/>
      <c r="G16" s="123"/>
      <c r="H16" s="123"/>
      <c r="I16" s="123"/>
      <c r="J16" s="123"/>
      <c r="K16" s="124"/>
      <c r="L16" s="123"/>
      <c r="M16" s="124"/>
      <c r="N16" s="123"/>
      <c r="O16" s="123"/>
      <c r="P16" s="123"/>
      <c r="Q16" s="123">
        <v>1</v>
      </c>
      <c r="R16" s="124"/>
      <c r="S16" s="123">
        <v>1</v>
      </c>
      <c r="T16" s="124"/>
      <c r="U16" s="123">
        <v>1</v>
      </c>
      <c r="V16" s="123"/>
      <c r="W16" s="123"/>
      <c r="X16" s="123"/>
      <c r="Y16" s="124"/>
      <c r="Z16" s="123"/>
      <c r="AA16" s="124"/>
      <c r="AB16" s="123"/>
      <c r="AC16" s="123"/>
      <c r="AD16" s="123"/>
      <c r="AE16" s="123"/>
      <c r="AF16" s="124"/>
      <c r="AG16" s="123"/>
      <c r="AH16" s="66">
        <f t="shared" si="1"/>
        <v>3</v>
      </c>
      <c r="AI16" s="68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69" t="str">
        <f t="shared" si="2"/>
        <v>晧全</v>
      </c>
      <c r="AK16" s="70"/>
    </row>
    <row r="17" spans="1:37" ht="18" customHeight="1">
      <c r="A17" s="95" t="s">
        <v>174</v>
      </c>
      <c r="B17" s="125" t="s">
        <v>22</v>
      </c>
      <c r="C17" s="123">
        <v>1</v>
      </c>
      <c r="D17" s="124"/>
      <c r="E17" s="123">
        <v>1</v>
      </c>
      <c r="F17" s="124"/>
      <c r="G17" s="123">
        <v>1</v>
      </c>
      <c r="H17" s="123">
        <v>1</v>
      </c>
      <c r="I17" s="123">
        <v>1</v>
      </c>
      <c r="J17" s="123">
        <v>1</v>
      </c>
      <c r="K17" s="124"/>
      <c r="L17" s="123">
        <v>1</v>
      </c>
      <c r="M17" s="124"/>
      <c r="N17" s="123">
        <v>1</v>
      </c>
      <c r="O17" s="123"/>
      <c r="P17" s="123"/>
      <c r="Q17" s="123">
        <v>1</v>
      </c>
      <c r="R17" s="124"/>
      <c r="S17" s="123">
        <v>1</v>
      </c>
      <c r="T17" s="124"/>
      <c r="U17" s="123">
        <v>1</v>
      </c>
      <c r="V17" s="123">
        <v>1</v>
      </c>
      <c r="W17" s="123">
        <v>1</v>
      </c>
      <c r="X17" s="123">
        <v>1</v>
      </c>
      <c r="Y17" s="124"/>
      <c r="Z17" s="123"/>
      <c r="AA17" s="124"/>
      <c r="AB17" s="123">
        <v>1</v>
      </c>
      <c r="AC17" s="123">
        <v>1</v>
      </c>
      <c r="AD17" s="123">
        <v>1</v>
      </c>
      <c r="AE17" s="123">
        <v>1</v>
      </c>
      <c r="AF17" s="124"/>
      <c r="AG17" s="123">
        <v>1</v>
      </c>
      <c r="AH17" s="66">
        <f t="shared" si="1"/>
        <v>19</v>
      </c>
      <c r="AI17" s="68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69" t="str">
        <f t="shared" si="2"/>
        <v>Mars</v>
      </c>
      <c r="AK17" s="70"/>
    </row>
    <row r="18" spans="1:37" ht="18" customHeight="1">
      <c r="A18" s="99" t="s">
        <v>174</v>
      </c>
      <c r="B18" s="131" t="s">
        <v>89</v>
      </c>
      <c r="C18" s="133"/>
      <c r="D18" s="124"/>
      <c r="E18" s="133"/>
      <c r="F18" s="124"/>
      <c r="G18" s="133"/>
      <c r="H18" s="133"/>
      <c r="I18" s="133"/>
      <c r="J18" s="133">
        <v>1</v>
      </c>
      <c r="K18" s="124"/>
      <c r="L18" s="133">
        <v>1</v>
      </c>
      <c r="M18" s="124"/>
      <c r="N18" s="133">
        <v>1</v>
      </c>
      <c r="O18" s="133"/>
      <c r="P18" s="133"/>
      <c r="Q18" s="133">
        <v>1</v>
      </c>
      <c r="R18" s="124"/>
      <c r="S18" s="133"/>
      <c r="T18" s="124"/>
      <c r="U18" s="133">
        <v>1</v>
      </c>
      <c r="V18" s="133"/>
      <c r="W18" s="133"/>
      <c r="X18" s="133">
        <v>1</v>
      </c>
      <c r="Y18" s="124"/>
      <c r="Z18" s="133"/>
      <c r="AA18" s="124"/>
      <c r="AB18" s="133">
        <v>1</v>
      </c>
      <c r="AC18" s="133"/>
      <c r="AD18" s="133"/>
      <c r="AE18" s="133">
        <v>1</v>
      </c>
      <c r="AF18" s="124"/>
      <c r="AG18" s="133"/>
      <c r="AH18" s="77">
        <f t="shared" si="1"/>
        <v>8</v>
      </c>
      <c r="AI18" s="78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79" t="str">
        <f t="shared" si="2"/>
        <v>泡芙</v>
      </c>
      <c r="AK18" s="80"/>
    </row>
    <row r="19" spans="1:37" ht="18" customHeight="1">
      <c r="A19" s="99" t="s">
        <v>174</v>
      </c>
      <c r="B19" s="131" t="s">
        <v>90</v>
      </c>
      <c r="C19" s="133"/>
      <c r="D19" s="124"/>
      <c r="E19" s="133">
        <v>1</v>
      </c>
      <c r="F19" s="124"/>
      <c r="G19" s="133">
        <v>1</v>
      </c>
      <c r="H19" s="133"/>
      <c r="I19" s="133">
        <v>1</v>
      </c>
      <c r="J19" s="133"/>
      <c r="K19" s="124"/>
      <c r="L19" s="133"/>
      <c r="M19" s="124"/>
      <c r="N19" s="133">
        <v>1</v>
      </c>
      <c r="O19" s="133"/>
      <c r="P19" s="133"/>
      <c r="Q19" s="133">
        <v>1</v>
      </c>
      <c r="R19" s="124"/>
      <c r="S19" s="133">
        <v>1</v>
      </c>
      <c r="T19" s="124"/>
      <c r="U19" s="133">
        <v>1</v>
      </c>
      <c r="V19" s="133"/>
      <c r="W19" s="133"/>
      <c r="X19" s="133"/>
      <c r="Y19" s="124"/>
      <c r="Z19" s="133"/>
      <c r="AA19" s="124"/>
      <c r="AB19" s="133"/>
      <c r="AC19" s="133"/>
      <c r="AD19" s="133"/>
      <c r="AE19" s="133">
        <v>1</v>
      </c>
      <c r="AF19" s="124"/>
      <c r="AG19" s="133">
        <v>1</v>
      </c>
      <c r="AH19" s="77">
        <f t="shared" si="1"/>
        <v>9</v>
      </c>
      <c r="AI19" s="78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79" t="str">
        <f t="shared" si="2"/>
        <v>蓓蓓</v>
      </c>
      <c r="AK19" s="80"/>
    </row>
    <row r="20" spans="1:37" ht="18" customHeight="1">
      <c r="A20" s="99" t="s">
        <v>174</v>
      </c>
      <c r="B20" s="131" t="s">
        <v>91</v>
      </c>
      <c r="C20" s="133">
        <v>1</v>
      </c>
      <c r="D20" s="124"/>
      <c r="E20" s="133"/>
      <c r="F20" s="124"/>
      <c r="G20" s="133">
        <v>1</v>
      </c>
      <c r="H20" s="133"/>
      <c r="I20" s="133">
        <v>1</v>
      </c>
      <c r="J20" s="133">
        <v>1</v>
      </c>
      <c r="K20" s="124"/>
      <c r="L20" s="133">
        <v>1</v>
      </c>
      <c r="M20" s="124"/>
      <c r="N20" s="133">
        <v>1</v>
      </c>
      <c r="O20" s="133"/>
      <c r="P20" s="133"/>
      <c r="Q20" s="133">
        <v>1</v>
      </c>
      <c r="R20" s="124"/>
      <c r="S20" s="133">
        <v>1</v>
      </c>
      <c r="T20" s="124"/>
      <c r="U20" s="133">
        <v>1</v>
      </c>
      <c r="V20" s="133"/>
      <c r="W20" s="133"/>
      <c r="X20" s="133"/>
      <c r="Y20" s="124"/>
      <c r="Z20" s="133"/>
      <c r="AA20" s="124"/>
      <c r="AB20" s="133"/>
      <c r="AC20" s="133"/>
      <c r="AD20" s="133"/>
      <c r="AE20" s="133"/>
      <c r="AF20" s="124"/>
      <c r="AG20" s="133"/>
      <c r="AH20" s="77">
        <f t="shared" si="1"/>
        <v>9</v>
      </c>
      <c r="AI20" s="78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79" t="str">
        <f t="shared" si="2"/>
        <v>柔柔</v>
      </c>
      <c r="AK20" s="80"/>
    </row>
    <row r="21" spans="1:37" ht="18" customHeight="1">
      <c r="A21" s="99" t="s">
        <v>174</v>
      </c>
      <c r="B21" s="131" t="s">
        <v>92</v>
      </c>
      <c r="C21" s="133"/>
      <c r="D21" s="124"/>
      <c r="E21" s="133">
        <v>1</v>
      </c>
      <c r="F21" s="124"/>
      <c r="G21" s="133"/>
      <c r="H21" s="133">
        <v>1</v>
      </c>
      <c r="I21" s="133">
        <v>1</v>
      </c>
      <c r="J21" s="133">
        <v>1</v>
      </c>
      <c r="K21" s="124"/>
      <c r="L21" s="133">
        <v>1</v>
      </c>
      <c r="M21" s="124"/>
      <c r="N21" s="133">
        <v>1</v>
      </c>
      <c r="O21" s="133"/>
      <c r="P21" s="133"/>
      <c r="Q21" s="133">
        <v>1</v>
      </c>
      <c r="R21" s="124"/>
      <c r="S21" s="133">
        <v>1</v>
      </c>
      <c r="T21" s="124"/>
      <c r="U21" s="133">
        <v>1</v>
      </c>
      <c r="V21" s="133"/>
      <c r="W21" s="133">
        <v>1</v>
      </c>
      <c r="X21" s="133"/>
      <c r="Y21" s="124"/>
      <c r="Z21" s="133"/>
      <c r="AA21" s="124"/>
      <c r="AB21" s="133">
        <v>1</v>
      </c>
      <c r="AC21" s="133"/>
      <c r="AD21" s="133"/>
      <c r="AE21" s="133">
        <v>1</v>
      </c>
      <c r="AF21" s="124"/>
      <c r="AG21" s="133">
        <v>1</v>
      </c>
      <c r="AH21" s="77">
        <f t="shared" si="1"/>
        <v>13</v>
      </c>
      <c r="AI21" s="78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79" t="str">
        <f t="shared" si="2"/>
        <v>婉晴</v>
      </c>
      <c r="AK21" s="80"/>
    </row>
    <row r="22" spans="1:37" ht="18" customHeight="1">
      <c r="A22" s="99" t="s">
        <v>174</v>
      </c>
      <c r="B22" s="131" t="s">
        <v>93</v>
      </c>
      <c r="C22" s="133"/>
      <c r="D22" s="124"/>
      <c r="E22" s="133"/>
      <c r="F22" s="124"/>
      <c r="G22" s="133">
        <v>1</v>
      </c>
      <c r="H22" s="133"/>
      <c r="I22" s="133"/>
      <c r="J22" s="133">
        <v>1</v>
      </c>
      <c r="K22" s="124"/>
      <c r="L22" s="133"/>
      <c r="M22" s="124"/>
      <c r="N22" s="133"/>
      <c r="O22" s="133"/>
      <c r="P22" s="133"/>
      <c r="Q22" s="133">
        <v>1</v>
      </c>
      <c r="R22" s="124"/>
      <c r="S22" s="133"/>
      <c r="T22" s="124"/>
      <c r="U22" s="133"/>
      <c r="V22" s="133"/>
      <c r="W22" s="133"/>
      <c r="X22" s="133"/>
      <c r="Y22" s="124"/>
      <c r="Z22" s="133"/>
      <c r="AA22" s="124"/>
      <c r="AB22" s="133"/>
      <c r="AC22" s="133"/>
      <c r="AD22" s="133"/>
      <c r="AE22" s="133">
        <v>1</v>
      </c>
      <c r="AF22" s="124"/>
      <c r="AG22" s="133">
        <v>1</v>
      </c>
      <c r="AH22" s="77">
        <f t="shared" si="1"/>
        <v>5</v>
      </c>
      <c r="AI22" s="78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79" t="str">
        <f t="shared" si="2"/>
        <v>冠婷</v>
      </c>
      <c r="AK22" s="81"/>
    </row>
    <row r="23" spans="1:37" ht="18" customHeight="1">
      <c r="A23" s="99" t="s">
        <v>174</v>
      </c>
      <c r="B23" s="131" t="s">
        <v>149</v>
      </c>
      <c r="C23" s="133"/>
      <c r="D23" s="124"/>
      <c r="E23" s="133"/>
      <c r="F23" s="124"/>
      <c r="G23" s="133"/>
      <c r="H23" s="133"/>
      <c r="I23" s="133"/>
      <c r="J23" s="133"/>
      <c r="K23" s="124"/>
      <c r="L23" s="133"/>
      <c r="M23" s="124"/>
      <c r="N23" s="133"/>
      <c r="O23" s="133"/>
      <c r="P23" s="133"/>
      <c r="Q23" s="133"/>
      <c r="R23" s="124"/>
      <c r="S23" s="133"/>
      <c r="T23" s="124"/>
      <c r="U23" s="133"/>
      <c r="V23" s="133"/>
      <c r="W23" s="133"/>
      <c r="X23" s="133"/>
      <c r="Y23" s="124"/>
      <c r="Z23" s="133"/>
      <c r="AA23" s="124"/>
      <c r="AB23" s="133"/>
      <c r="AC23" s="133"/>
      <c r="AD23" s="133"/>
      <c r="AE23" s="133"/>
      <c r="AF23" s="124"/>
      <c r="AG23" s="133"/>
      <c r="AH23" s="77">
        <f t="shared" si="1"/>
        <v>0</v>
      </c>
      <c r="AI23" s="78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79" t="str">
        <f t="shared" si="2"/>
        <v>晏寧</v>
      </c>
      <c r="AK23" s="82"/>
    </row>
    <row r="24" spans="1:37" ht="18" customHeight="1">
      <c r="A24" s="99" t="s">
        <v>174</v>
      </c>
      <c r="B24" s="131" t="s">
        <v>150</v>
      </c>
      <c r="C24" s="133"/>
      <c r="D24" s="124"/>
      <c r="E24" s="133"/>
      <c r="F24" s="124"/>
      <c r="G24" s="133"/>
      <c r="H24" s="133"/>
      <c r="I24" s="133"/>
      <c r="J24" s="133"/>
      <c r="K24" s="124"/>
      <c r="L24" s="133"/>
      <c r="M24" s="124"/>
      <c r="N24" s="133"/>
      <c r="O24" s="133"/>
      <c r="P24" s="133"/>
      <c r="Q24" s="133"/>
      <c r="R24" s="124"/>
      <c r="S24" s="133"/>
      <c r="T24" s="124"/>
      <c r="U24" s="133"/>
      <c r="V24" s="133"/>
      <c r="W24" s="133"/>
      <c r="X24" s="133"/>
      <c r="Y24" s="124"/>
      <c r="Z24" s="133"/>
      <c r="AA24" s="124"/>
      <c r="AB24" s="133"/>
      <c r="AC24" s="133"/>
      <c r="AD24" s="133"/>
      <c r="AE24" s="133"/>
      <c r="AF24" s="124"/>
      <c r="AG24" s="133"/>
      <c r="AH24" s="77">
        <f t="shared" si="1"/>
        <v>0</v>
      </c>
      <c r="AI24" s="78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79" t="str">
        <f t="shared" si="2"/>
        <v>高麗菜</v>
      </c>
      <c r="AK24" s="80"/>
    </row>
    <row r="25" spans="1:37" ht="18" customHeight="1">
      <c r="A25" s="99" t="s">
        <v>174</v>
      </c>
      <c r="B25" s="131" t="s">
        <v>113</v>
      </c>
      <c r="C25" s="133"/>
      <c r="D25" s="124"/>
      <c r="E25" s="133">
        <v>1</v>
      </c>
      <c r="F25" s="124"/>
      <c r="G25" s="133"/>
      <c r="H25" s="133">
        <v>1</v>
      </c>
      <c r="I25" s="133"/>
      <c r="J25" s="133"/>
      <c r="K25" s="124"/>
      <c r="L25" s="133"/>
      <c r="M25" s="124"/>
      <c r="N25" s="133"/>
      <c r="O25" s="133"/>
      <c r="P25" s="133"/>
      <c r="Q25" s="133"/>
      <c r="R25" s="124"/>
      <c r="S25" s="133"/>
      <c r="T25" s="124"/>
      <c r="U25" s="133"/>
      <c r="V25" s="133"/>
      <c r="W25" s="133">
        <v>1</v>
      </c>
      <c r="X25" s="133"/>
      <c r="Y25" s="124"/>
      <c r="Z25" s="133"/>
      <c r="AA25" s="124"/>
      <c r="AB25" s="133"/>
      <c r="AC25" s="133"/>
      <c r="AD25" s="133"/>
      <c r="AE25" s="133"/>
      <c r="AF25" s="124"/>
      <c r="AG25" s="133"/>
      <c r="AH25" s="77">
        <f t="shared" si="1"/>
        <v>3</v>
      </c>
      <c r="AI25" s="78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79" t="str">
        <f t="shared" si="2"/>
        <v>容容</v>
      </c>
      <c r="AK25" s="82"/>
    </row>
    <row r="26" spans="1:37" ht="18" customHeight="1">
      <c r="A26" s="99" t="s">
        <v>174</v>
      </c>
      <c r="B26" s="131" t="s">
        <v>94</v>
      </c>
      <c r="C26" s="133">
        <v>1</v>
      </c>
      <c r="D26" s="124"/>
      <c r="E26" s="133"/>
      <c r="F26" s="124"/>
      <c r="G26" s="133">
        <v>1</v>
      </c>
      <c r="H26" s="133">
        <v>1</v>
      </c>
      <c r="I26" s="133"/>
      <c r="J26" s="133"/>
      <c r="K26" s="124"/>
      <c r="L26" s="133"/>
      <c r="M26" s="124"/>
      <c r="N26" s="133"/>
      <c r="O26" s="133"/>
      <c r="P26" s="133"/>
      <c r="Q26" s="133">
        <v>1</v>
      </c>
      <c r="R26" s="124"/>
      <c r="S26" s="133">
        <v>1</v>
      </c>
      <c r="T26" s="124"/>
      <c r="U26" s="133"/>
      <c r="V26" s="133"/>
      <c r="W26" s="133"/>
      <c r="X26" s="133"/>
      <c r="Y26" s="124"/>
      <c r="Z26" s="133"/>
      <c r="AA26" s="124"/>
      <c r="AB26" s="133">
        <v>1</v>
      </c>
      <c r="AC26" s="133"/>
      <c r="AD26" s="133"/>
      <c r="AE26" s="133"/>
      <c r="AF26" s="124"/>
      <c r="AG26" s="133"/>
      <c r="AH26" s="77">
        <f t="shared" si="1"/>
        <v>6</v>
      </c>
      <c r="AI26" s="78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79" t="str">
        <f t="shared" si="2"/>
        <v>小花</v>
      </c>
      <c r="AK26" s="80"/>
    </row>
    <row r="27" spans="1:37" ht="18" customHeight="1">
      <c r="A27" s="99" t="s">
        <v>174</v>
      </c>
      <c r="B27" s="131" t="s">
        <v>95</v>
      </c>
      <c r="C27" s="133">
        <v>1</v>
      </c>
      <c r="D27" s="124"/>
      <c r="E27" s="133">
        <v>1</v>
      </c>
      <c r="F27" s="124"/>
      <c r="G27" s="133">
        <v>1</v>
      </c>
      <c r="H27" s="133"/>
      <c r="I27" s="133"/>
      <c r="J27" s="133">
        <v>1</v>
      </c>
      <c r="K27" s="124"/>
      <c r="L27" s="133">
        <v>1</v>
      </c>
      <c r="M27" s="124"/>
      <c r="N27" s="133">
        <v>1</v>
      </c>
      <c r="O27" s="133"/>
      <c r="P27" s="133"/>
      <c r="Q27" s="133">
        <v>1</v>
      </c>
      <c r="R27" s="124"/>
      <c r="S27" s="133"/>
      <c r="T27" s="124"/>
      <c r="U27" s="133"/>
      <c r="V27" s="133"/>
      <c r="W27" s="133"/>
      <c r="X27" s="133"/>
      <c r="Y27" s="124"/>
      <c r="Z27" s="133"/>
      <c r="AA27" s="124"/>
      <c r="AB27" s="133"/>
      <c r="AC27" s="133"/>
      <c r="AD27" s="133"/>
      <c r="AE27" s="133">
        <v>1</v>
      </c>
      <c r="AF27" s="124"/>
      <c r="AG27" s="133">
        <v>1</v>
      </c>
      <c r="AH27" s="77">
        <f t="shared" si="1"/>
        <v>9</v>
      </c>
      <c r="AI27" s="78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79" t="str">
        <f t="shared" si="2"/>
        <v>小吱</v>
      </c>
      <c r="AK27" s="80"/>
    </row>
    <row r="28" spans="1:37" ht="18" customHeight="1">
      <c r="A28" s="99" t="s">
        <v>174</v>
      </c>
      <c r="B28" s="131" t="s">
        <v>146</v>
      </c>
      <c r="C28" s="133"/>
      <c r="D28" s="124"/>
      <c r="E28" s="133"/>
      <c r="F28" s="124"/>
      <c r="G28" s="133"/>
      <c r="H28" s="133"/>
      <c r="I28" s="133"/>
      <c r="J28" s="133"/>
      <c r="K28" s="124"/>
      <c r="L28" s="133">
        <v>1</v>
      </c>
      <c r="M28" s="124"/>
      <c r="N28" s="133">
        <v>1</v>
      </c>
      <c r="O28" s="133"/>
      <c r="P28" s="133"/>
      <c r="Q28" s="133"/>
      <c r="R28" s="124"/>
      <c r="S28" s="133">
        <v>1</v>
      </c>
      <c r="T28" s="124"/>
      <c r="U28" s="133"/>
      <c r="V28" s="133"/>
      <c r="W28" s="133"/>
      <c r="X28" s="133"/>
      <c r="Y28" s="124"/>
      <c r="Z28" s="133"/>
      <c r="AA28" s="124"/>
      <c r="AB28" s="133"/>
      <c r="AC28" s="133"/>
      <c r="AD28" s="133"/>
      <c r="AE28" s="133"/>
      <c r="AF28" s="124"/>
      <c r="AG28" s="133"/>
      <c r="AH28" s="77">
        <f t="shared" si="1"/>
        <v>3</v>
      </c>
      <c r="AI28" s="78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79" t="str">
        <f t="shared" si="2"/>
        <v>飛飛</v>
      </c>
      <c r="AK28" s="81"/>
    </row>
    <row r="29" spans="1:37" ht="18" customHeight="1">
      <c r="A29" s="99" t="s">
        <v>174</v>
      </c>
      <c r="B29" s="131" t="s">
        <v>147</v>
      </c>
      <c r="C29" s="133"/>
      <c r="D29" s="124"/>
      <c r="E29" s="133">
        <v>1</v>
      </c>
      <c r="F29" s="124"/>
      <c r="G29" s="133"/>
      <c r="H29" s="133"/>
      <c r="I29" s="133"/>
      <c r="J29" s="133"/>
      <c r="K29" s="124"/>
      <c r="L29" s="133"/>
      <c r="M29" s="124"/>
      <c r="N29" s="133"/>
      <c r="O29" s="133"/>
      <c r="P29" s="133"/>
      <c r="Q29" s="133"/>
      <c r="R29" s="124"/>
      <c r="S29" s="133">
        <v>1</v>
      </c>
      <c r="T29" s="124"/>
      <c r="U29" s="133"/>
      <c r="V29" s="133"/>
      <c r="W29" s="133"/>
      <c r="X29" s="133"/>
      <c r="Y29" s="124"/>
      <c r="Z29" s="133"/>
      <c r="AA29" s="124"/>
      <c r="AB29" s="133"/>
      <c r="AC29" s="133"/>
      <c r="AD29" s="133"/>
      <c r="AE29" s="133"/>
      <c r="AF29" s="124"/>
      <c r="AG29" s="133"/>
      <c r="AH29" s="77">
        <f t="shared" si="1"/>
        <v>2</v>
      </c>
      <c r="AI29" s="78" t="e">
        <f ca="1">IF(A29="O", (VALUE(_xludf.IFS(AH29=0,"0",AH29=1,"150",AH29=2,"300",AH29=3,"450",AH29=4,"600",AH29=5,"750",AH29&gt;=6,"800"))),(VALUE(_xludf.IFS(AH29=0,"0",AH29=1,"150",AH29=2,"300",AH29=3,"450",AH29=4,"600",AH29=5,"750",AH29=6,"900",AH29&gt;=7,"1,000"))))</f>
        <v>#NAME?</v>
      </c>
      <c r="AJ29" s="79" t="str">
        <f t="shared" si="2"/>
        <v>湘苡</v>
      </c>
      <c r="AK29" s="80"/>
    </row>
    <row r="30" spans="1:37" ht="18" customHeight="1">
      <c r="A30" s="99" t="s">
        <v>174</v>
      </c>
      <c r="B30" s="131" t="s">
        <v>148</v>
      </c>
      <c r="C30" s="133">
        <v>1</v>
      </c>
      <c r="D30" s="124"/>
      <c r="E30" s="133">
        <v>1</v>
      </c>
      <c r="F30" s="124"/>
      <c r="G30" s="133"/>
      <c r="H30" s="133"/>
      <c r="I30" s="133"/>
      <c r="J30" s="133"/>
      <c r="K30" s="124"/>
      <c r="L30" s="133"/>
      <c r="M30" s="124"/>
      <c r="N30" s="133"/>
      <c r="O30" s="133"/>
      <c r="P30" s="133"/>
      <c r="Q30" s="133">
        <v>1</v>
      </c>
      <c r="R30" s="124"/>
      <c r="S30" s="133"/>
      <c r="T30" s="124"/>
      <c r="U30" s="133"/>
      <c r="V30" s="133"/>
      <c r="W30" s="133"/>
      <c r="X30" s="133"/>
      <c r="Y30" s="124"/>
      <c r="Z30" s="133"/>
      <c r="AA30" s="124"/>
      <c r="AB30" s="133"/>
      <c r="AC30" s="133"/>
      <c r="AD30" s="133"/>
      <c r="AE30" s="133">
        <v>1</v>
      </c>
      <c r="AF30" s="124"/>
      <c r="AG30" s="133"/>
      <c r="AH30" s="77">
        <f t="shared" si="1"/>
        <v>4</v>
      </c>
      <c r="AI30" s="78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79" t="str">
        <f t="shared" si="2"/>
        <v>雅雅</v>
      </c>
      <c r="AK30" s="82"/>
    </row>
    <row r="31" spans="1:37" ht="18" customHeight="1">
      <c r="A31" s="101" t="s">
        <v>174</v>
      </c>
      <c r="B31" s="136" t="s">
        <v>103</v>
      </c>
      <c r="C31" s="135">
        <v>1</v>
      </c>
      <c r="D31" s="124"/>
      <c r="E31" s="135">
        <v>1</v>
      </c>
      <c r="F31" s="124"/>
      <c r="G31" s="135">
        <v>1</v>
      </c>
      <c r="H31" s="135"/>
      <c r="I31" s="135">
        <v>1</v>
      </c>
      <c r="J31" s="135">
        <v>1</v>
      </c>
      <c r="K31" s="124"/>
      <c r="L31" s="135">
        <v>1</v>
      </c>
      <c r="M31" s="124"/>
      <c r="N31" s="135">
        <v>1</v>
      </c>
      <c r="O31" s="135"/>
      <c r="P31" s="135"/>
      <c r="Q31" s="135">
        <v>1</v>
      </c>
      <c r="R31" s="124"/>
      <c r="S31" s="135">
        <v>1</v>
      </c>
      <c r="T31" s="124"/>
      <c r="U31" s="135">
        <v>1</v>
      </c>
      <c r="V31" s="135">
        <v>1</v>
      </c>
      <c r="W31" s="135">
        <v>1</v>
      </c>
      <c r="X31" s="135">
        <v>1</v>
      </c>
      <c r="Y31" s="124"/>
      <c r="Z31" s="135"/>
      <c r="AA31" s="124"/>
      <c r="AB31" s="135">
        <v>1</v>
      </c>
      <c r="AC31" s="135">
        <v>1</v>
      </c>
      <c r="AD31" s="135">
        <v>1</v>
      </c>
      <c r="AE31" s="135">
        <v>1</v>
      </c>
      <c r="AF31" s="124"/>
      <c r="AG31" s="135">
        <v>1</v>
      </c>
      <c r="AH31" s="86">
        <f t="shared" si="1"/>
        <v>18</v>
      </c>
      <c r="AI31" s="87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88" t="str">
        <f t="shared" si="2"/>
        <v>圈圈</v>
      </c>
      <c r="AK31" s="90"/>
    </row>
    <row r="32" spans="1:37" ht="18" customHeight="1">
      <c r="A32" s="101" t="s">
        <v>174</v>
      </c>
      <c r="B32" s="136" t="s">
        <v>104</v>
      </c>
      <c r="C32" s="135">
        <v>1</v>
      </c>
      <c r="D32" s="124"/>
      <c r="E32" s="135"/>
      <c r="F32" s="124"/>
      <c r="G32" s="135">
        <v>1</v>
      </c>
      <c r="H32" s="135"/>
      <c r="I32" s="135">
        <v>1</v>
      </c>
      <c r="J32" s="135">
        <v>1</v>
      </c>
      <c r="K32" s="124"/>
      <c r="L32" s="135"/>
      <c r="M32" s="124"/>
      <c r="N32" s="135">
        <v>1</v>
      </c>
      <c r="O32" s="135"/>
      <c r="P32" s="135"/>
      <c r="Q32" s="135">
        <v>1</v>
      </c>
      <c r="R32" s="124"/>
      <c r="S32" s="135"/>
      <c r="T32" s="124"/>
      <c r="U32" s="135"/>
      <c r="V32" s="135"/>
      <c r="W32" s="135"/>
      <c r="X32" s="135"/>
      <c r="Y32" s="124"/>
      <c r="Z32" s="135"/>
      <c r="AA32" s="124"/>
      <c r="AB32" s="135"/>
      <c r="AC32" s="135"/>
      <c r="AD32" s="135"/>
      <c r="AE32" s="135"/>
      <c r="AF32" s="124"/>
      <c r="AG32" s="135"/>
      <c r="AH32" s="86">
        <f t="shared" si="1"/>
        <v>6</v>
      </c>
      <c r="AI32" s="87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88" t="str">
        <f t="shared" si="2"/>
        <v>卡丘</v>
      </c>
      <c r="AK32" s="90"/>
    </row>
    <row r="33" spans="1:37" ht="18" customHeight="1">
      <c r="A33" s="101" t="s">
        <v>174</v>
      </c>
      <c r="B33" s="136" t="s">
        <v>105</v>
      </c>
      <c r="C33" s="135"/>
      <c r="D33" s="124"/>
      <c r="E33" s="135">
        <v>1</v>
      </c>
      <c r="F33" s="124"/>
      <c r="G33" s="135">
        <v>1</v>
      </c>
      <c r="H33" s="135"/>
      <c r="I33" s="135">
        <v>1</v>
      </c>
      <c r="J33" s="135">
        <v>1</v>
      </c>
      <c r="K33" s="124"/>
      <c r="L33" s="135">
        <v>1</v>
      </c>
      <c r="M33" s="124"/>
      <c r="N33" s="135"/>
      <c r="O33" s="135"/>
      <c r="P33" s="135"/>
      <c r="Q33" s="135">
        <v>1</v>
      </c>
      <c r="R33" s="124"/>
      <c r="S33" s="135">
        <v>1</v>
      </c>
      <c r="T33" s="124"/>
      <c r="U33" s="135"/>
      <c r="V33" s="135"/>
      <c r="W33" s="135"/>
      <c r="X33" s="135">
        <v>1</v>
      </c>
      <c r="Y33" s="124"/>
      <c r="Z33" s="135"/>
      <c r="AA33" s="124"/>
      <c r="AB33" s="135"/>
      <c r="AC33" s="135"/>
      <c r="AD33" s="135"/>
      <c r="AE33" s="135"/>
      <c r="AF33" s="124"/>
      <c r="AG33" s="135">
        <v>1</v>
      </c>
      <c r="AH33" s="86">
        <f t="shared" si="1"/>
        <v>9</v>
      </c>
      <c r="AI33" s="87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88" t="str">
        <f t="shared" si="2"/>
        <v>琬蓁</v>
      </c>
      <c r="AK33" s="90"/>
    </row>
    <row r="34" spans="1:37" ht="18" customHeight="1">
      <c r="A34" s="101" t="s">
        <v>174</v>
      </c>
      <c r="B34" s="136" t="s">
        <v>116</v>
      </c>
      <c r="C34" s="135">
        <v>1</v>
      </c>
      <c r="D34" s="124"/>
      <c r="E34" s="135">
        <v>1</v>
      </c>
      <c r="F34" s="124"/>
      <c r="G34" s="135">
        <v>1</v>
      </c>
      <c r="H34" s="135"/>
      <c r="I34" s="135">
        <v>1</v>
      </c>
      <c r="J34" s="135"/>
      <c r="K34" s="124"/>
      <c r="L34" s="135">
        <v>1</v>
      </c>
      <c r="M34" s="124"/>
      <c r="N34" s="135">
        <v>1</v>
      </c>
      <c r="O34" s="135"/>
      <c r="P34" s="135"/>
      <c r="Q34" s="135">
        <v>1</v>
      </c>
      <c r="R34" s="124"/>
      <c r="S34" s="135">
        <v>1</v>
      </c>
      <c r="T34" s="124"/>
      <c r="U34" s="135"/>
      <c r="V34" s="135"/>
      <c r="W34" s="135"/>
      <c r="X34" s="135"/>
      <c r="Y34" s="124"/>
      <c r="Z34" s="135"/>
      <c r="AA34" s="124"/>
      <c r="AB34" s="135">
        <v>1</v>
      </c>
      <c r="AC34" s="135"/>
      <c r="AD34" s="135"/>
      <c r="AE34" s="135"/>
      <c r="AF34" s="124"/>
      <c r="AG34" s="135">
        <v>1</v>
      </c>
      <c r="AH34" s="86">
        <f t="shared" si="1"/>
        <v>10</v>
      </c>
      <c r="AI34" s="87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88" t="str">
        <f t="shared" si="2"/>
        <v>大汪</v>
      </c>
      <c r="AK34" s="89"/>
    </row>
    <row r="35" spans="1:37" ht="18" customHeight="1">
      <c r="A35" s="101" t="s">
        <v>174</v>
      </c>
      <c r="B35" s="136" t="s">
        <v>117</v>
      </c>
      <c r="C35" s="135">
        <v>1</v>
      </c>
      <c r="D35" s="124"/>
      <c r="E35" s="135">
        <v>1</v>
      </c>
      <c r="F35" s="124"/>
      <c r="G35" s="135">
        <v>1</v>
      </c>
      <c r="H35" s="135"/>
      <c r="I35" s="135">
        <v>1</v>
      </c>
      <c r="J35" s="135"/>
      <c r="K35" s="124"/>
      <c r="L35" s="135"/>
      <c r="M35" s="124"/>
      <c r="N35" s="135">
        <v>1</v>
      </c>
      <c r="O35" s="135"/>
      <c r="P35" s="135"/>
      <c r="Q35" s="135"/>
      <c r="R35" s="124"/>
      <c r="S35" s="135"/>
      <c r="T35" s="124"/>
      <c r="U35" s="135"/>
      <c r="V35" s="135"/>
      <c r="W35" s="135"/>
      <c r="X35" s="135"/>
      <c r="Y35" s="124"/>
      <c r="Z35" s="135"/>
      <c r="AA35" s="124"/>
      <c r="AB35" s="135"/>
      <c r="AC35" s="135"/>
      <c r="AD35" s="135"/>
      <c r="AE35" s="135"/>
      <c r="AF35" s="124"/>
      <c r="AG35" s="135"/>
      <c r="AH35" s="86">
        <f t="shared" si="1"/>
        <v>5</v>
      </c>
      <c r="AI35" s="87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88" t="str">
        <f t="shared" si="2"/>
        <v>依凡</v>
      </c>
      <c r="AK35" s="89"/>
    </row>
    <row r="36" spans="1:37" ht="18" customHeight="1">
      <c r="A36" s="101" t="s">
        <v>174</v>
      </c>
      <c r="B36" s="136" t="s">
        <v>118</v>
      </c>
      <c r="C36" s="135"/>
      <c r="D36" s="124"/>
      <c r="E36" s="135"/>
      <c r="F36" s="124"/>
      <c r="G36" s="135"/>
      <c r="H36" s="135"/>
      <c r="I36" s="135"/>
      <c r="J36" s="135"/>
      <c r="K36" s="124"/>
      <c r="L36" s="135"/>
      <c r="M36" s="124"/>
      <c r="N36" s="135"/>
      <c r="O36" s="135"/>
      <c r="P36" s="135"/>
      <c r="Q36" s="135"/>
      <c r="R36" s="124"/>
      <c r="S36" s="135"/>
      <c r="T36" s="124"/>
      <c r="U36" s="135"/>
      <c r="V36" s="135"/>
      <c r="W36" s="135"/>
      <c r="X36" s="135"/>
      <c r="Y36" s="124"/>
      <c r="Z36" s="135"/>
      <c r="AA36" s="124"/>
      <c r="AB36" s="135"/>
      <c r="AC36" s="135"/>
      <c r="AD36" s="135"/>
      <c r="AE36" s="135"/>
      <c r="AF36" s="124"/>
      <c r="AG36" s="135"/>
      <c r="AH36" s="86">
        <f t="shared" ref="AH36:AH67" si="3">COUNTA(C36:AG36)</f>
        <v>0</v>
      </c>
      <c r="AI36" s="87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88" t="str">
        <f t="shared" ref="AJ36:AJ67" si="4">B36</f>
        <v>雅筑</v>
      </c>
      <c r="AK36" s="89"/>
    </row>
    <row r="37" spans="1:37" ht="18" customHeight="1">
      <c r="A37" s="101" t="s">
        <v>174</v>
      </c>
      <c r="B37" s="136" t="s">
        <v>119</v>
      </c>
      <c r="C37" s="135"/>
      <c r="D37" s="124"/>
      <c r="E37" s="135"/>
      <c r="F37" s="124"/>
      <c r="G37" s="135"/>
      <c r="H37" s="135"/>
      <c r="I37" s="135"/>
      <c r="J37" s="135">
        <v>1</v>
      </c>
      <c r="K37" s="124"/>
      <c r="L37" s="135"/>
      <c r="M37" s="124"/>
      <c r="N37" s="135"/>
      <c r="O37" s="135"/>
      <c r="P37" s="135"/>
      <c r="Q37" s="135"/>
      <c r="R37" s="124"/>
      <c r="S37" s="135"/>
      <c r="T37" s="124"/>
      <c r="U37" s="135"/>
      <c r="V37" s="135"/>
      <c r="W37" s="135"/>
      <c r="X37" s="135">
        <v>1</v>
      </c>
      <c r="Y37" s="124"/>
      <c r="Z37" s="135"/>
      <c r="AA37" s="124"/>
      <c r="AB37" s="135"/>
      <c r="AC37" s="135"/>
      <c r="AD37" s="135"/>
      <c r="AE37" s="135">
        <v>1</v>
      </c>
      <c r="AF37" s="124"/>
      <c r="AG37" s="135"/>
      <c r="AH37" s="86">
        <f t="shared" si="3"/>
        <v>3</v>
      </c>
      <c r="AI37" s="87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88" t="str">
        <f t="shared" si="4"/>
        <v>ABBY</v>
      </c>
      <c r="AK37" s="90"/>
    </row>
    <row r="38" spans="1:37" ht="18" customHeight="1">
      <c r="A38" s="101" t="s">
        <v>174</v>
      </c>
      <c r="B38" s="136" t="s">
        <v>120</v>
      </c>
      <c r="C38" s="135"/>
      <c r="D38" s="124"/>
      <c r="E38" s="135"/>
      <c r="F38" s="124"/>
      <c r="G38" s="135"/>
      <c r="H38" s="135"/>
      <c r="I38" s="135"/>
      <c r="J38" s="135"/>
      <c r="K38" s="124"/>
      <c r="L38" s="135"/>
      <c r="M38" s="124"/>
      <c r="N38" s="135"/>
      <c r="O38" s="135"/>
      <c r="P38" s="135"/>
      <c r="Q38" s="135"/>
      <c r="R38" s="124"/>
      <c r="S38" s="135"/>
      <c r="T38" s="124"/>
      <c r="U38" s="135"/>
      <c r="V38" s="135"/>
      <c r="W38" s="135"/>
      <c r="X38" s="135"/>
      <c r="Y38" s="124"/>
      <c r="Z38" s="135"/>
      <c r="AA38" s="124"/>
      <c r="AB38" s="135"/>
      <c r="AC38" s="135"/>
      <c r="AD38" s="135"/>
      <c r="AE38" s="135"/>
      <c r="AF38" s="124"/>
      <c r="AG38" s="135"/>
      <c r="AH38" s="86">
        <f t="shared" si="3"/>
        <v>0</v>
      </c>
      <c r="AI38" s="87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88" t="str">
        <f t="shared" si="4"/>
        <v>品君</v>
      </c>
      <c r="AK38" s="90"/>
    </row>
    <row r="39" spans="1:37" ht="18" customHeight="1">
      <c r="A39" s="101" t="s">
        <v>174</v>
      </c>
      <c r="B39" s="136" t="s">
        <v>121</v>
      </c>
      <c r="C39" s="135">
        <v>1</v>
      </c>
      <c r="D39" s="124"/>
      <c r="E39" s="135">
        <v>1</v>
      </c>
      <c r="F39" s="124"/>
      <c r="G39" s="135">
        <v>1</v>
      </c>
      <c r="H39" s="135">
        <v>1</v>
      </c>
      <c r="I39" s="135">
        <v>1</v>
      </c>
      <c r="J39" s="135"/>
      <c r="K39" s="124"/>
      <c r="L39" s="135">
        <v>1</v>
      </c>
      <c r="M39" s="124"/>
      <c r="N39" s="135">
        <v>1</v>
      </c>
      <c r="O39" s="135"/>
      <c r="P39" s="135"/>
      <c r="Q39" s="135">
        <v>1</v>
      </c>
      <c r="R39" s="124"/>
      <c r="S39" s="135">
        <v>1</v>
      </c>
      <c r="T39" s="124"/>
      <c r="U39" s="135"/>
      <c r="V39" s="135"/>
      <c r="W39" s="135"/>
      <c r="X39" s="135"/>
      <c r="Y39" s="124"/>
      <c r="Z39" s="135"/>
      <c r="AA39" s="124"/>
      <c r="AB39" s="135">
        <v>1</v>
      </c>
      <c r="AC39" s="135">
        <v>1</v>
      </c>
      <c r="AD39" s="135"/>
      <c r="AE39" s="135">
        <v>1</v>
      </c>
      <c r="AF39" s="124"/>
      <c r="AG39" s="135">
        <v>1</v>
      </c>
      <c r="AH39" s="86">
        <f t="shared" si="3"/>
        <v>13</v>
      </c>
      <c r="AI39" s="87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88" t="str">
        <f t="shared" si="4"/>
        <v>冰沙</v>
      </c>
      <c r="AK39" s="90"/>
    </row>
    <row r="40" spans="1:37" ht="18" customHeight="1">
      <c r="A40" s="101" t="s">
        <v>174</v>
      </c>
      <c r="B40" s="136" t="s">
        <v>122</v>
      </c>
      <c r="C40" s="135"/>
      <c r="D40" s="124"/>
      <c r="E40" s="135"/>
      <c r="F40" s="124"/>
      <c r="G40" s="135"/>
      <c r="H40" s="135"/>
      <c r="I40" s="135"/>
      <c r="J40" s="135"/>
      <c r="K40" s="124"/>
      <c r="L40" s="135"/>
      <c r="M40" s="124"/>
      <c r="N40" s="135"/>
      <c r="O40" s="135"/>
      <c r="P40" s="135"/>
      <c r="Q40" s="135"/>
      <c r="R40" s="124"/>
      <c r="S40" s="135"/>
      <c r="T40" s="124"/>
      <c r="U40" s="135"/>
      <c r="V40" s="135"/>
      <c r="W40" s="135"/>
      <c r="X40" s="135"/>
      <c r="Y40" s="124"/>
      <c r="Z40" s="135"/>
      <c r="AA40" s="124"/>
      <c r="AB40" s="135"/>
      <c r="AC40" s="135"/>
      <c r="AD40" s="135"/>
      <c r="AE40" s="135"/>
      <c r="AF40" s="124"/>
      <c r="AG40" s="135"/>
      <c r="AH40" s="86">
        <f t="shared" si="3"/>
        <v>0</v>
      </c>
      <c r="AI40" s="87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88" t="str">
        <f t="shared" si="4"/>
        <v>幸恩</v>
      </c>
      <c r="AK40" s="90"/>
    </row>
    <row r="41" spans="1:37" ht="18" customHeight="1">
      <c r="A41" s="101" t="s">
        <v>174</v>
      </c>
      <c r="B41" s="136" t="s">
        <v>123</v>
      </c>
      <c r="C41" s="135">
        <v>1</v>
      </c>
      <c r="D41" s="124"/>
      <c r="E41" s="135"/>
      <c r="F41" s="124"/>
      <c r="G41" s="135"/>
      <c r="H41" s="135"/>
      <c r="I41" s="135"/>
      <c r="J41" s="135"/>
      <c r="K41" s="124"/>
      <c r="L41" s="135"/>
      <c r="M41" s="124"/>
      <c r="N41" s="135"/>
      <c r="O41" s="135"/>
      <c r="P41" s="135"/>
      <c r="Q41" s="135"/>
      <c r="R41" s="124"/>
      <c r="S41" s="135"/>
      <c r="T41" s="124"/>
      <c r="U41" s="135"/>
      <c r="V41" s="135"/>
      <c r="W41" s="135"/>
      <c r="X41" s="135"/>
      <c r="Y41" s="124"/>
      <c r="Z41" s="135"/>
      <c r="AA41" s="124"/>
      <c r="AB41" s="135"/>
      <c r="AC41" s="135"/>
      <c r="AD41" s="135"/>
      <c r="AE41" s="135"/>
      <c r="AF41" s="124"/>
      <c r="AG41" s="135"/>
      <c r="AH41" s="86">
        <f t="shared" si="3"/>
        <v>1</v>
      </c>
      <c r="AI41" s="87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88" t="str">
        <f t="shared" si="4"/>
        <v>瑤瑤</v>
      </c>
      <c r="AK41" s="89"/>
    </row>
    <row r="42" spans="1:37" ht="18" customHeight="1">
      <c r="A42" s="95" t="s">
        <v>58</v>
      </c>
      <c r="B42" s="125" t="s">
        <v>23</v>
      </c>
      <c r="C42" s="123">
        <v>1</v>
      </c>
      <c r="D42" s="124"/>
      <c r="E42" s="123"/>
      <c r="F42" s="124"/>
      <c r="G42" s="123"/>
      <c r="H42" s="123"/>
      <c r="I42" s="123"/>
      <c r="J42" s="123">
        <v>1</v>
      </c>
      <c r="K42" s="124"/>
      <c r="L42" s="123">
        <v>1</v>
      </c>
      <c r="M42" s="124"/>
      <c r="N42" s="123">
        <v>1</v>
      </c>
      <c r="O42" s="123"/>
      <c r="P42" s="123"/>
      <c r="Q42" s="123">
        <v>1</v>
      </c>
      <c r="R42" s="124"/>
      <c r="S42" s="123">
        <v>1</v>
      </c>
      <c r="T42" s="124"/>
      <c r="U42" s="123">
        <v>1</v>
      </c>
      <c r="V42" s="123"/>
      <c r="W42" s="123"/>
      <c r="X42" s="123"/>
      <c r="Y42" s="124"/>
      <c r="Z42" s="123"/>
      <c r="AA42" s="124"/>
      <c r="AB42" s="123"/>
      <c r="AC42" s="123"/>
      <c r="AD42" s="123"/>
      <c r="AE42" s="123"/>
      <c r="AF42" s="124"/>
      <c r="AG42" s="123"/>
      <c r="AH42" s="66">
        <f t="shared" si="3"/>
        <v>7</v>
      </c>
      <c r="AI42" s="68" t="e">
        <f ca="1">(IF(A42="O", (VALUE(_xludf.IFS(AH42=0,"0",AH42=1,"150",AH42=2,"300",AH42=3,"450",AH42=4,"600",AH42=5,"750",AH42&gt;=6,"800"))),(VALUE(_xludf.IFS(AH42=0,"0",AH42=1,"150",AH42=2,"300",AH42=3,"450",AH42=4,"600",AH42=5,"750",AH42=6,"900",AH42&gt;=7,"1,000")))))</f>
        <v>#NAME?</v>
      </c>
      <c r="AJ42" s="69" t="str">
        <f t="shared" si="4"/>
        <v>ㄈㄈ</v>
      </c>
      <c r="AK42" s="73"/>
    </row>
    <row r="43" spans="1:37" ht="18" customHeight="1">
      <c r="A43" s="95" t="s">
        <v>58</v>
      </c>
      <c r="B43" s="125" t="s">
        <v>24</v>
      </c>
      <c r="C43" s="123">
        <v>1</v>
      </c>
      <c r="D43" s="124"/>
      <c r="E43" s="123"/>
      <c r="F43" s="124"/>
      <c r="G43" s="123"/>
      <c r="H43" s="123"/>
      <c r="I43" s="123">
        <v>1</v>
      </c>
      <c r="J43" s="123"/>
      <c r="K43" s="124"/>
      <c r="L43" s="123">
        <v>1</v>
      </c>
      <c r="M43" s="124"/>
      <c r="N43" s="123">
        <v>1</v>
      </c>
      <c r="O43" s="123"/>
      <c r="P43" s="123"/>
      <c r="Q43" s="123"/>
      <c r="R43" s="124"/>
      <c r="S43" s="123"/>
      <c r="T43" s="124"/>
      <c r="U43" s="123"/>
      <c r="V43" s="123"/>
      <c r="W43" s="123"/>
      <c r="X43" s="123">
        <v>1</v>
      </c>
      <c r="Y43" s="124"/>
      <c r="Z43" s="123"/>
      <c r="AA43" s="124"/>
      <c r="AB43" s="123"/>
      <c r="AC43" s="123"/>
      <c r="AD43" s="123"/>
      <c r="AE43" s="123"/>
      <c r="AF43" s="124"/>
      <c r="AG43" s="123"/>
      <c r="AH43" s="66">
        <f t="shared" si="3"/>
        <v>5</v>
      </c>
      <c r="AI43" s="68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69" t="str">
        <f t="shared" si="4"/>
        <v>大熊</v>
      </c>
      <c r="AK43" s="73"/>
    </row>
    <row r="44" spans="1:37" ht="18" customHeight="1">
      <c r="A44" s="95" t="s">
        <v>58</v>
      </c>
      <c r="B44" s="125" t="s">
        <v>64</v>
      </c>
      <c r="C44" s="123"/>
      <c r="D44" s="124"/>
      <c r="E44" s="123">
        <v>1</v>
      </c>
      <c r="F44" s="124"/>
      <c r="G44" s="123">
        <v>1</v>
      </c>
      <c r="H44" s="123">
        <v>1</v>
      </c>
      <c r="I44" s="123">
        <v>1</v>
      </c>
      <c r="J44" s="123"/>
      <c r="K44" s="124"/>
      <c r="L44" s="123">
        <v>1</v>
      </c>
      <c r="M44" s="124"/>
      <c r="N44" s="123">
        <v>1</v>
      </c>
      <c r="O44" s="123"/>
      <c r="P44" s="123"/>
      <c r="Q44" s="123"/>
      <c r="R44" s="124"/>
      <c r="S44" s="123"/>
      <c r="T44" s="124"/>
      <c r="U44" s="123">
        <v>1</v>
      </c>
      <c r="V44" s="123">
        <v>1</v>
      </c>
      <c r="W44" s="123">
        <v>1</v>
      </c>
      <c r="X44" s="123"/>
      <c r="Y44" s="124"/>
      <c r="Z44" s="123"/>
      <c r="AA44" s="124"/>
      <c r="AB44" s="123">
        <v>1</v>
      </c>
      <c r="AC44" s="123"/>
      <c r="AD44" s="123"/>
      <c r="AE44" s="123"/>
      <c r="AF44" s="124"/>
      <c r="AG44" s="123">
        <v>1</v>
      </c>
      <c r="AH44" s="66">
        <f t="shared" si="3"/>
        <v>11</v>
      </c>
      <c r="AI44" s="68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69" t="str">
        <f t="shared" si="4"/>
        <v>園棠</v>
      </c>
      <c r="AK44" s="73"/>
    </row>
    <row r="45" spans="1:37" ht="18" customHeight="1">
      <c r="A45" s="95" t="s">
        <v>58</v>
      </c>
      <c r="B45" s="125" t="s">
        <v>178</v>
      </c>
      <c r="C45" s="123"/>
      <c r="D45" s="124"/>
      <c r="E45" s="123"/>
      <c r="F45" s="124"/>
      <c r="G45" s="123"/>
      <c r="H45" s="123">
        <v>1</v>
      </c>
      <c r="I45" s="123">
        <v>1</v>
      </c>
      <c r="J45" s="123"/>
      <c r="K45" s="124"/>
      <c r="L45" s="123"/>
      <c r="M45" s="124"/>
      <c r="N45" s="123">
        <v>1</v>
      </c>
      <c r="O45" s="123"/>
      <c r="P45" s="123"/>
      <c r="Q45" s="123"/>
      <c r="R45" s="124"/>
      <c r="S45" s="123"/>
      <c r="T45" s="124"/>
      <c r="U45" s="123"/>
      <c r="V45" s="123"/>
      <c r="W45" s="123"/>
      <c r="X45" s="123"/>
      <c r="Y45" s="124"/>
      <c r="Z45" s="123"/>
      <c r="AA45" s="124"/>
      <c r="AB45" s="123"/>
      <c r="AC45" s="123"/>
      <c r="AD45" s="123">
        <v>1</v>
      </c>
      <c r="AE45" s="123"/>
      <c r="AF45" s="124"/>
      <c r="AG45" s="123"/>
      <c r="AH45" s="66">
        <f t="shared" si="3"/>
        <v>4</v>
      </c>
      <c r="AI45" s="68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69" t="str">
        <f t="shared" si="4"/>
        <v>Fish</v>
      </c>
      <c r="AK45" s="73"/>
    </row>
    <row r="46" spans="1:37" ht="18" customHeight="1">
      <c r="A46" s="95" t="s">
        <v>58</v>
      </c>
      <c r="B46" s="125" t="s">
        <v>25</v>
      </c>
      <c r="C46" s="123">
        <v>1</v>
      </c>
      <c r="D46" s="124"/>
      <c r="E46" s="123"/>
      <c r="F46" s="124"/>
      <c r="G46" s="123">
        <v>1</v>
      </c>
      <c r="H46" s="123"/>
      <c r="I46" s="123">
        <v>1</v>
      </c>
      <c r="J46" s="123">
        <v>1</v>
      </c>
      <c r="K46" s="124"/>
      <c r="L46" s="123">
        <v>1</v>
      </c>
      <c r="M46" s="124"/>
      <c r="N46" s="123">
        <v>1</v>
      </c>
      <c r="O46" s="123"/>
      <c r="P46" s="123"/>
      <c r="Q46" s="123">
        <v>1</v>
      </c>
      <c r="R46" s="124"/>
      <c r="S46" s="123">
        <v>1</v>
      </c>
      <c r="T46" s="124"/>
      <c r="U46" s="123">
        <v>1</v>
      </c>
      <c r="V46" s="123"/>
      <c r="W46" s="123"/>
      <c r="X46" s="123"/>
      <c r="Y46" s="124"/>
      <c r="Z46" s="123"/>
      <c r="AA46" s="124"/>
      <c r="AB46" s="123">
        <v>1</v>
      </c>
      <c r="AC46" s="123"/>
      <c r="AD46" s="123">
        <v>1</v>
      </c>
      <c r="AE46" s="123"/>
      <c r="AF46" s="124"/>
      <c r="AG46" s="123"/>
      <c r="AH46" s="66">
        <f t="shared" si="3"/>
        <v>11</v>
      </c>
      <c r="AI46" s="68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69" t="str">
        <f t="shared" si="4"/>
        <v>潘潘</v>
      </c>
      <c r="AK46" s="73"/>
    </row>
    <row r="47" spans="1:37" ht="18" customHeight="1">
      <c r="A47" s="95" t="s">
        <v>58</v>
      </c>
      <c r="B47" s="125" t="s">
        <v>63</v>
      </c>
      <c r="C47" s="123"/>
      <c r="D47" s="124"/>
      <c r="E47" s="123"/>
      <c r="F47" s="124"/>
      <c r="G47" s="123"/>
      <c r="H47" s="123"/>
      <c r="I47" s="123"/>
      <c r="J47" s="123"/>
      <c r="K47" s="124"/>
      <c r="L47" s="123"/>
      <c r="M47" s="124"/>
      <c r="N47" s="123"/>
      <c r="O47" s="123"/>
      <c r="P47" s="123"/>
      <c r="Q47" s="123"/>
      <c r="R47" s="124"/>
      <c r="S47" s="123"/>
      <c r="T47" s="124"/>
      <c r="U47" s="123"/>
      <c r="V47" s="123"/>
      <c r="W47" s="123"/>
      <c r="X47" s="123"/>
      <c r="Y47" s="124"/>
      <c r="Z47" s="123"/>
      <c r="AA47" s="124"/>
      <c r="AB47" s="123"/>
      <c r="AC47" s="123"/>
      <c r="AD47" s="123"/>
      <c r="AE47" s="123"/>
      <c r="AF47" s="124"/>
      <c r="AG47" s="123"/>
      <c r="AH47" s="66">
        <f t="shared" si="3"/>
        <v>0</v>
      </c>
      <c r="AI47" s="68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69" t="str">
        <f t="shared" si="4"/>
        <v>芒果</v>
      </c>
      <c r="AK47" s="73"/>
    </row>
    <row r="48" spans="1:37" ht="18" customHeight="1">
      <c r="A48" s="95" t="s">
        <v>58</v>
      </c>
      <c r="B48" s="125" t="s">
        <v>62</v>
      </c>
      <c r="C48" s="123"/>
      <c r="D48" s="124"/>
      <c r="E48" s="123"/>
      <c r="F48" s="124"/>
      <c r="G48" s="123"/>
      <c r="H48" s="123"/>
      <c r="I48" s="123"/>
      <c r="J48" s="123"/>
      <c r="K48" s="124"/>
      <c r="L48" s="123"/>
      <c r="M48" s="124"/>
      <c r="N48" s="123">
        <v>1</v>
      </c>
      <c r="O48" s="123"/>
      <c r="P48" s="123"/>
      <c r="Q48" s="123"/>
      <c r="R48" s="124"/>
      <c r="S48" s="123"/>
      <c r="T48" s="124"/>
      <c r="U48" s="123"/>
      <c r="V48" s="123"/>
      <c r="W48" s="123"/>
      <c r="X48" s="123"/>
      <c r="Y48" s="124"/>
      <c r="Z48" s="123"/>
      <c r="AA48" s="124"/>
      <c r="AB48" s="123"/>
      <c r="AC48" s="123">
        <v>1</v>
      </c>
      <c r="AD48" s="123"/>
      <c r="AE48" s="123"/>
      <c r="AF48" s="124"/>
      <c r="AG48" s="123"/>
      <c r="AH48" s="66">
        <f t="shared" si="3"/>
        <v>2</v>
      </c>
      <c r="AI48" s="68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69" t="str">
        <f t="shared" si="4"/>
        <v>國源</v>
      </c>
      <c r="AK48" s="73"/>
    </row>
    <row r="49" spans="1:37" ht="18" customHeight="1">
      <c r="A49" s="95" t="s">
        <v>58</v>
      </c>
      <c r="B49" s="125" t="s">
        <v>26</v>
      </c>
      <c r="C49" s="123"/>
      <c r="D49" s="124"/>
      <c r="E49" s="123"/>
      <c r="F49" s="124"/>
      <c r="G49" s="123"/>
      <c r="H49" s="123">
        <v>1</v>
      </c>
      <c r="I49" s="123">
        <v>1</v>
      </c>
      <c r="J49" s="123"/>
      <c r="K49" s="124"/>
      <c r="L49" s="123"/>
      <c r="M49" s="124"/>
      <c r="N49" s="123">
        <v>1</v>
      </c>
      <c r="O49" s="123"/>
      <c r="P49" s="123"/>
      <c r="Q49" s="123">
        <v>1</v>
      </c>
      <c r="R49" s="124"/>
      <c r="S49" s="123">
        <v>1</v>
      </c>
      <c r="T49" s="124"/>
      <c r="U49" s="123"/>
      <c r="V49" s="123"/>
      <c r="W49" s="123">
        <v>1</v>
      </c>
      <c r="X49" s="123">
        <v>1</v>
      </c>
      <c r="Y49" s="124"/>
      <c r="Z49" s="123"/>
      <c r="AA49" s="124"/>
      <c r="AB49" s="123">
        <v>1</v>
      </c>
      <c r="AC49" s="123"/>
      <c r="AD49" s="123"/>
      <c r="AE49" s="123">
        <v>1</v>
      </c>
      <c r="AF49" s="124"/>
      <c r="AG49" s="123"/>
      <c r="AH49" s="66">
        <f t="shared" si="3"/>
        <v>9</v>
      </c>
      <c r="AI49" s="68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69" t="str">
        <f t="shared" si="4"/>
        <v>曉強</v>
      </c>
      <c r="AK49" s="73"/>
    </row>
    <row r="50" spans="1:37" ht="18" customHeight="1">
      <c r="A50" s="95" t="s">
        <v>58</v>
      </c>
      <c r="B50" s="125" t="s">
        <v>59</v>
      </c>
      <c r="C50" s="123"/>
      <c r="D50" s="124"/>
      <c r="E50" s="123"/>
      <c r="F50" s="124"/>
      <c r="G50" s="123"/>
      <c r="H50" s="123"/>
      <c r="I50" s="123"/>
      <c r="J50" s="123"/>
      <c r="K50" s="124"/>
      <c r="L50" s="123"/>
      <c r="M50" s="124"/>
      <c r="N50" s="123"/>
      <c r="O50" s="123"/>
      <c r="P50" s="123"/>
      <c r="Q50" s="123"/>
      <c r="R50" s="124"/>
      <c r="S50" s="123"/>
      <c r="T50" s="124"/>
      <c r="U50" s="123"/>
      <c r="V50" s="123"/>
      <c r="W50" s="123"/>
      <c r="X50" s="123"/>
      <c r="Y50" s="124"/>
      <c r="Z50" s="123"/>
      <c r="AA50" s="124"/>
      <c r="AB50" s="123"/>
      <c r="AC50" s="123"/>
      <c r="AD50" s="123"/>
      <c r="AE50" s="123"/>
      <c r="AF50" s="124"/>
      <c r="AG50" s="123"/>
      <c r="AH50" s="66">
        <f t="shared" si="3"/>
        <v>0</v>
      </c>
      <c r="AI50" s="68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69" t="str">
        <f t="shared" si="4"/>
        <v>阿幹</v>
      </c>
      <c r="AK50" s="73"/>
    </row>
    <row r="51" spans="1:37" ht="18" customHeight="1">
      <c r="A51" s="95" t="s">
        <v>58</v>
      </c>
      <c r="B51" s="125" t="s">
        <v>27</v>
      </c>
      <c r="C51" s="123"/>
      <c r="D51" s="124"/>
      <c r="E51" s="123"/>
      <c r="F51" s="124"/>
      <c r="G51" s="123"/>
      <c r="H51" s="123"/>
      <c r="I51" s="123"/>
      <c r="J51" s="123"/>
      <c r="K51" s="124"/>
      <c r="L51" s="123"/>
      <c r="M51" s="124"/>
      <c r="N51" s="123"/>
      <c r="O51" s="123"/>
      <c r="P51" s="123"/>
      <c r="Q51" s="123"/>
      <c r="R51" s="124"/>
      <c r="S51" s="123"/>
      <c r="T51" s="124"/>
      <c r="U51" s="123"/>
      <c r="V51" s="123"/>
      <c r="W51" s="123"/>
      <c r="X51" s="123"/>
      <c r="Y51" s="124"/>
      <c r="Z51" s="123"/>
      <c r="AA51" s="124"/>
      <c r="AB51" s="123"/>
      <c r="AC51" s="123"/>
      <c r="AD51" s="123"/>
      <c r="AE51" s="123"/>
      <c r="AF51" s="124"/>
      <c r="AG51" s="123"/>
      <c r="AH51" s="66">
        <f t="shared" si="3"/>
        <v>0</v>
      </c>
      <c r="AI51" s="68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69" t="str">
        <f t="shared" si="4"/>
        <v>芋圓</v>
      </c>
      <c r="AK51" s="73"/>
    </row>
    <row r="52" spans="1:37" ht="18" customHeight="1">
      <c r="A52" s="95" t="s">
        <v>58</v>
      </c>
      <c r="B52" s="125" t="s">
        <v>28</v>
      </c>
      <c r="C52" s="123"/>
      <c r="D52" s="124"/>
      <c r="E52" s="123"/>
      <c r="F52" s="124"/>
      <c r="G52" s="123"/>
      <c r="H52" s="123"/>
      <c r="I52" s="123"/>
      <c r="J52" s="123"/>
      <c r="K52" s="124"/>
      <c r="L52" s="123"/>
      <c r="M52" s="124"/>
      <c r="N52" s="123"/>
      <c r="O52" s="123"/>
      <c r="P52" s="123"/>
      <c r="Q52" s="123"/>
      <c r="R52" s="124"/>
      <c r="S52" s="123"/>
      <c r="T52" s="124"/>
      <c r="U52" s="123"/>
      <c r="V52" s="123"/>
      <c r="W52" s="123"/>
      <c r="X52" s="123"/>
      <c r="Y52" s="124"/>
      <c r="Z52" s="123"/>
      <c r="AA52" s="124"/>
      <c r="AB52" s="123"/>
      <c r="AC52" s="123"/>
      <c r="AD52" s="123"/>
      <c r="AE52" s="123"/>
      <c r="AF52" s="124"/>
      <c r="AG52" s="123"/>
      <c r="AH52" s="66">
        <f t="shared" si="3"/>
        <v>0</v>
      </c>
      <c r="AI52" s="68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69" t="str">
        <f t="shared" si="4"/>
        <v>克勤</v>
      </c>
      <c r="AK52" s="73"/>
    </row>
    <row r="53" spans="1:37" ht="18" customHeight="1">
      <c r="A53" s="95" t="s">
        <v>58</v>
      </c>
      <c r="B53" s="125" t="s">
        <v>29</v>
      </c>
      <c r="C53" s="123">
        <v>1</v>
      </c>
      <c r="D53" s="124"/>
      <c r="E53" s="123"/>
      <c r="F53" s="124"/>
      <c r="G53" s="123"/>
      <c r="H53" s="123"/>
      <c r="I53" s="123"/>
      <c r="J53" s="123"/>
      <c r="K53" s="124"/>
      <c r="L53" s="123"/>
      <c r="M53" s="124"/>
      <c r="N53" s="123">
        <v>1</v>
      </c>
      <c r="O53" s="123"/>
      <c r="P53" s="123"/>
      <c r="Q53" s="123">
        <v>1</v>
      </c>
      <c r="R53" s="124"/>
      <c r="S53" s="123"/>
      <c r="T53" s="124"/>
      <c r="U53" s="123"/>
      <c r="V53" s="123">
        <v>1</v>
      </c>
      <c r="W53" s="123"/>
      <c r="X53" s="123">
        <v>1</v>
      </c>
      <c r="Y53" s="124"/>
      <c r="Z53" s="123"/>
      <c r="AA53" s="124"/>
      <c r="AB53" s="123"/>
      <c r="AC53" s="123"/>
      <c r="AD53" s="123"/>
      <c r="AE53" s="123">
        <v>1</v>
      </c>
      <c r="AF53" s="124"/>
      <c r="AG53" s="123"/>
      <c r="AH53" s="66">
        <f t="shared" si="3"/>
        <v>6</v>
      </c>
      <c r="AI53" s="68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69" t="str">
        <f t="shared" si="4"/>
        <v>大頭</v>
      </c>
      <c r="AK53" s="73"/>
    </row>
    <row r="54" spans="1:37" ht="18" customHeight="1">
      <c r="A54" s="95" t="s">
        <v>58</v>
      </c>
      <c r="B54" s="125" t="s">
        <v>65</v>
      </c>
      <c r="C54" s="123"/>
      <c r="D54" s="124"/>
      <c r="E54" s="123"/>
      <c r="F54" s="124"/>
      <c r="G54" s="123"/>
      <c r="H54" s="123"/>
      <c r="I54" s="123"/>
      <c r="J54" s="123"/>
      <c r="K54" s="124"/>
      <c r="L54" s="123"/>
      <c r="M54" s="124"/>
      <c r="N54" s="123"/>
      <c r="O54" s="123"/>
      <c r="P54" s="123"/>
      <c r="Q54" s="123"/>
      <c r="R54" s="124"/>
      <c r="S54" s="123"/>
      <c r="T54" s="124"/>
      <c r="U54" s="123"/>
      <c r="V54" s="123"/>
      <c r="W54" s="123"/>
      <c r="X54" s="123"/>
      <c r="Y54" s="124"/>
      <c r="Z54" s="123"/>
      <c r="AA54" s="124"/>
      <c r="AB54" s="123"/>
      <c r="AC54" s="123"/>
      <c r="AD54" s="123"/>
      <c r="AE54" s="123"/>
      <c r="AF54" s="124"/>
      <c r="AG54" s="123"/>
      <c r="AH54" s="66">
        <f t="shared" si="3"/>
        <v>0</v>
      </c>
      <c r="AI54" s="68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69" t="str">
        <f t="shared" si="4"/>
        <v>文淵</v>
      </c>
      <c r="AK54" s="73"/>
    </row>
    <row r="55" spans="1:37" ht="18" customHeight="1">
      <c r="A55" s="95" t="s">
        <v>58</v>
      </c>
      <c r="B55" s="125" t="s">
        <v>72</v>
      </c>
      <c r="C55" s="123"/>
      <c r="D55" s="124"/>
      <c r="E55" s="123"/>
      <c r="F55" s="124"/>
      <c r="G55" s="123"/>
      <c r="H55" s="123"/>
      <c r="I55" s="123">
        <v>1</v>
      </c>
      <c r="J55" s="123"/>
      <c r="K55" s="124"/>
      <c r="L55" s="123"/>
      <c r="M55" s="124"/>
      <c r="N55" s="123"/>
      <c r="O55" s="123"/>
      <c r="P55" s="123"/>
      <c r="Q55" s="123"/>
      <c r="R55" s="124"/>
      <c r="S55" s="123"/>
      <c r="T55" s="124"/>
      <c r="U55" s="123"/>
      <c r="V55" s="123"/>
      <c r="W55" s="123">
        <v>1</v>
      </c>
      <c r="X55" s="123"/>
      <c r="Y55" s="124"/>
      <c r="Z55" s="123"/>
      <c r="AA55" s="124"/>
      <c r="AB55" s="123"/>
      <c r="AC55" s="123"/>
      <c r="AD55" s="123"/>
      <c r="AE55" s="123"/>
      <c r="AF55" s="124"/>
      <c r="AG55" s="123"/>
      <c r="AH55" s="66">
        <f t="shared" si="3"/>
        <v>2</v>
      </c>
      <c r="AI55" s="68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69" t="str">
        <f t="shared" si="4"/>
        <v>八卦</v>
      </c>
      <c r="AK55" s="73"/>
    </row>
    <row r="56" spans="1:37" ht="18" customHeight="1">
      <c r="A56" s="95" t="s">
        <v>58</v>
      </c>
      <c r="B56" s="125" t="s">
        <v>66</v>
      </c>
      <c r="C56" s="123"/>
      <c r="D56" s="124"/>
      <c r="E56" s="123">
        <v>1</v>
      </c>
      <c r="F56" s="124"/>
      <c r="G56" s="123"/>
      <c r="H56" s="123"/>
      <c r="I56" s="123"/>
      <c r="J56" s="123"/>
      <c r="K56" s="124"/>
      <c r="L56" s="123"/>
      <c r="M56" s="124"/>
      <c r="N56" s="123"/>
      <c r="O56" s="123"/>
      <c r="P56" s="123"/>
      <c r="Q56" s="123"/>
      <c r="R56" s="124"/>
      <c r="S56" s="123"/>
      <c r="T56" s="124"/>
      <c r="U56" s="123"/>
      <c r="V56" s="123"/>
      <c r="W56" s="123"/>
      <c r="X56" s="123"/>
      <c r="Y56" s="124"/>
      <c r="Z56" s="123"/>
      <c r="AA56" s="124"/>
      <c r="AB56" s="123"/>
      <c r="AC56" s="123"/>
      <c r="AD56" s="123"/>
      <c r="AE56" s="123"/>
      <c r="AF56" s="124"/>
      <c r="AG56" s="123"/>
      <c r="AH56" s="66">
        <f t="shared" si="3"/>
        <v>1</v>
      </c>
      <c r="AI56" s="68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69" t="str">
        <f t="shared" si="4"/>
        <v>昆佑</v>
      </c>
      <c r="AK56" s="73"/>
    </row>
    <row r="57" spans="1:37" ht="18" customHeight="1">
      <c r="A57" s="95" t="s">
        <v>58</v>
      </c>
      <c r="B57" s="125" t="s">
        <v>68</v>
      </c>
      <c r="C57" s="123"/>
      <c r="D57" s="124"/>
      <c r="E57" s="123"/>
      <c r="F57" s="124"/>
      <c r="G57" s="123"/>
      <c r="H57" s="123"/>
      <c r="I57" s="123"/>
      <c r="J57" s="123"/>
      <c r="K57" s="124"/>
      <c r="L57" s="123"/>
      <c r="M57" s="124"/>
      <c r="N57" s="123"/>
      <c r="O57" s="123"/>
      <c r="P57" s="123"/>
      <c r="Q57" s="123"/>
      <c r="R57" s="124"/>
      <c r="S57" s="123"/>
      <c r="T57" s="124"/>
      <c r="U57" s="123"/>
      <c r="V57" s="123"/>
      <c r="W57" s="123"/>
      <c r="X57" s="123"/>
      <c r="Y57" s="124"/>
      <c r="Z57" s="123"/>
      <c r="AA57" s="124"/>
      <c r="AB57" s="123"/>
      <c r="AC57" s="123"/>
      <c r="AD57" s="123"/>
      <c r="AE57" s="123"/>
      <c r="AF57" s="124"/>
      <c r="AG57" s="123"/>
      <c r="AH57" s="66">
        <f t="shared" si="3"/>
        <v>0</v>
      </c>
      <c r="AI57" s="68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69" t="str">
        <f t="shared" si="4"/>
        <v>兔子</v>
      </c>
      <c r="AK57" s="73"/>
    </row>
    <row r="58" spans="1:37" ht="18" customHeight="1">
      <c r="A58" s="95" t="s">
        <v>58</v>
      </c>
      <c r="B58" s="125" t="s">
        <v>69</v>
      </c>
      <c r="C58" s="123"/>
      <c r="D58" s="124"/>
      <c r="E58" s="123"/>
      <c r="F58" s="124"/>
      <c r="G58" s="123"/>
      <c r="H58" s="123"/>
      <c r="I58" s="123"/>
      <c r="J58" s="123"/>
      <c r="K58" s="124"/>
      <c r="L58" s="123"/>
      <c r="M58" s="124"/>
      <c r="N58" s="123"/>
      <c r="O58" s="123"/>
      <c r="P58" s="123"/>
      <c r="Q58" s="123"/>
      <c r="R58" s="124"/>
      <c r="S58" s="123"/>
      <c r="T58" s="124"/>
      <c r="U58" s="123"/>
      <c r="V58" s="123"/>
      <c r="W58" s="123"/>
      <c r="X58" s="123"/>
      <c r="Y58" s="124"/>
      <c r="Z58" s="123"/>
      <c r="AA58" s="124"/>
      <c r="AB58" s="123"/>
      <c r="AC58" s="123"/>
      <c r="AD58" s="123"/>
      <c r="AE58" s="123"/>
      <c r="AF58" s="124"/>
      <c r="AG58" s="123"/>
      <c r="AH58" s="66">
        <f t="shared" si="3"/>
        <v>0</v>
      </c>
      <c r="AI58" s="68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69" t="str">
        <f t="shared" si="4"/>
        <v>小馬</v>
      </c>
      <c r="AK58" s="73"/>
    </row>
    <row r="59" spans="1:37" ht="18" customHeight="1">
      <c r="A59" s="95" t="s">
        <v>58</v>
      </c>
      <c r="B59" s="125" t="s">
        <v>70</v>
      </c>
      <c r="C59" s="123"/>
      <c r="D59" s="124"/>
      <c r="E59" s="123"/>
      <c r="F59" s="124"/>
      <c r="G59" s="123"/>
      <c r="H59" s="123"/>
      <c r="I59" s="123"/>
      <c r="J59" s="123"/>
      <c r="K59" s="124"/>
      <c r="L59" s="123"/>
      <c r="M59" s="124"/>
      <c r="N59" s="123"/>
      <c r="O59" s="123"/>
      <c r="P59" s="123"/>
      <c r="Q59" s="123"/>
      <c r="R59" s="124"/>
      <c r="S59" s="123"/>
      <c r="T59" s="124"/>
      <c r="U59" s="123"/>
      <c r="V59" s="123"/>
      <c r="W59" s="123"/>
      <c r="X59" s="123"/>
      <c r="Y59" s="124"/>
      <c r="Z59" s="123"/>
      <c r="AA59" s="124"/>
      <c r="AB59" s="123"/>
      <c r="AC59" s="123"/>
      <c r="AD59" s="123"/>
      <c r="AE59" s="123"/>
      <c r="AF59" s="124"/>
      <c r="AG59" s="123"/>
      <c r="AH59" s="66">
        <f t="shared" si="3"/>
        <v>0</v>
      </c>
      <c r="AI59" s="68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69" t="str">
        <f t="shared" si="4"/>
        <v>Allen</v>
      </c>
      <c r="AK59" s="73"/>
    </row>
    <row r="60" spans="1:37" ht="18" customHeight="1">
      <c r="A60" s="95" t="s">
        <v>58</v>
      </c>
      <c r="B60" s="125" t="s">
        <v>71</v>
      </c>
      <c r="C60" s="123"/>
      <c r="D60" s="124"/>
      <c r="E60" s="123"/>
      <c r="F60" s="124"/>
      <c r="G60" s="123"/>
      <c r="H60" s="123"/>
      <c r="I60" s="123"/>
      <c r="J60" s="123"/>
      <c r="K60" s="124"/>
      <c r="L60" s="123"/>
      <c r="M60" s="124"/>
      <c r="N60" s="123"/>
      <c r="O60" s="123"/>
      <c r="P60" s="123"/>
      <c r="Q60" s="123"/>
      <c r="R60" s="124"/>
      <c r="S60" s="123"/>
      <c r="T60" s="124"/>
      <c r="U60" s="123"/>
      <c r="V60" s="123"/>
      <c r="W60" s="123"/>
      <c r="X60" s="123"/>
      <c r="Y60" s="124"/>
      <c r="Z60" s="123"/>
      <c r="AA60" s="124"/>
      <c r="AB60" s="123"/>
      <c r="AC60" s="123"/>
      <c r="AD60" s="123"/>
      <c r="AE60" s="123"/>
      <c r="AF60" s="124"/>
      <c r="AG60" s="123"/>
      <c r="AH60" s="66">
        <f t="shared" si="3"/>
        <v>0</v>
      </c>
      <c r="AI60" s="68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69" t="str">
        <f t="shared" si="4"/>
        <v>嘴嘴</v>
      </c>
      <c r="AK60" s="73"/>
    </row>
    <row r="61" spans="1:37" ht="18" customHeight="1">
      <c r="A61" s="95" t="s">
        <v>58</v>
      </c>
      <c r="B61" s="125" t="s">
        <v>74</v>
      </c>
      <c r="C61" s="123">
        <v>1</v>
      </c>
      <c r="D61" s="124"/>
      <c r="E61" s="123">
        <v>1</v>
      </c>
      <c r="F61" s="124"/>
      <c r="G61" s="123"/>
      <c r="H61" s="123"/>
      <c r="I61" s="123"/>
      <c r="J61" s="123"/>
      <c r="K61" s="124"/>
      <c r="L61" s="123">
        <v>1</v>
      </c>
      <c r="M61" s="124"/>
      <c r="N61" s="123"/>
      <c r="O61" s="123"/>
      <c r="P61" s="123"/>
      <c r="Q61" s="123"/>
      <c r="R61" s="124"/>
      <c r="S61" s="123">
        <v>1</v>
      </c>
      <c r="T61" s="124"/>
      <c r="U61" s="123"/>
      <c r="V61" s="123"/>
      <c r="W61" s="123"/>
      <c r="X61" s="123"/>
      <c r="Y61" s="124"/>
      <c r="Z61" s="123"/>
      <c r="AA61" s="124"/>
      <c r="AB61" s="123"/>
      <c r="AC61" s="123"/>
      <c r="AD61" s="123"/>
      <c r="AE61" s="123"/>
      <c r="AF61" s="124"/>
      <c r="AG61" s="123">
        <v>1</v>
      </c>
      <c r="AH61" s="66">
        <f t="shared" si="3"/>
        <v>5</v>
      </c>
      <c r="AI61" s="68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69" t="str">
        <f t="shared" si="4"/>
        <v>蘆葦</v>
      </c>
      <c r="AK61" s="73"/>
    </row>
    <row r="62" spans="1:37" ht="18" customHeight="1">
      <c r="A62" s="95" t="s">
        <v>58</v>
      </c>
      <c r="B62" s="125" t="s">
        <v>30</v>
      </c>
      <c r="C62" s="123">
        <v>1</v>
      </c>
      <c r="D62" s="124"/>
      <c r="E62" s="123"/>
      <c r="F62" s="124"/>
      <c r="G62" s="123"/>
      <c r="H62" s="123"/>
      <c r="I62" s="123"/>
      <c r="J62" s="123"/>
      <c r="K62" s="124"/>
      <c r="L62" s="123"/>
      <c r="M62" s="124"/>
      <c r="N62" s="123"/>
      <c r="O62" s="123"/>
      <c r="P62" s="123"/>
      <c r="Q62" s="123"/>
      <c r="R62" s="124"/>
      <c r="S62" s="123"/>
      <c r="T62" s="124"/>
      <c r="U62" s="123"/>
      <c r="V62" s="123"/>
      <c r="W62" s="123"/>
      <c r="X62" s="123"/>
      <c r="Y62" s="124"/>
      <c r="Z62" s="123"/>
      <c r="AA62" s="124"/>
      <c r="AB62" s="123"/>
      <c r="AC62" s="123"/>
      <c r="AD62" s="123"/>
      <c r="AE62" s="123"/>
      <c r="AF62" s="124"/>
      <c r="AG62" s="123"/>
      <c r="AH62" s="66">
        <f t="shared" si="3"/>
        <v>1</v>
      </c>
      <c r="AI62" s="68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69" t="str">
        <f t="shared" si="4"/>
        <v>鯰魚</v>
      </c>
      <c r="AK62" s="73"/>
    </row>
    <row r="63" spans="1:37" ht="18" customHeight="1">
      <c r="A63" s="95" t="s">
        <v>58</v>
      </c>
      <c r="B63" s="125" t="s">
        <v>31</v>
      </c>
      <c r="C63" s="123"/>
      <c r="D63" s="124"/>
      <c r="E63" s="123"/>
      <c r="F63" s="124"/>
      <c r="G63" s="123"/>
      <c r="H63" s="123"/>
      <c r="I63" s="123"/>
      <c r="J63" s="123"/>
      <c r="K63" s="124"/>
      <c r="L63" s="123"/>
      <c r="M63" s="124"/>
      <c r="N63" s="123"/>
      <c r="O63" s="123"/>
      <c r="P63" s="123"/>
      <c r="Q63" s="123"/>
      <c r="R63" s="124"/>
      <c r="S63" s="123"/>
      <c r="T63" s="124"/>
      <c r="U63" s="123"/>
      <c r="V63" s="123"/>
      <c r="W63" s="123"/>
      <c r="X63" s="123"/>
      <c r="Y63" s="124"/>
      <c r="Z63" s="123"/>
      <c r="AA63" s="124"/>
      <c r="AB63" s="123"/>
      <c r="AC63" s="123"/>
      <c r="AD63" s="123"/>
      <c r="AE63" s="123"/>
      <c r="AF63" s="124"/>
      <c r="AG63" s="123"/>
      <c r="AH63" s="66">
        <f t="shared" si="3"/>
        <v>0</v>
      </c>
      <c r="AI63" s="68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69" t="str">
        <f t="shared" si="4"/>
        <v>阿美</v>
      </c>
      <c r="AK63" s="73"/>
    </row>
    <row r="64" spans="1:37" ht="18" customHeight="1">
      <c r="A64" s="95" t="s">
        <v>58</v>
      </c>
      <c r="B64" s="125" t="s">
        <v>73</v>
      </c>
      <c r="C64" s="123"/>
      <c r="D64" s="124"/>
      <c r="E64" s="123"/>
      <c r="F64" s="124"/>
      <c r="G64" s="123"/>
      <c r="H64" s="123"/>
      <c r="I64" s="123"/>
      <c r="J64" s="123"/>
      <c r="K64" s="124"/>
      <c r="L64" s="123"/>
      <c r="M64" s="124"/>
      <c r="N64" s="123"/>
      <c r="O64" s="123"/>
      <c r="P64" s="123"/>
      <c r="Q64" s="123"/>
      <c r="R64" s="124"/>
      <c r="S64" s="123"/>
      <c r="T64" s="124"/>
      <c r="U64" s="123"/>
      <c r="V64" s="123"/>
      <c r="W64" s="123"/>
      <c r="X64" s="123"/>
      <c r="Y64" s="124"/>
      <c r="Z64" s="123"/>
      <c r="AA64" s="124"/>
      <c r="AB64" s="123"/>
      <c r="AC64" s="123"/>
      <c r="AD64" s="123"/>
      <c r="AE64" s="123"/>
      <c r="AF64" s="124"/>
      <c r="AG64" s="123"/>
      <c r="AH64" s="66">
        <f t="shared" si="3"/>
        <v>0</v>
      </c>
      <c r="AI64" s="68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69" t="str">
        <f t="shared" si="4"/>
        <v>冠軍</v>
      </c>
      <c r="AK64" s="73"/>
    </row>
    <row r="65" spans="1:37" ht="18" customHeight="1">
      <c r="A65" s="95" t="s">
        <v>58</v>
      </c>
      <c r="B65" s="125" t="s">
        <v>198</v>
      </c>
      <c r="C65" s="123">
        <v>1</v>
      </c>
      <c r="D65" s="124"/>
      <c r="E65" s="123"/>
      <c r="F65" s="124"/>
      <c r="G65" s="123"/>
      <c r="H65" s="123"/>
      <c r="I65" s="123"/>
      <c r="J65" s="123"/>
      <c r="K65" s="124"/>
      <c r="L65" s="123"/>
      <c r="M65" s="124"/>
      <c r="N65" s="123">
        <v>1</v>
      </c>
      <c r="O65" s="123"/>
      <c r="P65" s="123"/>
      <c r="Q65" s="123">
        <v>1</v>
      </c>
      <c r="R65" s="124"/>
      <c r="S65" s="123"/>
      <c r="T65" s="124"/>
      <c r="U65" s="123"/>
      <c r="V65" s="123"/>
      <c r="W65" s="123"/>
      <c r="X65" s="123">
        <v>1</v>
      </c>
      <c r="Y65" s="124"/>
      <c r="Z65" s="123"/>
      <c r="AA65" s="124"/>
      <c r="AB65" s="123"/>
      <c r="AC65" s="123"/>
      <c r="AD65" s="123"/>
      <c r="AE65" s="123"/>
      <c r="AF65" s="124"/>
      <c r="AG65" s="123">
        <v>1</v>
      </c>
      <c r="AH65" s="66">
        <f t="shared" si="3"/>
        <v>5</v>
      </c>
      <c r="AI65" s="68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69" t="str">
        <f t="shared" si="4"/>
        <v>郁翔</v>
      </c>
      <c r="AK65" s="73"/>
    </row>
    <row r="66" spans="1:37" ht="18" customHeight="1">
      <c r="A66" s="95" t="s">
        <v>58</v>
      </c>
      <c r="B66" s="125" t="s">
        <v>67</v>
      </c>
      <c r="C66" s="123"/>
      <c r="D66" s="124"/>
      <c r="E66" s="123"/>
      <c r="F66" s="124"/>
      <c r="G66" s="123"/>
      <c r="H66" s="123"/>
      <c r="I66" s="123"/>
      <c r="J66" s="123"/>
      <c r="K66" s="124"/>
      <c r="L66" s="123"/>
      <c r="M66" s="124"/>
      <c r="N66" s="123"/>
      <c r="O66" s="123"/>
      <c r="P66" s="123"/>
      <c r="Q66" s="123"/>
      <c r="R66" s="124"/>
      <c r="S66" s="123"/>
      <c r="T66" s="124"/>
      <c r="U66" s="123"/>
      <c r="V66" s="123"/>
      <c r="W66" s="123"/>
      <c r="X66" s="123"/>
      <c r="Y66" s="124"/>
      <c r="Z66" s="123"/>
      <c r="AA66" s="124"/>
      <c r="AB66" s="123"/>
      <c r="AC66" s="123"/>
      <c r="AD66" s="123"/>
      <c r="AE66" s="123"/>
      <c r="AF66" s="124"/>
      <c r="AG66" s="123"/>
      <c r="AH66" s="66">
        <f t="shared" si="3"/>
        <v>0</v>
      </c>
      <c r="AI66" s="68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69" t="str">
        <f t="shared" si="4"/>
        <v>歐吉</v>
      </c>
      <c r="AK66" s="73"/>
    </row>
    <row r="67" spans="1:37" ht="18" customHeight="1">
      <c r="A67" s="95" t="s">
        <v>58</v>
      </c>
      <c r="B67" s="125" t="s">
        <v>75</v>
      </c>
      <c r="C67" s="123"/>
      <c r="D67" s="124"/>
      <c r="E67" s="123"/>
      <c r="F67" s="124"/>
      <c r="G67" s="123"/>
      <c r="H67" s="123"/>
      <c r="I67" s="123"/>
      <c r="J67" s="123"/>
      <c r="K67" s="124"/>
      <c r="L67" s="123"/>
      <c r="M67" s="124"/>
      <c r="N67" s="123"/>
      <c r="O67" s="123"/>
      <c r="P67" s="123"/>
      <c r="Q67" s="123"/>
      <c r="R67" s="124"/>
      <c r="S67" s="123"/>
      <c r="T67" s="124"/>
      <c r="U67" s="123"/>
      <c r="V67" s="123"/>
      <c r="W67" s="123"/>
      <c r="X67" s="123"/>
      <c r="Y67" s="124"/>
      <c r="Z67" s="123"/>
      <c r="AA67" s="124"/>
      <c r="AB67" s="123"/>
      <c r="AC67" s="123"/>
      <c r="AD67" s="123"/>
      <c r="AE67" s="123"/>
      <c r="AF67" s="124"/>
      <c r="AG67" s="123"/>
      <c r="AH67" s="66">
        <f t="shared" si="3"/>
        <v>0</v>
      </c>
      <c r="AI67" s="68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69" t="str">
        <f t="shared" si="4"/>
        <v>叮噹</v>
      </c>
      <c r="AK67" s="73"/>
    </row>
    <row r="68" spans="1:37" ht="18" customHeight="1">
      <c r="A68" s="95" t="s">
        <v>58</v>
      </c>
      <c r="B68" s="125" t="s">
        <v>76</v>
      </c>
      <c r="C68" s="123"/>
      <c r="D68" s="124"/>
      <c r="E68" s="123"/>
      <c r="F68" s="124"/>
      <c r="G68" s="123"/>
      <c r="H68" s="123"/>
      <c r="I68" s="123"/>
      <c r="J68" s="123"/>
      <c r="K68" s="124"/>
      <c r="L68" s="123"/>
      <c r="M68" s="124"/>
      <c r="N68" s="123"/>
      <c r="O68" s="123"/>
      <c r="P68" s="123"/>
      <c r="Q68" s="123"/>
      <c r="R68" s="124"/>
      <c r="S68" s="123"/>
      <c r="T68" s="124"/>
      <c r="U68" s="123"/>
      <c r="V68" s="123"/>
      <c r="W68" s="123"/>
      <c r="X68" s="123"/>
      <c r="Y68" s="124"/>
      <c r="Z68" s="123"/>
      <c r="AA68" s="124"/>
      <c r="AB68" s="123"/>
      <c r="AC68" s="123"/>
      <c r="AD68" s="123"/>
      <c r="AE68" s="123"/>
      <c r="AF68" s="124"/>
      <c r="AG68" s="123"/>
      <c r="AH68" s="66">
        <f t="shared" ref="AH68:AH99" si="5">COUNTA(C68:AG68)</f>
        <v>0</v>
      </c>
      <c r="AI68" s="68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69" t="str">
        <f t="shared" ref="AJ68:AJ99" si="6">B68</f>
        <v>肥肥</v>
      </c>
      <c r="AK68" s="73"/>
    </row>
    <row r="69" spans="1:37" ht="18" customHeight="1">
      <c r="A69" s="95" t="s">
        <v>58</v>
      </c>
      <c r="B69" s="125" t="s">
        <v>77</v>
      </c>
      <c r="C69" s="123"/>
      <c r="D69" s="124"/>
      <c r="E69" s="123"/>
      <c r="F69" s="124"/>
      <c r="G69" s="123"/>
      <c r="H69" s="123"/>
      <c r="I69" s="123"/>
      <c r="J69" s="123"/>
      <c r="K69" s="124"/>
      <c r="L69" s="123"/>
      <c r="M69" s="124"/>
      <c r="N69" s="123"/>
      <c r="O69" s="123"/>
      <c r="P69" s="123"/>
      <c r="Q69" s="123"/>
      <c r="R69" s="124"/>
      <c r="S69" s="123"/>
      <c r="T69" s="124"/>
      <c r="U69" s="123"/>
      <c r="V69" s="123"/>
      <c r="W69" s="123"/>
      <c r="X69" s="123"/>
      <c r="Y69" s="124"/>
      <c r="Z69" s="123"/>
      <c r="AA69" s="124"/>
      <c r="AB69" s="123"/>
      <c r="AC69" s="123"/>
      <c r="AD69" s="123"/>
      <c r="AE69" s="123"/>
      <c r="AF69" s="124"/>
      <c r="AG69" s="123"/>
      <c r="AH69" s="66">
        <f t="shared" si="5"/>
        <v>0</v>
      </c>
      <c r="AI69" s="68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69" t="str">
        <f t="shared" si="6"/>
        <v>小夫</v>
      </c>
      <c r="AK69" s="73"/>
    </row>
    <row r="70" spans="1:37" ht="18" customHeight="1">
      <c r="A70" s="95" t="s">
        <v>58</v>
      </c>
      <c r="B70" s="125" t="s">
        <v>78</v>
      </c>
      <c r="C70" s="123"/>
      <c r="D70" s="124"/>
      <c r="E70" s="123"/>
      <c r="F70" s="124"/>
      <c r="G70" s="123"/>
      <c r="H70" s="123"/>
      <c r="I70" s="123"/>
      <c r="J70" s="123"/>
      <c r="K70" s="124"/>
      <c r="L70" s="123"/>
      <c r="M70" s="124"/>
      <c r="N70" s="123"/>
      <c r="O70" s="123"/>
      <c r="P70" s="123"/>
      <c r="Q70" s="123"/>
      <c r="R70" s="124"/>
      <c r="S70" s="123"/>
      <c r="T70" s="124"/>
      <c r="U70" s="123"/>
      <c r="V70" s="123"/>
      <c r="W70" s="123"/>
      <c r="X70" s="123"/>
      <c r="Y70" s="124"/>
      <c r="Z70" s="123"/>
      <c r="AA70" s="124"/>
      <c r="AB70" s="123"/>
      <c r="AC70" s="123"/>
      <c r="AD70" s="123"/>
      <c r="AE70" s="123"/>
      <c r="AF70" s="124"/>
      <c r="AG70" s="123"/>
      <c r="AH70" s="66">
        <f t="shared" si="5"/>
        <v>0</v>
      </c>
      <c r="AI70" s="68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69" t="str">
        <f t="shared" si="6"/>
        <v>小邱</v>
      </c>
      <c r="AK70" s="73"/>
    </row>
    <row r="71" spans="1:37" ht="18" customHeight="1">
      <c r="A71" s="95" t="s">
        <v>58</v>
      </c>
      <c r="B71" s="125" t="s">
        <v>79</v>
      </c>
      <c r="C71" s="123"/>
      <c r="D71" s="124"/>
      <c r="E71" s="123"/>
      <c r="F71" s="124"/>
      <c r="G71" s="123"/>
      <c r="H71" s="123"/>
      <c r="I71" s="123"/>
      <c r="J71" s="123"/>
      <c r="K71" s="124"/>
      <c r="L71" s="123"/>
      <c r="M71" s="124"/>
      <c r="N71" s="123"/>
      <c r="O71" s="123"/>
      <c r="P71" s="123"/>
      <c r="Q71" s="123"/>
      <c r="R71" s="124"/>
      <c r="S71" s="123"/>
      <c r="T71" s="124"/>
      <c r="U71" s="123"/>
      <c r="V71" s="123"/>
      <c r="W71" s="123"/>
      <c r="X71" s="123"/>
      <c r="Y71" s="124"/>
      <c r="Z71" s="123"/>
      <c r="AA71" s="124"/>
      <c r="AB71" s="123"/>
      <c r="AC71" s="123"/>
      <c r="AD71" s="123"/>
      <c r="AE71" s="123"/>
      <c r="AF71" s="124"/>
      <c r="AG71" s="123"/>
      <c r="AH71" s="66">
        <f t="shared" si="5"/>
        <v>0</v>
      </c>
      <c r="AI71" s="68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69" t="str">
        <f t="shared" si="6"/>
        <v>淳淳</v>
      </c>
      <c r="AK71" s="73"/>
    </row>
    <row r="72" spans="1:37" ht="18" customHeight="1">
      <c r="A72" s="95" t="s">
        <v>58</v>
      </c>
      <c r="B72" s="125" t="s">
        <v>80</v>
      </c>
      <c r="C72" s="123"/>
      <c r="D72" s="124"/>
      <c r="E72" s="123"/>
      <c r="F72" s="124"/>
      <c r="G72" s="123"/>
      <c r="H72" s="123"/>
      <c r="I72" s="123"/>
      <c r="J72" s="123"/>
      <c r="K72" s="124"/>
      <c r="L72" s="123"/>
      <c r="M72" s="124"/>
      <c r="N72" s="123"/>
      <c r="O72" s="123"/>
      <c r="P72" s="123"/>
      <c r="Q72" s="123"/>
      <c r="R72" s="124"/>
      <c r="S72" s="123"/>
      <c r="T72" s="124"/>
      <c r="U72" s="123"/>
      <c r="V72" s="123"/>
      <c r="W72" s="123"/>
      <c r="X72" s="123"/>
      <c r="Y72" s="124"/>
      <c r="Z72" s="123"/>
      <c r="AA72" s="124"/>
      <c r="AB72" s="123"/>
      <c r="AC72" s="123"/>
      <c r="AD72" s="123"/>
      <c r="AE72" s="123"/>
      <c r="AF72" s="124"/>
      <c r="AG72" s="123"/>
      <c r="AH72" s="66">
        <f t="shared" si="5"/>
        <v>0</v>
      </c>
      <c r="AI72" s="68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69" t="str">
        <f t="shared" si="6"/>
        <v>禿鷹</v>
      </c>
      <c r="AK72" s="73"/>
    </row>
    <row r="73" spans="1:37" ht="18" customHeight="1">
      <c r="A73" s="95" t="s">
        <v>58</v>
      </c>
      <c r="B73" s="125" t="s">
        <v>81</v>
      </c>
      <c r="C73" s="123"/>
      <c r="D73" s="124"/>
      <c r="E73" s="123"/>
      <c r="F73" s="124"/>
      <c r="G73" s="123"/>
      <c r="H73" s="123"/>
      <c r="I73" s="123"/>
      <c r="J73" s="123"/>
      <c r="K73" s="124"/>
      <c r="L73" s="123"/>
      <c r="M73" s="124"/>
      <c r="N73" s="123"/>
      <c r="O73" s="123"/>
      <c r="P73" s="123"/>
      <c r="Q73" s="123"/>
      <c r="R73" s="124"/>
      <c r="S73" s="123"/>
      <c r="T73" s="124"/>
      <c r="U73" s="123"/>
      <c r="V73" s="123"/>
      <c r="W73" s="123"/>
      <c r="X73" s="123"/>
      <c r="Y73" s="124"/>
      <c r="Z73" s="123"/>
      <c r="AA73" s="124"/>
      <c r="AB73" s="123"/>
      <c r="AC73" s="123"/>
      <c r="AD73" s="123"/>
      <c r="AE73" s="123"/>
      <c r="AF73" s="124"/>
      <c r="AG73" s="123"/>
      <c r="AH73" s="66">
        <f t="shared" si="5"/>
        <v>0</v>
      </c>
      <c r="AI73" s="68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69" t="str">
        <f t="shared" si="6"/>
        <v>王宏</v>
      </c>
      <c r="AK73" s="73"/>
    </row>
    <row r="74" spans="1:37" ht="18" customHeight="1">
      <c r="A74" s="95" t="s">
        <v>58</v>
      </c>
      <c r="B74" s="125" t="s">
        <v>82</v>
      </c>
      <c r="C74" s="123"/>
      <c r="D74" s="124"/>
      <c r="E74" s="123"/>
      <c r="F74" s="124"/>
      <c r="G74" s="123"/>
      <c r="H74" s="123"/>
      <c r="I74" s="123"/>
      <c r="J74" s="123"/>
      <c r="K74" s="124"/>
      <c r="L74" s="123"/>
      <c r="M74" s="124"/>
      <c r="N74" s="123"/>
      <c r="O74" s="123"/>
      <c r="P74" s="123"/>
      <c r="Q74" s="123"/>
      <c r="R74" s="124"/>
      <c r="S74" s="123"/>
      <c r="T74" s="124"/>
      <c r="U74" s="123"/>
      <c r="V74" s="123"/>
      <c r="W74" s="123"/>
      <c r="X74" s="123"/>
      <c r="Y74" s="124"/>
      <c r="Z74" s="123"/>
      <c r="AA74" s="124"/>
      <c r="AB74" s="123"/>
      <c r="AC74" s="123"/>
      <c r="AD74" s="123"/>
      <c r="AE74" s="123"/>
      <c r="AF74" s="124"/>
      <c r="AG74" s="123"/>
      <c r="AH74" s="66">
        <f t="shared" si="5"/>
        <v>0</v>
      </c>
      <c r="AI74" s="68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69" t="str">
        <f t="shared" si="6"/>
        <v>犀牛</v>
      </c>
      <c r="AK74" s="73"/>
    </row>
    <row r="75" spans="1:37" ht="18" customHeight="1">
      <c r="A75" s="95" t="s">
        <v>58</v>
      </c>
      <c r="B75" s="125" t="s">
        <v>83</v>
      </c>
      <c r="C75" s="123"/>
      <c r="D75" s="124"/>
      <c r="E75" s="123"/>
      <c r="F75" s="124"/>
      <c r="G75" s="123"/>
      <c r="H75" s="123"/>
      <c r="I75" s="123"/>
      <c r="J75" s="123"/>
      <c r="K75" s="124"/>
      <c r="L75" s="123"/>
      <c r="M75" s="124"/>
      <c r="N75" s="123"/>
      <c r="O75" s="123"/>
      <c r="P75" s="123"/>
      <c r="Q75" s="123"/>
      <c r="R75" s="124"/>
      <c r="S75" s="123"/>
      <c r="T75" s="124"/>
      <c r="U75" s="123"/>
      <c r="V75" s="123"/>
      <c r="W75" s="123"/>
      <c r="X75" s="123"/>
      <c r="Y75" s="124"/>
      <c r="Z75" s="123"/>
      <c r="AA75" s="124"/>
      <c r="AB75" s="123"/>
      <c r="AC75" s="123"/>
      <c r="AD75" s="123"/>
      <c r="AE75" s="123"/>
      <c r="AF75" s="124"/>
      <c r="AG75" s="123"/>
      <c r="AH75" s="66">
        <f t="shared" si="5"/>
        <v>0</v>
      </c>
      <c r="AI75" s="68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69" t="str">
        <f t="shared" si="6"/>
        <v>來福</v>
      </c>
      <c r="AK75" s="73"/>
    </row>
    <row r="76" spans="1:37" ht="18" customHeight="1">
      <c r="A76" s="95" t="s">
        <v>58</v>
      </c>
      <c r="B76" s="125" t="s">
        <v>84</v>
      </c>
      <c r="C76" s="123"/>
      <c r="D76" s="124"/>
      <c r="E76" s="123"/>
      <c r="F76" s="124"/>
      <c r="G76" s="123"/>
      <c r="H76" s="123"/>
      <c r="I76" s="123"/>
      <c r="J76" s="123"/>
      <c r="K76" s="124"/>
      <c r="L76" s="123"/>
      <c r="M76" s="124"/>
      <c r="N76" s="123"/>
      <c r="O76" s="123"/>
      <c r="P76" s="123"/>
      <c r="Q76" s="123"/>
      <c r="R76" s="124"/>
      <c r="S76" s="123"/>
      <c r="T76" s="124"/>
      <c r="U76" s="123"/>
      <c r="V76" s="123"/>
      <c r="W76" s="123"/>
      <c r="X76" s="123"/>
      <c r="Y76" s="124"/>
      <c r="Z76" s="123"/>
      <c r="AA76" s="124"/>
      <c r="AB76" s="123"/>
      <c r="AC76" s="123"/>
      <c r="AD76" s="123"/>
      <c r="AE76" s="123"/>
      <c r="AF76" s="124"/>
      <c r="AG76" s="123"/>
      <c r="AH76" s="66">
        <f t="shared" si="5"/>
        <v>0</v>
      </c>
      <c r="AI76" s="68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69" t="str">
        <f t="shared" si="6"/>
        <v>誌誌</v>
      </c>
      <c r="AK76" s="73"/>
    </row>
    <row r="77" spans="1:37" ht="18" customHeight="1">
      <c r="A77" s="95" t="s">
        <v>58</v>
      </c>
      <c r="B77" s="125" t="s">
        <v>86</v>
      </c>
      <c r="C77" s="123"/>
      <c r="D77" s="124"/>
      <c r="E77" s="123"/>
      <c r="F77" s="124"/>
      <c r="G77" s="123"/>
      <c r="H77" s="123"/>
      <c r="I77" s="123"/>
      <c r="J77" s="123"/>
      <c r="K77" s="124"/>
      <c r="L77" s="123"/>
      <c r="M77" s="124"/>
      <c r="N77" s="123"/>
      <c r="O77" s="123"/>
      <c r="P77" s="123"/>
      <c r="Q77" s="123"/>
      <c r="R77" s="124"/>
      <c r="S77" s="123"/>
      <c r="T77" s="124"/>
      <c r="U77" s="123"/>
      <c r="V77" s="123"/>
      <c r="W77" s="123"/>
      <c r="X77" s="123"/>
      <c r="Y77" s="124"/>
      <c r="Z77" s="123"/>
      <c r="AA77" s="124"/>
      <c r="AB77" s="123"/>
      <c r="AC77" s="123"/>
      <c r="AD77" s="123"/>
      <c r="AE77" s="123"/>
      <c r="AF77" s="124"/>
      <c r="AG77" s="123"/>
      <c r="AH77" s="66">
        <f t="shared" si="5"/>
        <v>0</v>
      </c>
      <c r="AI77" s="68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69" t="str">
        <f t="shared" si="6"/>
        <v>正誼</v>
      </c>
      <c r="AK77" s="73"/>
    </row>
    <row r="78" spans="1:37" ht="18" customHeight="1">
      <c r="A78" s="95" t="s">
        <v>58</v>
      </c>
      <c r="B78" s="125" t="s">
        <v>32</v>
      </c>
      <c r="C78" s="123"/>
      <c r="D78" s="124"/>
      <c r="E78" s="123"/>
      <c r="F78" s="124"/>
      <c r="G78" s="123"/>
      <c r="H78" s="123"/>
      <c r="I78" s="123"/>
      <c r="J78" s="123"/>
      <c r="K78" s="124"/>
      <c r="L78" s="123"/>
      <c r="M78" s="124"/>
      <c r="N78" s="123"/>
      <c r="O78" s="123"/>
      <c r="P78" s="123"/>
      <c r="Q78" s="123"/>
      <c r="R78" s="124"/>
      <c r="S78" s="123"/>
      <c r="T78" s="124"/>
      <c r="U78" s="123"/>
      <c r="V78" s="123"/>
      <c r="W78" s="123"/>
      <c r="X78" s="123"/>
      <c r="Y78" s="124"/>
      <c r="Z78" s="123"/>
      <c r="AA78" s="124"/>
      <c r="AB78" s="123"/>
      <c r="AC78" s="123"/>
      <c r="AD78" s="123"/>
      <c r="AE78" s="123"/>
      <c r="AF78" s="124"/>
      <c r="AG78" s="123"/>
      <c r="AH78" s="66">
        <f t="shared" si="5"/>
        <v>0</v>
      </c>
      <c r="AI78" s="68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69" t="str">
        <f t="shared" si="6"/>
        <v>小翔</v>
      </c>
      <c r="AK78" s="73"/>
    </row>
    <row r="79" spans="1:37" ht="18" customHeight="1">
      <c r="A79" s="95" t="s">
        <v>58</v>
      </c>
      <c r="B79" s="125" t="s">
        <v>179</v>
      </c>
      <c r="C79" s="123"/>
      <c r="D79" s="124"/>
      <c r="E79" s="123"/>
      <c r="F79" s="124"/>
      <c r="G79" s="123"/>
      <c r="H79" s="123"/>
      <c r="I79" s="123"/>
      <c r="J79" s="123"/>
      <c r="K79" s="124"/>
      <c r="L79" s="123"/>
      <c r="M79" s="124"/>
      <c r="N79" s="123"/>
      <c r="O79" s="123"/>
      <c r="P79" s="123"/>
      <c r="Q79" s="123"/>
      <c r="R79" s="124"/>
      <c r="S79" s="123"/>
      <c r="T79" s="124"/>
      <c r="U79" s="123"/>
      <c r="V79" s="123"/>
      <c r="W79" s="123"/>
      <c r="X79" s="123"/>
      <c r="Y79" s="124"/>
      <c r="Z79" s="123"/>
      <c r="AA79" s="124"/>
      <c r="AB79" s="123"/>
      <c r="AC79" s="123"/>
      <c r="AD79" s="123">
        <v>1</v>
      </c>
      <c r="AE79" s="123"/>
      <c r="AF79" s="124"/>
      <c r="AG79" s="123"/>
      <c r="AH79" s="66">
        <f t="shared" si="5"/>
        <v>1</v>
      </c>
      <c r="AI79" s="68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69" t="str">
        <f t="shared" si="6"/>
        <v>玹玹</v>
      </c>
      <c r="AK79" s="73"/>
    </row>
    <row r="80" spans="1:37" ht="18" customHeight="1">
      <c r="A80" s="95" t="s">
        <v>58</v>
      </c>
      <c r="B80" s="125" t="s">
        <v>85</v>
      </c>
      <c r="C80" s="123"/>
      <c r="D80" s="124"/>
      <c r="E80" s="123"/>
      <c r="F80" s="124"/>
      <c r="G80" s="123"/>
      <c r="H80" s="123"/>
      <c r="I80" s="123"/>
      <c r="J80" s="123"/>
      <c r="K80" s="124"/>
      <c r="L80" s="123"/>
      <c r="M80" s="124"/>
      <c r="N80" s="123"/>
      <c r="O80" s="123"/>
      <c r="P80" s="123"/>
      <c r="Q80" s="123"/>
      <c r="R80" s="124"/>
      <c r="S80" s="123"/>
      <c r="T80" s="124"/>
      <c r="U80" s="123"/>
      <c r="V80" s="123"/>
      <c r="W80" s="123"/>
      <c r="X80" s="123"/>
      <c r="Y80" s="124"/>
      <c r="Z80" s="123"/>
      <c r="AA80" s="124"/>
      <c r="AB80" s="123"/>
      <c r="AC80" s="123"/>
      <c r="AD80" s="123"/>
      <c r="AE80" s="123"/>
      <c r="AF80" s="124"/>
      <c r="AG80" s="123"/>
      <c r="AH80" s="66">
        <f t="shared" si="5"/>
        <v>0</v>
      </c>
      <c r="AI80" s="68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69" t="str">
        <f t="shared" si="6"/>
        <v>阿璽</v>
      </c>
      <c r="AK80" s="73"/>
    </row>
    <row r="81" spans="1:37" ht="18" customHeight="1">
      <c r="A81" s="95" t="s">
        <v>58</v>
      </c>
      <c r="B81" s="125" t="s">
        <v>33</v>
      </c>
      <c r="C81" s="123"/>
      <c r="D81" s="124"/>
      <c r="E81" s="123"/>
      <c r="F81" s="124"/>
      <c r="G81" s="123"/>
      <c r="H81" s="123"/>
      <c r="I81" s="123"/>
      <c r="J81" s="123"/>
      <c r="K81" s="124"/>
      <c r="L81" s="123"/>
      <c r="M81" s="124"/>
      <c r="N81" s="123"/>
      <c r="O81" s="123"/>
      <c r="P81" s="123"/>
      <c r="Q81" s="123"/>
      <c r="R81" s="124"/>
      <c r="S81" s="123"/>
      <c r="T81" s="124"/>
      <c r="U81" s="123"/>
      <c r="V81" s="123"/>
      <c r="W81" s="123"/>
      <c r="X81" s="123"/>
      <c r="Y81" s="124"/>
      <c r="Z81" s="123"/>
      <c r="AA81" s="124"/>
      <c r="AB81" s="123"/>
      <c r="AC81" s="123"/>
      <c r="AD81" s="123"/>
      <c r="AE81" s="123"/>
      <c r="AF81" s="124"/>
      <c r="AG81" s="123"/>
      <c r="AH81" s="66">
        <f t="shared" si="5"/>
        <v>0</v>
      </c>
      <c r="AI81" s="68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69" t="str">
        <f t="shared" si="6"/>
        <v>一飛</v>
      </c>
      <c r="AK81" s="73"/>
    </row>
    <row r="82" spans="1:37" ht="18" customHeight="1">
      <c r="A82" s="95" t="s">
        <v>58</v>
      </c>
      <c r="B82" s="125" t="s">
        <v>34</v>
      </c>
      <c r="C82" s="123"/>
      <c r="D82" s="124"/>
      <c r="E82" s="123"/>
      <c r="F82" s="124"/>
      <c r="G82" s="123">
        <v>1</v>
      </c>
      <c r="H82" s="123"/>
      <c r="I82" s="123"/>
      <c r="J82" s="123"/>
      <c r="K82" s="124"/>
      <c r="L82" s="123"/>
      <c r="M82" s="124"/>
      <c r="N82" s="123"/>
      <c r="O82" s="123"/>
      <c r="P82" s="123"/>
      <c r="Q82" s="123"/>
      <c r="R82" s="124"/>
      <c r="S82" s="123"/>
      <c r="T82" s="124"/>
      <c r="U82" s="123"/>
      <c r="V82" s="123"/>
      <c r="W82" s="123"/>
      <c r="X82" s="123"/>
      <c r="Y82" s="124"/>
      <c r="Z82" s="123"/>
      <c r="AA82" s="124"/>
      <c r="AB82" s="123"/>
      <c r="AC82" s="123"/>
      <c r="AD82" s="123"/>
      <c r="AE82" s="123"/>
      <c r="AF82" s="124"/>
      <c r="AG82" s="123"/>
      <c r="AH82" s="66">
        <f t="shared" si="5"/>
        <v>1</v>
      </c>
      <c r="AI82" s="68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69" t="str">
        <f t="shared" si="6"/>
        <v>雲翔</v>
      </c>
      <c r="AK82" s="70"/>
    </row>
    <row r="83" spans="1:37" ht="18" customHeight="1">
      <c r="A83" s="95" t="s">
        <v>58</v>
      </c>
      <c r="B83" s="125" t="s">
        <v>88</v>
      </c>
      <c r="C83" s="123"/>
      <c r="D83" s="124"/>
      <c r="E83" s="123"/>
      <c r="F83" s="124"/>
      <c r="G83" s="123"/>
      <c r="H83" s="123"/>
      <c r="I83" s="123"/>
      <c r="J83" s="123"/>
      <c r="K83" s="124"/>
      <c r="L83" s="123"/>
      <c r="M83" s="124"/>
      <c r="N83" s="123"/>
      <c r="O83" s="123"/>
      <c r="P83" s="123"/>
      <c r="Q83" s="123"/>
      <c r="R83" s="124"/>
      <c r="S83" s="123"/>
      <c r="T83" s="124"/>
      <c r="U83" s="123"/>
      <c r="V83" s="123"/>
      <c r="W83" s="123"/>
      <c r="X83" s="123"/>
      <c r="Y83" s="124"/>
      <c r="Z83" s="123"/>
      <c r="AA83" s="124"/>
      <c r="AB83" s="123"/>
      <c r="AC83" s="123"/>
      <c r="AD83" s="123"/>
      <c r="AE83" s="123"/>
      <c r="AF83" s="124"/>
      <c r="AG83" s="123"/>
      <c r="AH83" s="66">
        <f t="shared" si="5"/>
        <v>0</v>
      </c>
      <c r="AI83" s="68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69" t="str">
        <f t="shared" si="6"/>
        <v>皓皓</v>
      </c>
      <c r="AK83" s="70"/>
    </row>
    <row r="84" spans="1:37" ht="18" customHeight="1">
      <c r="A84" s="95" t="s">
        <v>58</v>
      </c>
      <c r="B84" s="125" t="s">
        <v>35</v>
      </c>
      <c r="C84" s="123"/>
      <c r="D84" s="124"/>
      <c r="E84" s="123"/>
      <c r="F84" s="124"/>
      <c r="G84" s="123"/>
      <c r="H84" s="123"/>
      <c r="I84" s="123"/>
      <c r="J84" s="123"/>
      <c r="K84" s="124"/>
      <c r="L84" s="123"/>
      <c r="M84" s="124"/>
      <c r="N84" s="123"/>
      <c r="O84" s="123"/>
      <c r="P84" s="123"/>
      <c r="Q84" s="123"/>
      <c r="R84" s="124"/>
      <c r="S84" s="123"/>
      <c r="T84" s="124"/>
      <c r="U84" s="123"/>
      <c r="V84" s="123"/>
      <c r="W84" s="123"/>
      <c r="X84" s="123"/>
      <c r="Y84" s="124"/>
      <c r="Z84" s="123"/>
      <c r="AA84" s="124"/>
      <c r="AB84" s="123"/>
      <c r="AC84" s="123"/>
      <c r="AD84" s="123"/>
      <c r="AE84" s="123"/>
      <c r="AF84" s="124"/>
      <c r="AG84" s="123"/>
      <c r="AH84" s="66">
        <f t="shared" si="5"/>
        <v>0</v>
      </c>
      <c r="AI84" s="68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69" t="str">
        <f t="shared" si="6"/>
        <v>阿戴</v>
      </c>
      <c r="AK84" s="70"/>
    </row>
    <row r="85" spans="1:37" ht="18" customHeight="1">
      <c r="A85" s="95" t="s">
        <v>58</v>
      </c>
      <c r="B85" s="125" t="s">
        <v>36</v>
      </c>
      <c r="C85" s="123">
        <v>1</v>
      </c>
      <c r="D85" s="124"/>
      <c r="E85" s="123"/>
      <c r="F85" s="124"/>
      <c r="G85" s="123"/>
      <c r="H85" s="123"/>
      <c r="I85" s="123"/>
      <c r="J85" s="123"/>
      <c r="K85" s="124"/>
      <c r="L85" s="123"/>
      <c r="M85" s="124"/>
      <c r="N85" s="123"/>
      <c r="O85" s="123"/>
      <c r="P85" s="123"/>
      <c r="Q85" s="123"/>
      <c r="R85" s="124"/>
      <c r="S85" s="123"/>
      <c r="T85" s="124"/>
      <c r="U85" s="123"/>
      <c r="V85" s="123"/>
      <c r="W85" s="123"/>
      <c r="X85" s="123"/>
      <c r="Y85" s="124"/>
      <c r="Z85" s="123"/>
      <c r="AA85" s="124"/>
      <c r="AB85" s="123"/>
      <c r="AC85" s="123"/>
      <c r="AD85" s="123"/>
      <c r="AE85" s="123"/>
      <c r="AF85" s="124"/>
      <c r="AG85" s="123"/>
      <c r="AH85" s="66">
        <f t="shared" si="5"/>
        <v>1</v>
      </c>
      <c r="AI85" s="68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69" t="str">
        <f t="shared" si="6"/>
        <v>子澔</v>
      </c>
      <c r="AK85" s="70"/>
    </row>
    <row r="86" spans="1:37" ht="18" customHeight="1">
      <c r="A86" s="95" t="s">
        <v>58</v>
      </c>
      <c r="B86" s="125" t="s">
        <v>37</v>
      </c>
      <c r="C86" s="123"/>
      <c r="D86" s="124"/>
      <c r="E86" s="123"/>
      <c r="F86" s="124"/>
      <c r="G86" s="123">
        <v>1</v>
      </c>
      <c r="H86" s="123"/>
      <c r="I86" s="123"/>
      <c r="J86" s="123">
        <v>1</v>
      </c>
      <c r="K86" s="124"/>
      <c r="L86" s="123"/>
      <c r="M86" s="124"/>
      <c r="N86" s="123"/>
      <c r="O86" s="123"/>
      <c r="P86" s="123"/>
      <c r="Q86" s="123"/>
      <c r="R86" s="124"/>
      <c r="S86" s="123"/>
      <c r="T86" s="124"/>
      <c r="U86" s="123">
        <v>1</v>
      </c>
      <c r="V86" s="123"/>
      <c r="W86" s="123"/>
      <c r="X86" s="123"/>
      <c r="Y86" s="124"/>
      <c r="Z86" s="123"/>
      <c r="AA86" s="124"/>
      <c r="AB86" s="123"/>
      <c r="AC86" s="123"/>
      <c r="AD86" s="123"/>
      <c r="AE86" s="123"/>
      <c r="AF86" s="124"/>
      <c r="AG86" s="123"/>
      <c r="AH86" s="66">
        <f t="shared" si="5"/>
        <v>3</v>
      </c>
      <c r="AI86" s="68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69" t="str">
        <f t="shared" si="6"/>
        <v>魚仔</v>
      </c>
      <c r="AK86" s="70"/>
    </row>
    <row r="87" spans="1:37" ht="18" customHeight="1">
      <c r="A87" s="95" t="s">
        <v>58</v>
      </c>
      <c r="B87" s="125" t="s">
        <v>87</v>
      </c>
      <c r="C87" s="123">
        <v>1</v>
      </c>
      <c r="D87" s="124"/>
      <c r="E87" s="123"/>
      <c r="F87" s="124"/>
      <c r="G87" s="123">
        <v>1</v>
      </c>
      <c r="H87" s="123"/>
      <c r="I87" s="123"/>
      <c r="J87" s="123">
        <v>1</v>
      </c>
      <c r="K87" s="124"/>
      <c r="L87" s="123"/>
      <c r="M87" s="124"/>
      <c r="N87" s="123"/>
      <c r="O87" s="123"/>
      <c r="P87" s="123"/>
      <c r="Q87" s="123">
        <v>1</v>
      </c>
      <c r="R87" s="124"/>
      <c r="S87" s="123"/>
      <c r="T87" s="124"/>
      <c r="U87" s="123"/>
      <c r="V87" s="123"/>
      <c r="W87" s="123"/>
      <c r="X87" s="123">
        <v>1</v>
      </c>
      <c r="Y87" s="124"/>
      <c r="Z87" s="123"/>
      <c r="AA87" s="124"/>
      <c r="AB87" s="123"/>
      <c r="AC87" s="123"/>
      <c r="AD87" s="123"/>
      <c r="AE87" s="123">
        <v>1</v>
      </c>
      <c r="AF87" s="124"/>
      <c r="AG87" s="123"/>
      <c r="AH87" s="66">
        <f t="shared" si="5"/>
        <v>6</v>
      </c>
      <c r="AI87" s="68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69" t="str">
        <f t="shared" si="6"/>
        <v>Mango</v>
      </c>
      <c r="AK87" s="70"/>
    </row>
    <row r="88" spans="1:37" ht="18" customHeight="1">
      <c r="A88" s="95" t="s">
        <v>58</v>
      </c>
      <c r="B88" s="125" t="s">
        <v>38</v>
      </c>
      <c r="C88" s="123"/>
      <c r="D88" s="124"/>
      <c r="E88" s="123"/>
      <c r="F88" s="124"/>
      <c r="G88" s="123"/>
      <c r="H88" s="123">
        <v>1</v>
      </c>
      <c r="I88" s="123"/>
      <c r="J88" s="123"/>
      <c r="K88" s="124"/>
      <c r="L88" s="123"/>
      <c r="M88" s="124"/>
      <c r="N88" s="123"/>
      <c r="O88" s="123"/>
      <c r="P88" s="123"/>
      <c r="Q88" s="123"/>
      <c r="R88" s="124"/>
      <c r="S88" s="123"/>
      <c r="T88" s="124"/>
      <c r="U88" s="123"/>
      <c r="V88" s="123"/>
      <c r="W88" s="123"/>
      <c r="X88" s="123"/>
      <c r="Y88" s="124"/>
      <c r="Z88" s="123"/>
      <c r="AA88" s="124"/>
      <c r="AB88" s="123"/>
      <c r="AC88" s="123"/>
      <c r="AD88" s="123"/>
      <c r="AE88" s="123"/>
      <c r="AF88" s="124"/>
      <c r="AG88" s="123"/>
      <c r="AH88" s="66">
        <f t="shared" si="5"/>
        <v>1</v>
      </c>
      <c r="AI88" s="68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69" t="str">
        <f t="shared" si="6"/>
        <v>阿龍</v>
      </c>
      <c r="AK88" s="70"/>
    </row>
    <row r="89" spans="1:37" ht="18" customHeight="1">
      <c r="A89" s="99" t="s">
        <v>58</v>
      </c>
      <c r="B89" s="131" t="s">
        <v>151</v>
      </c>
      <c r="C89" s="133"/>
      <c r="D89" s="124"/>
      <c r="E89" s="133">
        <v>1</v>
      </c>
      <c r="F89" s="124"/>
      <c r="G89" s="133">
        <v>1</v>
      </c>
      <c r="H89" s="133">
        <v>1</v>
      </c>
      <c r="I89" s="133">
        <v>1</v>
      </c>
      <c r="J89" s="133"/>
      <c r="K89" s="124"/>
      <c r="L89" s="133">
        <v>1</v>
      </c>
      <c r="M89" s="124"/>
      <c r="N89" s="133">
        <v>1</v>
      </c>
      <c r="O89" s="133"/>
      <c r="P89" s="133"/>
      <c r="Q89" s="133"/>
      <c r="R89" s="124"/>
      <c r="S89" s="133"/>
      <c r="T89" s="124"/>
      <c r="U89" s="133">
        <v>1</v>
      </c>
      <c r="V89" s="133">
        <v>1</v>
      </c>
      <c r="W89" s="133"/>
      <c r="X89" s="133"/>
      <c r="Y89" s="124"/>
      <c r="Z89" s="133"/>
      <c r="AA89" s="124"/>
      <c r="AB89" s="133">
        <v>1</v>
      </c>
      <c r="AC89" s="133"/>
      <c r="AD89" s="133"/>
      <c r="AE89" s="133"/>
      <c r="AF89" s="124"/>
      <c r="AG89" s="133">
        <v>1</v>
      </c>
      <c r="AH89" s="77">
        <f t="shared" si="5"/>
        <v>10</v>
      </c>
      <c r="AI89" s="98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79" t="str">
        <f t="shared" si="6"/>
        <v>宇嬅</v>
      </c>
      <c r="AK89" s="82"/>
    </row>
    <row r="90" spans="1:37" ht="18" customHeight="1">
      <c r="A90" s="99" t="s">
        <v>58</v>
      </c>
      <c r="B90" s="131" t="s">
        <v>152</v>
      </c>
      <c r="C90" s="133"/>
      <c r="D90" s="124"/>
      <c r="E90" s="133"/>
      <c r="F90" s="124"/>
      <c r="G90" s="133"/>
      <c r="H90" s="133"/>
      <c r="I90" s="133"/>
      <c r="J90" s="133"/>
      <c r="K90" s="124"/>
      <c r="L90" s="133"/>
      <c r="M90" s="124"/>
      <c r="N90" s="133"/>
      <c r="O90" s="133"/>
      <c r="P90" s="133"/>
      <c r="Q90" s="133"/>
      <c r="R90" s="124"/>
      <c r="S90" s="133"/>
      <c r="T90" s="124"/>
      <c r="U90" s="133"/>
      <c r="V90" s="133"/>
      <c r="W90" s="133"/>
      <c r="X90" s="133"/>
      <c r="Y90" s="124"/>
      <c r="Z90" s="133"/>
      <c r="AA90" s="124"/>
      <c r="AB90" s="133"/>
      <c r="AC90" s="133"/>
      <c r="AD90" s="133"/>
      <c r="AE90" s="133"/>
      <c r="AF90" s="124"/>
      <c r="AG90" s="133"/>
      <c r="AH90" s="77">
        <f t="shared" si="5"/>
        <v>0</v>
      </c>
      <c r="AI90" s="98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79" t="str">
        <f t="shared" si="6"/>
        <v>阿俗</v>
      </c>
      <c r="AK90" s="81"/>
    </row>
    <row r="91" spans="1:37" ht="18" customHeight="1">
      <c r="A91" s="99" t="s">
        <v>58</v>
      </c>
      <c r="B91" s="131" t="s">
        <v>153</v>
      </c>
      <c r="C91" s="133">
        <v>1</v>
      </c>
      <c r="D91" s="124"/>
      <c r="E91" s="133"/>
      <c r="F91" s="124"/>
      <c r="G91" s="133"/>
      <c r="H91" s="133"/>
      <c r="I91" s="133"/>
      <c r="J91" s="133"/>
      <c r="K91" s="124"/>
      <c r="L91" s="133"/>
      <c r="M91" s="124"/>
      <c r="N91" s="133"/>
      <c r="O91" s="133"/>
      <c r="P91" s="133"/>
      <c r="Q91" s="133"/>
      <c r="R91" s="124"/>
      <c r="S91" s="133"/>
      <c r="T91" s="124"/>
      <c r="U91" s="133"/>
      <c r="V91" s="133"/>
      <c r="W91" s="133"/>
      <c r="X91" s="133">
        <v>1</v>
      </c>
      <c r="Y91" s="124"/>
      <c r="Z91" s="133"/>
      <c r="AA91" s="124"/>
      <c r="AB91" s="133"/>
      <c r="AC91" s="133">
        <v>1</v>
      </c>
      <c r="AD91" s="133"/>
      <c r="AE91" s="133"/>
      <c r="AF91" s="124"/>
      <c r="AG91" s="133"/>
      <c r="AH91" s="77">
        <f t="shared" si="5"/>
        <v>3</v>
      </c>
      <c r="AI91" s="98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79" t="str">
        <f t="shared" si="6"/>
        <v>傻妹</v>
      </c>
      <c r="AK91" s="81"/>
    </row>
    <row r="92" spans="1:37" ht="18" customHeight="1">
      <c r="A92" s="99" t="s">
        <v>58</v>
      </c>
      <c r="B92" s="131" t="s">
        <v>96</v>
      </c>
      <c r="C92" s="133">
        <v>1</v>
      </c>
      <c r="D92" s="124"/>
      <c r="E92" s="133"/>
      <c r="F92" s="124"/>
      <c r="G92" s="133"/>
      <c r="H92" s="133"/>
      <c r="I92" s="133"/>
      <c r="J92" s="133">
        <v>1</v>
      </c>
      <c r="K92" s="124"/>
      <c r="L92" s="133">
        <v>1</v>
      </c>
      <c r="M92" s="124"/>
      <c r="N92" s="133">
        <v>1</v>
      </c>
      <c r="O92" s="133"/>
      <c r="P92" s="133"/>
      <c r="Q92" s="133">
        <v>1</v>
      </c>
      <c r="R92" s="124"/>
      <c r="S92" s="133"/>
      <c r="T92" s="124"/>
      <c r="U92" s="133">
        <v>1</v>
      </c>
      <c r="V92" s="133"/>
      <c r="W92" s="133"/>
      <c r="X92" s="133">
        <v>1</v>
      </c>
      <c r="Y92" s="124"/>
      <c r="Z92" s="133"/>
      <c r="AA92" s="124"/>
      <c r="AB92" s="133">
        <v>1</v>
      </c>
      <c r="AC92" s="133"/>
      <c r="AD92" s="133"/>
      <c r="AE92" s="133">
        <v>1</v>
      </c>
      <c r="AF92" s="124"/>
      <c r="AG92" s="133"/>
      <c r="AH92" s="77">
        <f t="shared" si="5"/>
        <v>9</v>
      </c>
      <c r="AI92" s="98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79" t="str">
        <f t="shared" si="6"/>
        <v>靜婷</v>
      </c>
      <c r="AK92" s="81"/>
    </row>
    <row r="93" spans="1:37" ht="18" customHeight="1">
      <c r="A93" s="99" t="s">
        <v>58</v>
      </c>
      <c r="B93" s="131" t="s">
        <v>154</v>
      </c>
      <c r="C93" s="133"/>
      <c r="D93" s="124"/>
      <c r="E93" s="133"/>
      <c r="F93" s="124"/>
      <c r="G93" s="133"/>
      <c r="H93" s="133"/>
      <c r="I93" s="133"/>
      <c r="J93" s="133"/>
      <c r="K93" s="124"/>
      <c r="L93" s="133"/>
      <c r="M93" s="124"/>
      <c r="N93" s="133"/>
      <c r="O93" s="133"/>
      <c r="P93" s="133"/>
      <c r="Q93" s="133"/>
      <c r="R93" s="124"/>
      <c r="S93" s="133">
        <v>1</v>
      </c>
      <c r="T93" s="124"/>
      <c r="U93" s="133"/>
      <c r="V93" s="133"/>
      <c r="W93" s="133"/>
      <c r="X93" s="133"/>
      <c r="Y93" s="124"/>
      <c r="Z93" s="133"/>
      <c r="AA93" s="124"/>
      <c r="AB93" s="133"/>
      <c r="AC93" s="133"/>
      <c r="AD93" s="133"/>
      <c r="AE93" s="133"/>
      <c r="AF93" s="124"/>
      <c r="AG93" s="133"/>
      <c r="AH93" s="77">
        <f t="shared" si="5"/>
        <v>1</v>
      </c>
      <c r="AI93" s="98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79" t="str">
        <f t="shared" si="6"/>
        <v>筱攸</v>
      </c>
      <c r="AK93" s="81"/>
    </row>
    <row r="94" spans="1:37" ht="18" customHeight="1">
      <c r="A94" s="99" t="s">
        <v>58</v>
      </c>
      <c r="B94" s="131" t="s">
        <v>155</v>
      </c>
      <c r="C94" s="133"/>
      <c r="D94" s="124"/>
      <c r="E94" s="133"/>
      <c r="F94" s="124"/>
      <c r="G94" s="133"/>
      <c r="H94" s="133"/>
      <c r="I94" s="133"/>
      <c r="J94" s="133"/>
      <c r="K94" s="124"/>
      <c r="L94" s="133"/>
      <c r="M94" s="124"/>
      <c r="N94" s="133"/>
      <c r="O94" s="133"/>
      <c r="P94" s="133"/>
      <c r="Q94" s="133"/>
      <c r="R94" s="124"/>
      <c r="S94" s="133"/>
      <c r="T94" s="124"/>
      <c r="U94" s="133"/>
      <c r="V94" s="133"/>
      <c r="W94" s="133"/>
      <c r="X94" s="133"/>
      <c r="Y94" s="124"/>
      <c r="Z94" s="133"/>
      <c r="AA94" s="124"/>
      <c r="AB94" s="133"/>
      <c r="AC94" s="133"/>
      <c r="AD94" s="133"/>
      <c r="AE94" s="133"/>
      <c r="AF94" s="124"/>
      <c r="AG94" s="133"/>
      <c r="AH94" s="77">
        <f t="shared" si="5"/>
        <v>0</v>
      </c>
      <c r="AI94" s="98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79" t="str">
        <f t="shared" si="6"/>
        <v>康康</v>
      </c>
      <c r="AK94" s="81"/>
    </row>
    <row r="95" spans="1:37" ht="18" customHeight="1">
      <c r="A95" s="99" t="s">
        <v>58</v>
      </c>
      <c r="B95" s="131" t="s">
        <v>156</v>
      </c>
      <c r="C95" s="133"/>
      <c r="D95" s="124"/>
      <c r="E95" s="133"/>
      <c r="F95" s="124"/>
      <c r="G95" s="133"/>
      <c r="H95" s="133"/>
      <c r="I95" s="133"/>
      <c r="J95" s="133"/>
      <c r="K95" s="124"/>
      <c r="L95" s="133"/>
      <c r="M95" s="124"/>
      <c r="N95" s="133"/>
      <c r="O95" s="133"/>
      <c r="P95" s="133"/>
      <c r="Q95" s="133"/>
      <c r="R95" s="124"/>
      <c r="S95" s="133"/>
      <c r="T95" s="124"/>
      <c r="U95" s="133"/>
      <c r="V95" s="133"/>
      <c r="W95" s="133"/>
      <c r="X95" s="133"/>
      <c r="Y95" s="124"/>
      <c r="Z95" s="133"/>
      <c r="AA95" s="124"/>
      <c r="AB95" s="133"/>
      <c r="AC95" s="133"/>
      <c r="AD95" s="133"/>
      <c r="AE95" s="133"/>
      <c r="AF95" s="124"/>
      <c r="AG95" s="133"/>
      <c r="AH95" s="77">
        <f t="shared" si="5"/>
        <v>0</v>
      </c>
      <c r="AI95" s="98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79" t="str">
        <f t="shared" si="6"/>
        <v>阿金</v>
      </c>
      <c r="AK95" s="81"/>
    </row>
    <row r="96" spans="1:37" ht="18" customHeight="1">
      <c r="A96" s="99" t="s">
        <v>58</v>
      </c>
      <c r="B96" s="131" t="s">
        <v>157</v>
      </c>
      <c r="C96" s="133"/>
      <c r="D96" s="124"/>
      <c r="E96" s="133"/>
      <c r="F96" s="124"/>
      <c r="G96" s="133"/>
      <c r="H96" s="133"/>
      <c r="I96" s="133"/>
      <c r="J96" s="133"/>
      <c r="K96" s="124"/>
      <c r="L96" s="133"/>
      <c r="M96" s="124"/>
      <c r="N96" s="133"/>
      <c r="O96" s="133"/>
      <c r="P96" s="133"/>
      <c r="Q96" s="133"/>
      <c r="R96" s="124"/>
      <c r="S96" s="133"/>
      <c r="T96" s="124"/>
      <c r="U96" s="133"/>
      <c r="V96" s="133"/>
      <c r="W96" s="133"/>
      <c r="X96" s="133"/>
      <c r="Y96" s="124"/>
      <c r="Z96" s="133"/>
      <c r="AA96" s="124"/>
      <c r="AB96" s="133"/>
      <c r="AC96" s="133"/>
      <c r="AD96" s="133"/>
      <c r="AE96" s="133"/>
      <c r="AF96" s="124"/>
      <c r="AG96" s="133"/>
      <c r="AH96" s="77">
        <f t="shared" si="5"/>
        <v>0</v>
      </c>
      <c r="AI96" s="98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79" t="str">
        <f t="shared" si="6"/>
        <v>派大</v>
      </c>
      <c r="AK96" s="81"/>
    </row>
    <row r="97" spans="1:37" ht="18" customHeight="1">
      <c r="A97" s="99" t="s">
        <v>58</v>
      </c>
      <c r="B97" s="131" t="s">
        <v>158</v>
      </c>
      <c r="C97" s="133"/>
      <c r="D97" s="124"/>
      <c r="E97" s="133"/>
      <c r="F97" s="124"/>
      <c r="G97" s="133"/>
      <c r="H97" s="133"/>
      <c r="I97" s="133"/>
      <c r="J97" s="133"/>
      <c r="K97" s="124"/>
      <c r="L97" s="133"/>
      <c r="M97" s="124"/>
      <c r="N97" s="133"/>
      <c r="O97" s="133"/>
      <c r="P97" s="133"/>
      <c r="Q97" s="133"/>
      <c r="R97" s="124"/>
      <c r="S97" s="133"/>
      <c r="T97" s="124"/>
      <c r="U97" s="133"/>
      <c r="V97" s="133"/>
      <c r="W97" s="133"/>
      <c r="X97" s="133"/>
      <c r="Y97" s="124"/>
      <c r="Z97" s="133"/>
      <c r="AA97" s="124"/>
      <c r="AB97" s="133"/>
      <c r="AC97" s="133"/>
      <c r="AD97" s="133"/>
      <c r="AE97" s="133"/>
      <c r="AF97" s="124"/>
      <c r="AG97" s="133"/>
      <c r="AH97" s="77">
        <f t="shared" si="5"/>
        <v>0</v>
      </c>
      <c r="AI97" s="98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79" t="str">
        <f t="shared" si="6"/>
        <v>吉娃</v>
      </c>
      <c r="AK97" s="81"/>
    </row>
    <row r="98" spans="1:37" ht="18" customHeight="1">
      <c r="A98" s="99" t="s">
        <v>58</v>
      </c>
      <c r="B98" s="131" t="s">
        <v>159</v>
      </c>
      <c r="C98" s="133"/>
      <c r="D98" s="124"/>
      <c r="E98" s="133"/>
      <c r="F98" s="124"/>
      <c r="G98" s="133"/>
      <c r="H98" s="133"/>
      <c r="I98" s="133"/>
      <c r="J98" s="133"/>
      <c r="K98" s="124"/>
      <c r="L98" s="133"/>
      <c r="M98" s="124"/>
      <c r="N98" s="133"/>
      <c r="O98" s="133"/>
      <c r="P98" s="133"/>
      <c r="Q98" s="133"/>
      <c r="R98" s="124"/>
      <c r="S98" s="133"/>
      <c r="T98" s="124"/>
      <c r="U98" s="133"/>
      <c r="V98" s="133"/>
      <c r="W98" s="133"/>
      <c r="X98" s="133"/>
      <c r="Y98" s="124"/>
      <c r="Z98" s="133"/>
      <c r="AA98" s="124"/>
      <c r="AB98" s="133"/>
      <c r="AC98" s="133"/>
      <c r="AD98" s="133"/>
      <c r="AE98" s="133"/>
      <c r="AF98" s="124"/>
      <c r="AG98" s="133"/>
      <c r="AH98" s="77">
        <f t="shared" si="5"/>
        <v>0</v>
      </c>
      <c r="AI98" s="98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79" t="str">
        <f t="shared" si="6"/>
        <v>小寧</v>
      </c>
      <c r="AK98" s="81"/>
    </row>
    <row r="99" spans="1:37" ht="18" customHeight="1">
      <c r="A99" s="99" t="s">
        <v>58</v>
      </c>
      <c r="B99" s="131" t="s">
        <v>160</v>
      </c>
      <c r="C99" s="133"/>
      <c r="D99" s="124"/>
      <c r="E99" s="133"/>
      <c r="F99" s="124"/>
      <c r="G99" s="133"/>
      <c r="H99" s="133"/>
      <c r="I99" s="133"/>
      <c r="J99" s="133"/>
      <c r="K99" s="124"/>
      <c r="L99" s="133"/>
      <c r="M99" s="124"/>
      <c r="N99" s="133"/>
      <c r="O99" s="133"/>
      <c r="P99" s="133"/>
      <c r="Q99" s="133"/>
      <c r="R99" s="124"/>
      <c r="S99" s="133"/>
      <c r="T99" s="124"/>
      <c r="U99" s="133"/>
      <c r="V99" s="133"/>
      <c r="W99" s="133"/>
      <c r="X99" s="133"/>
      <c r="Y99" s="124"/>
      <c r="Z99" s="133"/>
      <c r="AA99" s="124"/>
      <c r="AB99" s="133"/>
      <c r="AC99" s="133"/>
      <c r="AD99" s="133"/>
      <c r="AE99" s="133"/>
      <c r="AF99" s="124"/>
      <c r="AG99" s="133"/>
      <c r="AH99" s="77">
        <f t="shared" si="5"/>
        <v>0</v>
      </c>
      <c r="AI99" s="98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79" t="str">
        <f t="shared" si="6"/>
        <v>小妹</v>
      </c>
      <c r="AK99" s="81"/>
    </row>
    <row r="100" spans="1:37" ht="18" customHeight="1">
      <c r="A100" s="99" t="s">
        <v>58</v>
      </c>
      <c r="B100" s="131" t="s">
        <v>101</v>
      </c>
      <c r="C100" s="133"/>
      <c r="D100" s="124"/>
      <c r="E100" s="133"/>
      <c r="F100" s="124"/>
      <c r="G100" s="133"/>
      <c r="H100" s="133"/>
      <c r="I100" s="133"/>
      <c r="J100" s="133"/>
      <c r="K100" s="124"/>
      <c r="L100" s="133"/>
      <c r="M100" s="124"/>
      <c r="N100" s="133"/>
      <c r="O100" s="133"/>
      <c r="P100" s="133"/>
      <c r="Q100" s="133"/>
      <c r="R100" s="124"/>
      <c r="S100" s="133"/>
      <c r="T100" s="124"/>
      <c r="U100" s="133"/>
      <c r="V100" s="133"/>
      <c r="W100" s="133"/>
      <c r="X100" s="133"/>
      <c r="Y100" s="124"/>
      <c r="Z100" s="133"/>
      <c r="AA100" s="124"/>
      <c r="AB100" s="133"/>
      <c r="AC100" s="133"/>
      <c r="AD100" s="133"/>
      <c r="AE100" s="133"/>
      <c r="AF100" s="124"/>
      <c r="AG100" s="133"/>
      <c r="AH100" s="77">
        <f t="shared" ref="AH100:AH131" si="7">COUNTA(C100:AG100)</f>
        <v>0</v>
      </c>
      <c r="AI100" s="98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79" t="str">
        <f t="shared" ref="AJ100:AJ133" si="8">B100</f>
        <v>文媛</v>
      </c>
      <c r="AK100" s="81"/>
    </row>
    <row r="101" spans="1:37" ht="18" customHeight="1">
      <c r="A101" s="99" t="s">
        <v>58</v>
      </c>
      <c r="B101" s="131" t="s">
        <v>161</v>
      </c>
      <c r="C101" s="133"/>
      <c r="D101" s="124"/>
      <c r="E101" s="133"/>
      <c r="F101" s="124"/>
      <c r="G101" s="133"/>
      <c r="H101" s="133"/>
      <c r="I101" s="133"/>
      <c r="J101" s="133"/>
      <c r="K101" s="124"/>
      <c r="L101" s="133"/>
      <c r="M101" s="124"/>
      <c r="N101" s="133"/>
      <c r="O101" s="133"/>
      <c r="P101" s="133"/>
      <c r="Q101" s="133"/>
      <c r="R101" s="124"/>
      <c r="S101" s="133"/>
      <c r="T101" s="124"/>
      <c r="U101" s="133"/>
      <c r="V101" s="133"/>
      <c r="W101" s="133"/>
      <c r="X101" s="133"/>
      <c r="Y101" s="124"/>
      <c r="Z101" s="133"/>
      <c r="AA101" s="124"/>
      <c r="AB101" s="133"/>
      <c r="AC101" s="133"/>
      <c r="AD101" s="133"/>
      <c r="AE101" s="133"/>
      <c r="AF101" s="124"/>
      <c r="AG101" s="133"/>
      <c r="AH101" s="77">
        <f t="shared" si="7"/>
        <v>0</v>
      </c>
      <c r="AI101" s="98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79" t="str">
        <f t="shared" si="8"/>
        <v>佩鈺</v>
      </c>
      <c r="AK101" s="81"/>
    </row>
    <row r="102" spans="1:37" ht="18" customHeight="1">
      <c r="A102" s="99" t="s">
        <v>58</v>
      </c>
      <c r="B102" s="131" t="s">
        <v>162</v>
      </c>
      <c r="C102" s="133"/>
      <c r="D102" s="124"/>
      <c r="E102" s="133"/>
      <c r="F102" s="124"/>
      <c r="G102" s="133"/>
      <c r="H102" s="133"/>
      <c r="I102" s="133"/>
      <c r="J102" s="133"/>
      <c r="K102" s="124"/>
      <c r="L102" s="133"/>
      <c r="M102" s="124"/>
      <c r="N102" s="133"/>
      <c r="O102" s="133"/>
      <c r="P102" s="133"/>
      <c r="Q102" s="133"/>
      <c r="R102" s="124"/>
      <c r="S102" s="133"/>
      <c r="T102" s="124"/>
      <c r="U102" s="133"/>
      <c r="V102" s="133"/>
      <c r="W102" s="133"/>
      <c r="X102" s="133"/>
      <c r="Y102" s="124"/>
      <c r="Z102" s="133"/>
      <c r="AA102" s="124"/>
      <c r="AB102" s="133"/>
      <c r="AC102" s="133"/>
      <c r="AD102" s="133"/>
      <c r="AE102" s="133"/>
      <c r="AF102" s="124"/>
      <c r="AG102" s="133"/>
      <c r="AH102" s="77">
        <f t="shared" si="7"/>
        <v>0</v>
      </c>
      <c r="AI102" s="98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79" t="str">
        <f t="shared" si="8"/>
        <v>阿布</v>
      </c>
      <c r="AK102" s="81"/>
    </row>
    <row r="103" spans="1:37" ht="18" customHeight="1">
      <c r="A103" s="99" t="s">
        <v>58</v>
      </c>
      <c r="B103" s="131" t="s">
        <v>100</v>
      </c>
      <c r="C103" s="133"/>
      <c r="D103" s="124"/>
      <c r="E103" s="133"/>
      <c r="F103" s="124"/>
      <c r="G103" s="133">
        <v>1</v>
      </c>
      <c r="H103" s="133">
        <v>1</v>
      </c>
      <c r="I103" s="133"/>
      <c r="J103" s="133"/>
      <c r="K103" s="124"/>
      <c r="L103" s="133"/>
      <c r="M103" s="124"/>
      <c r="N103" s="133"/>
      <c r="O103" s="133"/>
      <c r="P103" s="133"/>
      <c r="Q103" s="133"/>
      <c r="R103" s="124"/>
      <c r="S103" s="133"/>
      <c r="T103" s="124"/>
      <c r="U103" s="133"/>
      <c r="V103" s="133"/>
      <c r="W103" s="133"/>
      <c r="X103" s="133"/>
      <c r="Y103" s="124"/>
      <c r="Z103" s="133"/>
      <c r="AA103" s="124"/>
      <c r="AB103" s="133"/>
      <c r="AC103" s="133"/>
      <c r="AD103" s="133"/>
      <c r="AE103" s="133"/>
      <c r="AF103" s="124"/>
      <c r="AG103" s="133"/>
      <c r="AH103" s="77">
        <f t="shared" si="7"/>
        <v>2</v>
      </c>
      <c r="AI103" s="98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79" t="str">
        <f t="shared" si="8"/>
        <v>餅餅</v>
      </c>
      <c r="AK103" s="81"/>
    </row>
    <row r="104" spans="1:37" ht="18" customHeight="1">
      <c r="A104" s="99" t="s">
        <v>58</v>
      </c>
      <c r="B104" s="131" t="s">
        <v>163</v>
      </c>
      <c r="C104" s="133"/>
      <c r="D104" s="124"/>
      <c r="E104" s="133"/>
      <c r="F104" s="124"/>
      <c r="G104" s="133"/>
      <c r="H104" s="133"/>
      <c r="I104" s="133"/>
      <c r="J104" s="133"/>
      <c r="K104" s="124"/>
      <c r="L104" s="133"/>
      <c r="M104" s="124"/>
      <c r="N104" s="133"/>
      <c r="O104" s="133"/>
      <c r="P104" s="133"/>
      <c r="Q104" s="133"/>
      <c r="R104" s="124"/>
      <c r="S104" s="133"/>
      <c r="T104" s="124"/>
      <c r="U104" s="133"/>
      <c r="V104" s="133"/>
      <c r="W104" s="133"/>
      <c r="X104" s="133"/>
      <c r="Y104" s="124"/>
      <c r="Z104" s="133"/>
      <c r="AA104" s="124"/>
      <c r="AB104" s="133"/>
      <c r="AC104" s="133"/>
      <c r="AD104" s="133"/>
      <c r="AE104" s="133"/>
      <c r="AF104" s="124"/>
      <c r="AG104" s="133"/>
      <c r="AH104" s="77">
        <f t="shared" si="7"/>
        <v>0</v>
      </c>
      <c r="AI104" s="98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79" t="str">
        <f t="shared" si="8"/>
        <v>小個</v>
      </c>
      <c r="AK104" s="81"/>
    </row>
    <row r="105" spans="1:37" ht="18" customHeight="1">
      <c r="A105" s="99" t="s">
        <v>58</v>
      </c>
      <c r="B105" s="131" t="s">
        <v>164</v>
      </c>
      <c r="C105" s="133"/>
      <c r="D105" s="124"/>
      <c r="E105" s="133"/>
      <c r="F105" s="124"/>
      <c r="G105" s="133"/>
      <c r="H105" s="133"/>
      <c r="I105" s="133"/>
      <c r="J105" s="133"/>
      <c r="K105" s="124"/>
      <c r="L105" s="133"/>
      <c r="M105" s="124"/>
      <c r="N105" s="133"/>
      <c r="O105" s="133"/>
      <c r="P105" s="133"/>
      <c r="Q105" s="133"/>
      <c r="R105" s="124"/>
      <c r="S105" s="133"/>
      <c r="T105" s="124"/>
      <c r="U105" s="133"/>
      <c r="V105" s="133"/>
      <c r="W105" s="133"/>
      <c r="X105" s="133"/>
      <c r="Y105" s="124"/>
      <c r="Z105" s="133"/>
      <c r="AA105" s="124"/>
      <c r="AB105" s="133"/>
      <c r="AC105" s="133"/>
      <c r="AD105" s="133"/>
      <c r="AE105" s="133"/>
      <c r="AF105" s="124"/>
      <c r="AG105" s="133"/>
      <c r="AH105" s="77">
        <f t="shared" si="7"/>
        <v>0</v>
      </c>
      <c r="AI105" s="98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79" t="str">
        <f t="shared" si="8"/>
        <v>小菜</v>
      </c>
      <c r="AK105" s="81"/>
    </row>
    <row r="106" spans="1:37" ht="18" customHeight="1">
      <c r="A106" s="99" t="s">
        <v>58</v>
      </c>
      <c r="B106" s="131" t="s">
        <v>102</v>
      </c>
      <c r="C106" s="133"/>
      <c r="D106" s="124"/>
      <c r="E106" s="133"/>
      <c r="F106" s="124"/>
      <c r="G106" s="133"/>
      <c r="H106" s="133"/>
      <c r="I106" s="133"/>
      <c r="J106" s="133"/>
      <c r="K106" s="124"/>
      <c r="L106" s="133"/>
      <c r="M106" s="124"/>
      <c r="N106" s="133"/>
      <c r="O106" s="133"/>
      <c r="P106" s="133"/>
      <c r="Q106" s="133"/>
      <c r="R106" s="124"/>
      <c r="S106" s="133"/>
      <c r="T106" s="124"/>
      <c r="U106" s="133"/>
      <c r="V106" s="133"/>
      <c r="W106" s="133"/>
      <c r="X106" s="133"/>
      <c r="Y106" s="124"/>
      <c r="Z106" s="133"/>
      <c r="AA106" s="124"/>
      <c r="AB106" s="133"/>
      <c r="AC106" s="133"/>
      <c r="AD106" s="133"/>
      <c r="AE106" s="133"/>
      <c r="AF106" s="124"/>
      <c r="AG106" s="133"/>
      <c r="AH106" s="77">
        <f t="shared" si="7"/>
        <v>0</v>
      </c>
      <c r="AI106" s="98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79" t="str">
        <f t="shared" si="8"/>
        <v>妮妮</v>
      </c>
      <c r="AK106" s="81"/>
    </row>
    <row r="107" spans="1:37" ht="18" customHeight="1">
      <c r="A107" s="99" t="s">
        <v>58</v>
      </c>
      <c r="B107" s="131" t="s">
        <v>165</v>
      </c>
      <c r="C107" s="133"/>
      <c r="D107" s="124"/>
      <c r="E107" s="133"/>
      <c r="F107" s="124"/>
      <c r="G107" s="133"/>
      <c r="H107" s="133"/>
      <c r="I107" s="133"/>
      <c r="J107" s="133"/>
      <c r="K107" s="124"/>
      <c r="L107" s="133"/>
      <c r="M107" s="124"/>
      <c r="N107" s="133">
        <v>1</v>
      </c>
      <c r="O107" s="133"/>
      <c r="P107" s="133"/>
      <c r="Q107" s="133"/>
      <c r="R107" s="124"/>
      <c r="S107" s="133"/>
      <c r="T107" s="124"/>
      <c r="U107" s="133"/>
      <c r="V107" s="133"/>
      <c r="W107" s="133">
        <v>1</v>
      </c>
      <c r="X107" s="133"/>
      <c r="Y107" s="124"/>
      <c r="Z107" s="133"/>
      <c r="AA107" s="124"/>
      <c r="AB107" s="133"/>
      <c r="AC107" s="133"/>
      <c r="AD107" s="133">
        <v>1</v>
      </c>
      <c r="AE107" s="133"/>
      <c r="AF107" s="124"/>
      <c r="AG107" s="133"/>
      <c r="AH107" s="77">
        <f t="shared" si="7"/>
        <v>3</v>
      </c>
      <c r="AI107" s="98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79" t="str">
        <f t="shared" si="8"/>
        <v>小貓</v>
      </c>
      <c r="AK107" s="81"/>
    </row>
    <row r="108" spans="1:37" ht="18" customHeight="1">
      <c r="A108" s="99" t="s">
        <v>58</v>
      </c>
      <c r="B108" s="131" t="s">
        <v>166</v>
      </c>
      <c r="C108" s="133"/>
      <c r="D108" s="124"/>
      <c r="E108" s="133"/>
      <c r="F108" s="124"/>
      <c r="G108" s="133"/>
      <c r="H108" s="133"/>
      <c r="I108" s="133"/>
      <c r="J108" s="133"/>
      <c r="K108" s="124"/>
      <c r="L108" s="133"/>
      <c r="M108" s="124"/>
      <c r="N108" s="133"/>
      <c r="O108" s="133"/>
      <c r="P108" s="133"/>
      <c r="Q108" s="133"/>
      <c r="R108" s="124"/>
      <c r="S108" s="133"/>
      <c r="T108" s="124"/>
      <c r="U108" s="133"/>
      <c r="V108" s="133"/>
      <c r="W108" s="133"/>
      <c r="X108" s="133"/>
      <c r="Y108" s="124"/>
      <c r="Z108" s="133"/>
      <c r="AA108" s="124"/>
      <c r="AB108" s="133"/>
      <c r="AC108" s="133"/>
      <c r="AD108" s="133"/>
      <c r="AE108" s="133"/>
      <c r="AF108" s="124"/>
      <c r="AG108" s="133"/>
      <c r="AH108" s="77">
        <f t="shared" si="7"/>
        <v>0</v>
      </c>
      <c r="AI108" s="98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79" t="str">
        <f t="shared" si="8"/>
        <v>哈比</v>
      </c>
      <c r="AK108" s="81"/>
    </row>
    <row r="109" spans="1:37" ht="18" customHeight="1">
      <c r="A109" s="101" t="s">
        <v>58</v>
      </c>
      <c r="B109" s="136" t="s">
        <v>124</v>
      </c>
      <c r="C109" s="135">
        <v>1</v>
      </c>
      <c r="D109" s="124"/>
      <c r="E109" s="135">
        <v>1</v>
      </c>
      <c r="F109" s="124"/>
      <c r="G109" s="135">
        <v>1</v>
      </c>
      <c r="H109" s="135"/>
      <c r="I109" s="135">
        <v>1</v>
      </c>
      <c r="J109" s="135"/>
      <c r="K109" s="124"/>
      <c r="L109" s="135">
        <v>1</v>
      </c>
      <c r="M109" s="124"/>
      <c r="N109" s="135">
        <v>1</v>
      </c>
      <c r="O109" s="135"/>
      <c r="P109" s="135"/>
      <c r="Q109" s="135"/>
      <c r="R109" s="124"/>
      <c r="S109" s="135"/>
      <c r="T109" s="124"/>
      <c r="U109" s="135"/>
      <c r="V109" s="135"/>
      <c r="W109" s="135"/>
      <c r="X109" s="135"/>
      <c r="Y109" s="124"/>
      <c r="Z109" s="135"/>
      <c r="AA109" s="124"/>
      <c r="AB109" s="135"/>
      <c r="AC109" s="135"/>
      <c r="AD109" s="135"/>
      <c r="AE109" s="135"/>
      <c r="AF109" s="124"/>
      <c r="AG109" s="135"/>
      <c r="AH109" s="86">
        <f t="shared" si="7"/>
        <v>6</v>
      </c>
      <c r="AI109" s="103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88" t="str">
        <f t="shared" si="8"/>
        <v>玉蕙</v>
      </c>
      <c r="AK109" s="89"/>
    </row>
    <row r="110" spans="1:37" ht="18" customHeight="1">
      <c r="A110" s="101" t="s">
        <v>58</v>
      </c>
      <c r="B110" s="136" t="s">
        <v>125</v>
      </c>
      <c r="C110" s="135"/>
      <c r="D110" s="124"/>
      <c r="E110" s="135"/>
      <c r="F110" s="124"/>
      <c r="G110" s="135"/>
      <c r="H110" s="135"/>
      <c r="I110" s="135">
        <v>1</v>
      </c>
      <c r="J110" s="135"/>
      <c r="K110" s="124"/>
      <c r="L110" s="135"/>
      <c r="M110" s="124"/>
      <c r="N110" s="135"/>
      <c r="O110" s="135"/>
      <c r="P110" s="135"/>
      <c r="Q110" s="135"/>
      <c r="R110" s="124"/>
      <c r="S110" s="135"/>
      <c r="T110" s="124"/>
      <c r="U110" s="135"/>
      <c r="V110" s="135"/>
      <c r="W110" s="135"/>
      <c r="X110" s="135"/>
      <c r="Y110" s="124"/>
      <c r="Z110" s="135"/>
      <c r="AA110" s="124"/>
      <c r="AB110" s="135"/>
      <c r="AC110" s="135"/>
      <c r="AD110" s="135"/>
      <c r="AE110" s="135"/>
      <c r="AF110" s="124"/>
      <c r="AG110" s="135"/>
      <c r="AH110" s="86">
        <f t="shared" si="7"/>
        <v>1</v>
      </c>
      <c r="AI110" s="103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88" t="str">
        <f t="shared" si="8"/>
        <v>沛緁</v>
      </c>
      <c r="AK110" s="89"/>
    </row>
    <row r="111" spans="1:37" ht="18" customHeight="1">
      <c r="A111" s="101" t="s">
        <v>58</v>
      </c>
      <c r="B111" s="136" t="s">
        <v>126</v>
      </c>
      <c r="C111" s="135"/>
      <c r="D111" s="124"/>
      <c r="E111" s="135"/>
      <c r="F111" s="124"/>
      <c r="G111" s="135"/>
      <c r="H111" s="135"/>
      <c r="I111" s="135"/>
      <c r="J111" s="135">
        <v>1</v>
      </c>
      <c r="K111" s="124"/>
      <c r="L111" s="135"/>
      <c r="M111" s="124"/>
      <c r="N111" s="135"/>
      <c r="O111" s="135"/>
      <c r="P111" s="135"/>
      <c r="Q111" s="135"/>
      <c r="R111" s="124"/>
      <c r="S111" s="135"/>
      <c r="T111" s="124"/>
      <c r="U111" s="135"/>
      <c r="V111" s="135"/>
      <c r="W111" s="135"/>
      <c r="X111" s="135"/>
      <c r="Y111" s="124"/>
      <c r="Z111" s="135"/>
      <c r="AA111" s="124"/>
      <c r="AB111" s="135"/>
      <c r="AC111" s="135"/>
      <c r="AD111" s="135"/>
      <c r="AE111" s="135"/>
      <c r="AF111" s="124"/>
      <c r="AG111" s="135"/>
      <c r="AH111" s="86">
        <f t="shared" si="7"/>
        <v>1</v>
      </c>
      <c r="AI111" s="103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88" t="str">
        <f t="shared" si="8"/>
        <v>妹妹</v>
      </c>
      <c r="AK111" s="89"/>
    </row>
    <row r="112" spans="1:37" ht="18" customHeight="1">
      <c r="A112" s="101" t="s">
        <v>58</v>
      </c>
      <c r="B112" s="136" t="s">
        <v>127</v>
      </c>
      <c r="C112" s="135">
        <v>1</v>
      </c>
      <c r="D112" s="124"/>
      <c r="E112" s="135"/>
      <c r="F112" s="124"/>
      <c r="G112" s="135">
        <v>1</v>
      </c>
      <c r="H112" s="135">
        <v>1</v>
      </c>
      <c r="I112" s="135">
        <v>1</v>
      </c>
      <c r="J112" s="135"/>
      <c r="K112" s="124"/>
      <c r="L112" s="135"/>
      <c r="M112" s="124"/>
      <c r="N112" s="135"/>
      <c r="O112" s="135"/>
      <c r="P112" s="135"/>
      <c r="Q112" s="135">
        <v>1</v>
      </c>
      <c r="R112" s="124"/>
      <c r="S112" s="135"/>
      <c r="T112" s="124"/>
      <c r="U112" s="135"/>
      <c r="V112" s="135"/>
      <c r="W112" s="135">
        <v>1</v>
      </c>
      <c r="X112" s="135"/>
      <c r="Y112" s="124"/>
      <c r="Z112" s="135"/>
      <c r="AA112" s="124"/>
      <c r="AB112" s="135"/>
      <c r="AC112" s="135"/>
      <c r="AD112" s="135"/>
      <c r="AE112" s="135"/>
      <c r="AF112" s="124"/>
      <c r="AG112" s="135"/>
      <c r="AH112" s="86">
        <f t="shared" si="7"/>
        <v>6</v>
      </c>
      <c r="AI112" s="103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88" t="str">
        <f t="shared" si="8"/>
        <v>小雞</v>
      </c>
      <c r="AK112" s="89"/>
    </row>
    <row r="113" spans="1:37" ht="18" customHeight="1">
      <c r="A113" s="101" t="s">
        <v>58</v>
      </c>
      <c r="B113" s="136" t="s">
        <v>128</v>
      </c>
      <c r="C113" s="135"/>
      <c r="D113" s="124"/>
      <c r="E113" s="135"/>
      <c r="F113" s="124"/>
      <c r="G113" s="135">
        <v>1</v>
      </c>
      <c r="H113" s="135"/>
      <c r="I113" s="135"/>
      <c r="J113" s="135"/>
      <c r="K113" s="124"/>
      <c r="L113" s="135"/>
      <c r="M113" s="124"/>
      <c r="N113" s="135"/>
      <c r="O113" s="135"/>
      <c r="P113" s="135"/>
      <c r="Q113" s="135"/>
      <c r="R113" s="124"/>
      <c r="S113" s="135"/>
      <c r="T113" s="124"/>
      <c r="U113" s="135"/>
      <c r="V113" s="135"/>
      <c r="W113" s="135"/>
      <c r="X113" s="135"/>
      <c r="Y113" s="124"/>
      <c r="Z113" s="135"/>
      <c r="AA113" s="124"/>
      <c r="AB113" s="135"/>
      <c r="AC113" s="135"/>
      <c r="AD113" s="135"/>
      <c r="AE113" s="135"/>
      <c r="AF113" s="124"/>
      <c r="AG113" s="135"/>
      <c r="AH113" s="86">
        <f t="shared" si="7"/>
        <v>1</v>
      </c>
      <c r="AI113" s="103" t="e">
        <f ca="1">IF(A113="O", (VALUE(_xludf.IFS(AH113=0,"0",AH113=1,"150",AH113=2,"300",AH113=3,"450",AH113=4,"600",AH113=5,"750",AH113&gt;=6,"800"))),(VALUE(_xludf.IFS(AH113=0,"0",AH113=1,"150",AH113=2,"300",AH113=3,"450",AH113=4,"600",AH113=5,"750",AH113=6,"900",AH113&gt;=7,"1,000"))))</f>
        <v>#NAME?</v>
      </c>
      <c r="AJ113" s="88" t="str">
        <f t="shared" si="8"/>
        <v>雨昕</v>
      </c>
      <c r="AK113" s="89"/>
    </row>
    <row r="114" spans="1:37" ht="18" customHeight="1">
      <c r="A114" s="101" t="s">
        <v>58</v>
      </c>
      <c r="B114" s="136" t="s">
        <v>129</v>
      </c>
      <c r="C114" s="135"/>
      <c r="D114" s="124"/>
      <c r="E114" s="135"/>
      <c r="F114" s="124"/>
      <c r="G114" s="135"/>
      <c r="H114" s="135"/>
      <c r="I114" s="135"/>
      <c r="J114" s="135"/>
      <c r="K114" s="124"/>
      <c r="L114" s="135"/>
      <c r="M114" s="124"/>
      <c r="N114" s="135"/>
      <c r="O114" s="135"/>
      <c r="P114" s="135"/>
      <c r="Q114" s="135"/>
      <c r="R114" s="124"/>
      <c r="S114" s="135"/>
      <c r="T114" s="124"/>
      <c r="U114" s="135"/>
      <c r="V114" s="135"/>
      <c r="W114" s="135"/>
      <c r="X114" s="135"/>
      <c r="Y114" s="124"/>
      <c r="Z114" s="135"/>
      <c r="AA114" s="124"/>
      <c r="AB114" s="135"/>
      <c r="AC114" s="135"/>
      <c r="AD114" s="135"/>
      <c r="AE114" s="135"/>
      <c r="AF114" s="124"/>
      <c r="AG114" s="135"/>
      <c r="AH114" s="86">
        <f t="shared" si="7"/>
        <v>0</v>
      </c>
      <c r="AI114" s="103" t="e">
        <f ca="1">IF(A114="O", (VALUE(_xludf.IFS(AH114=0,"0",AH114=1,"150",AH114=2,"300",AH114=3,"450",AH114=4,"600",AH114=5,"750",AH114&gt;=6,"800"))),(VALUE(_xludf.IFS(AH114=0,"0",AH114=1,"150",AH114=2,"300",AH114=3,"450",AH114=4,"600",AH114=5,"750",AH114=6,"900",AH114&gt;=7,"1,000"))))</f>
        <v>#NAME?</v>
      </c>
      <c r="AJ114" s="88" t="str">
        <f t="shared" si="8"/>
        <v>矮矮</v>
      </c>
      <c r="AK114" s="89"/>
    </row>
    <row r="115" spans="1:37" ht="18" customHeight="1">
      <c r="A115" s="101" t="s">
        <v>58</v>
      </c>
      <c r="B115" s="136" t="s">
        <v>130</v>
      </c>
      <c r="C115" s="135"/>
      <c r="D115" s="124"/>
      <c r="E115" s="135"/>
      <c r="F115" s="124"/>
      <c r="G115" s="135"/>
      <c r="H115" s="135"/>
      <c r="I115" s="135"/>
      <c r="J115" s="135"/>
      <c r="K115" s="124"/>
      <c r="L115" s="135"/>
      <c r="M115" s="124"/>
      <c r="N115" s="135"/>
      <c r="O115" s="135"/>
      <c r="P115" s="135"/>
      <c r="Q115" s="135"/>
      <c r="R115" s="124"/>
      <c r="S115" s="135"/>
      <c r="T115" s="124"/>
      <c r="U115" s="135"/>
      <c r="V115" s="135"/>
      <c r="W115" s="135"/>
      <c r="X115" s="135"/>
      <c r="Y115" s="124"/>
      <c r="Z115" s="135"/>
      <c r="AA115" s="124"/>
      <c r="AB115" s="135"/>
      <c r="AC115" s="135"/>
      <c r="AD115" s="135"/>
      <c r="AE115" s="135"/>
      <c r="AF115" s="124"/>
      <c r="AG115" s="135"/>
      <c r="AH115" s="86">
        <f t="shared" si="7"/>
        <v>0</v>
      </c>
      <c r="AI115" s="103" t="e">
        <f ca="1">IF(A115="O", (VALUE(_xludf.IFS(AH115=0,"0",AH115=1,"150",AH115=2,"300",AH115=3,"450",AH115=4,"600",AH115=5,"750",AH115&gt;=6,"800"))),(VALUE(_xludf.IFS(AH115=0,"0",AH115=1,"150",AH115=2,"300",AH115=3,"450",AH115=4,"600",AH115=5,"750",AH115=6,"900",AH115&gt;=7,"1,000"))))</f>
        <v>#NAME?</v>
      </c>
      <c r="AJ115" s="88" t="str">
        <f t="shared" si="8"/>
        <v>猛女</v>
      </c>
      <c r="AK115" s="89"/>
    </row>
    <row r="116" spans="1:37" ht="18" customHeight="1">
      <c r="A116" s="101" t="s">
        <v>58</v>
      </c>
      <c r="B116" s="136" t="s">
        <v>131</v>
      </c>
      <c r="C116" s="135"/>
      <c r="D116" s="124"/>
      <c r="E116" s="135"/>
      <c r="F116" s="124"/>
      <c r="G116" s="135"/>
      <c r="H116" s="135"/>
      <c r="I116" s="135"/>
      <c r="J116" s="135"/>
      <c r="K116" s="124"/>
      <c r="L116" s="135"/>
      <c r="M116" s="124"/>
      <c r="N116" s="135"/>
      <c r="O116" s="135"/>
      <c r="P116" s="135"/>
      <c r="Q116" s="135"/>
      <c r="R116" s="124"/>
      <c r="S116" s="135"/>
      <c r="T116" s="124"/>
      <c r="U116" s="135"/>
      <c r="V116" s="135"/>
      <c r="W116" s="135"/>
      <c r="X116" s="135"/>
      <c r="Y116" s="124"/>
      <c r="Z116" s="135"/>
      <c r="AA116" s="124"/>
      <c r="AB116" s="135"/>
      <c r="AC116" s="135"/>
      <c r="AD116" s="135"/>
      <c r="AE116" s="135"/>
      <c r="AF116" s="124"/>
      <c r="AG116" s="135"/>
      <c r="AH116" s="86">
        <f t="shared" si="7"/>
        <v>0</v>
      </c>
      <c r="AI116" s="103" t="e">
        <f ca="1">IF(A116="O", (VALUE(_xludf.IFS(AH116=0,"0",AH116=1,"150",AH116=2,"300",AH116=3,"450",AH116=4,"600",AH116=5,"750",AH116&gt;=6,"800"))),(VALUE(_xludf.IFS(AH116=0,"0",AH116=1,"150",AH116=2,"300",AH116=3,"450",AH116=4,"600",AH116=5,"750",AH116=6,"900",AH116&gt;=7,"1,000"))))</f>
        <v>#NAME?</v>
      </c>
      <c r="AJ116" s="88" t="str">
        <f t="shared" si="8"/>
        <v>欣容</v>
      </c>
      <c r="AK116" s="89"/>
    </row>
    <row r="117" spans="1:37" ht="18" customHeight="1">
      <c r="A117" s="101" t="s">
        <v>58</v>
      </c>
      <c r="B117" s="136" t="s">
        <v>132</v>
      </c>
      <c r="C117" s="135"/>
      <c r="D117" s="124"/>
      <c r="E117" s="135"/>
      <c r="F117" s="124"/>
      <c r="G117" s="135"/>
      <c r="H117" s="135"/>
      <c r="I117" s="135"/>
      <c r="J117" s="135"/>
      <c r="K117" s="124"/>
      <c r="L117" s="135"/>
      <c r="M117" s="124"/>
      <c r="N117" s="135"/>
      <c r="O117" s="135"/>
      <c r="P117" s="135"/>
      <c r="Q117" s="135"/>
      <c r="R117" s="124"/>
      <c r="S117" s="135"/>
      <c r="T117" s="124"/>
      <c r="U117" s="135"/>
      <c r="V117" s="135"/>
      <c r="W117" s="135"/>
      <c r="X117" s="135"/>
      <c r="Y117" s="124"/>
      <c r="Z117" s="135"/>
      <c r="AA117" s="124"/>
      <c r="AB117" s="135"/>
      <c r="AC117" s="135"/>
      <c r="AD117" s="135"/>
      <c r="AE117" s="135"/>
      <c r="AF117" s="124"/>
      <c r="AG117" s="135"/>
      <c r="AH117" s="86">
        <f t="shared" si="7"/>
        <v>0</v>
      </c>
      <c r="AI117" s="103" t="e">
        <f ca="1">IF(A117="O", (VALUE(_xludf.IFS(AH117=0,"0",AH117=1,"150",AH117=2,"300",AH117=3,"450",AH117=4,"600",AH117=5,"750",AH117&gt;=6,"800"))),(VALUE(_xludf.IFS(AH117=0,"0",AH117=1,"150",AH117=2,"300",AH117=3,"450",AH117=4,"600",AH117=5,"750",AH117=6,"900",AH117&gt;=7,"1,000"))))</f>
        <v>#NAME?</v>
      </c>
      <c r="AJ117" s="88" t="str">
        <f t="shared" si="8"/>
        <v>萁萁</v>
      </c>
      <c r="AK117" s="89"/>
    </row>
    <row r="118" spans="1:37" ht="18" customHeight="1">
      <c r="A118" s="101" t="s">
        <v>58</v>
      </c>
      <c r="B118" s="136" t="s">
        <v>133</v>
      </c>
      <c r="C118" s="135">
        <v>1</v>
      </c>
      <c r="D118" s="124"/>
      <c r="E118" s="135">
        <v>1</v>
      </c>
      <c r="F118" s="124"/>
      <c r="G118" s="135">
        <v>1</v>
      </c>
      <c r="H118" s="135"/>
      <c r="I118" s="135">
        <v>1</v>
      </c>
      <c r="J118" s="135"/>
      <c r="K118" s="124"/>
      <c r="L118" s="135">
        <v>1</v>
      </c>
      <c r="M118" s="124"/>
      <c r="N118" s="135">
        <v>1</v>
      </c>
      <c r="O118" s="135"/>
      <c r="P118" s="135"/>
      <c r="Q118" s="135"/>
      <c r="R118" s="124"/>
      <c r="S118" s="135"/>
      <c r="T118" s="124"/>
      <c r="U118" s="135"/>
      <c r="V118" s="135"/>
      <c r="W118" s="135"/>
      <c r="X118" s="135"/>
      <c r="Y118" s="124"/>
      <c r="Z118" s="135"/>
      <c r="AA118" s="124"/>
      <c r="AB118" s="135"/>
      <c r="AC118" s="135"/>
      <c r="AD118" s="135"/>
      <c r="AE118" s="135"/>
      <c r="AF118" s="124"/>
      <c r="AG118" s="135"/>
      <c r="AH118" s="86">
        <f t="shared" si="7"/>
        <v>6</v>
      </c>
      <c r="AI118" s="87" t="e">
        <f ca="1">IF(A118="O", (VALUE(_xludf.IFS(AH118=0,"0",AH118=1,"150",AH118=2,"300",AH118=3,"450",AH118=4,"600",AH118=5,"750",AH118&gt;=6,"800"))),(VALUE(_xludf.IFS(AH118=0,"0",AH118=1,"150",AH118=2,"300",AH118=3,"450",AH118=4,"600",AH118=5,"750",AH118=6,"900",AH118&gt;=7,"1,000"))))</f>
        <v>#NAME?</v>
      </c>
      <c r="AJ118" s="88" t="str">
        <f t="shared" si="8"/>
        <v>萱</v>
      </c>
      <c r="AK118" s="91"/>
    </row>
    <row r="119" spans="1:37" ht="18" customHeight="1">
      <c r="A119" s="101" t="s">
        <v>58</v>
      </c>
      <c r="B119" s="136" t="s">
        <v>134</v>
      </c>
      <c r="C119" s="135"/>
      <c r="D119" s="124"/>
      <c r="E119" s="135"/>
      <c r="F119" s="124"/>
      <c r="G119" s="135"/>
      <c r="H119" s="135"/>
      <c r="I119" s="135"/>
      <c r="J119" s="135"/>
      <c r="K119" s="124"/>
      <c r="L119" s="135"/>
      <c r="M119" s="124"/>
      <c r="N119" s="135"/>
      <c r="O119" s="135"/>
      <c r="P119" s="135"/>
      <c r="Q119" s="135"/>
      <c r="R119" s="124"/>
      <c r="S119" s="135"/>
      <c r="T119" s="124"/>
      <c r="U119" s="135"/>
      <c r="V119" s="135"/>
      <c r="W119" s="135"/>
      <c r="X119" s="135"/>
      <c r="Y119" s="124"/>
      <c r="Z119" s="135"/>
      <c r="AA119" s="124"/>
      <c r="AB119" s="135"/>
      <c r="AC119" s="135"/>
      <c r="AD119" s="135"/>
      <c r="AE119" s="135"/>
      <c r="AF119" s="124"/>
      <c r="AG119" s="135"/>
      <c r="AH119" s="86">
        <f t="shared" si="7"/>
        <v>0</v>
      </c>
      <c r="AI119" s="87" t="e">
        <f ca="1">IF(A119="O", (VALUE(_xludf.IFS(AH119=0,"0",AH119=1,"150",AH119=2,"300",AH119=3,"450",AH119=4,"600",AH119=5,"750",AH119&gt;=6,"800"))),(VALUE(_xludf.IFS(AH119=0,"0",AH119=1,"150",AH119=2,"300",AH119=3,"450",AH119=4,"600",AH119=5,"750",AH119=6,"900",AH119&gt;=7,"1,000"))))</f>
        <v>#NAME?</v>
      </c>
      <c r="AJ119" s="88" t="str">
        <f t="shared" si="8"/>
        <v>Mei</v>
      </c>
      <c r="AK119" s="91"/>
    </row>
    <row r="120" spans="1:37" ht="18" customHeight="1">
      <c r="A120" s="101" t="s">
        <v>58</v>
      </c>
      <c r="B120" s="136" t="s">
        <v>135</v>
      </c>
      <c r="C120" s="135"/>
      <c r="D120" s="124"/>
      <c r="E120" s="135">
        <v>1</v>
      </c>
      <c r="F120" s="124"/>
      <c r="G120" s="135"/>
      <c r="H120" s="135"/>
      <c r="I120" s="135">
        <v>1</v>
      </c>
      <c r="J120" s="135"/>
      <c r="K120" s="124"/>
      <c r="L120" s="135">
        <v>1</v>
      </c>
      <c r="M120" s="124"/>
      <c r="N120" s="135"/>
      <c r="O120" s="135"/>
      <c r="P120" s="135"/>
      <c r="Q120" s="135"/>
      <c r="R120" s="124"/>
      <c r="S120" s="135">
        <v>1</v>
      </c>
      <c r="T120" s="124"/>
      <c r="U120" s="135"/>
      <c r="V120" s="135"/>
      <c r="W120" s="135"/>
      <c r="X120" s="135"/>
      <c r="Y120" s="124"/>
      <c r="Z120" s="135"/>
      <c r="AA120" s="124"/>
      <c r="AB120" s="135"/>
      <c r="AC120" s="135"/>
      <c r="AD120" s="135"/>
      <c r="AE120" s="135"/>
      <c r="AF120" s="124"/>
      <c r="AG120" s="135">
        <v>1</v>
      </c>
      <c r="AH120" s="86">
        <f t="shared" si="7"/>
        <v>5</v>
      </c>
      <c r="AI120" s="87" t="e">
        <f ca="1">IF(A120="O", (VALUE(_xludf.IFS(AH120=0,"0",AH120=1,"150",AH120=2,"300",AH120=3,"450",AH120=4,"600",AH120=5,"750",AH120&gt;=6,"800"))),(VALUE(_xludf.IFS(AH120=0,"0",AH120=1,"150",AH120=2,"300",AH120=3,"450",AH120=4,"600",AH120=5,"750",AH120=6,"900",AH120&gt;=7,"1,000"))))</f>
        <v>#NAME?</v>
      </c>
      <c r="AJ120" s="88" t="str">
        <f t="shared" si="8"/>
        <v>屁屁</v>
      </c>
      <c r="AK120" s="91"/>
    </row>
    <row r="121" spans="1:37" ht="18" customHeight="1">
      <c r="A121" s="101" t="s">
        <v>58</v>
      </c>
      <c r="B121" s="136" t="s">
        <v>136</v>
      </c>
      <c r="C121" s="135"/>
      <c r="D121" s="124"/>
      <c r="E121" s="135"/>
      <c r="F121" s="124"/>
      <c r="G121" s="135"/>
      <c r="H121" s="135"/>
      <c r="I121" s="135"/>
      <c r="J121" s="135"/>
      <c r="K121" s="124"/>
      <c r="L121" s="135"/>
      <c r="M121" s="124"/>
      <c r="N121" s="135"/>
      <c r="O121" s="135"/>
      <c r="P121" s="135"/>
      <c r="Q121" s="135"/>
      <c r="R121" s="124"/>
      <c r="S121" s="135"/>
      <c r="T121" s="124"/>
      <c r="U121" s="135"/>
      <c r="V121" s="135"/>
      <c r="W121" s="135"/>
      <c r="X121" s="135"/>
      <c r="Y121" s="124"/>
      <c r="Z121" s="135"/>
      <c r="AA121" s="124"/>
      <c r="AB121" s="135"/>
      <c r="AC121" s="135"/>
      <c r="AD121" s="135"/>
      <c r="AE121" s="135"/>
      <c r="AF121" s="124"/>
      <c r="AG121" s="135"/>
      <c r="AH121" s="86">
        <f t="shared" si="7"/>
        <v>0</v>
      </c>
      <c r="AI121" s="87" t="e">
        <f ca="1">IF(A121="O", (VALUE(_xludf.IFS(AH121=0,"0",AH121=1,"150",AH121=2,"300",AH121=3,"450",AH121=4,"600",AH121=5,"750",AH121&gt;=6,"800"))),(VALUE(_xludf.IFS(AH121=0,"0",AH121=1,"150",AH121=2,"300",AH121=3,"450",AH121=4,"600",AH121=5,"750",AH121=6,"900",AH121&gt;=7,"1,000"))))</f>
        <v>#NAME?</v>
      </c>
      <c r="AJ121" s="88" t="str">
        <f t="shared" si="8"/>
        <v>泡泡</v>
      </c>
      <c r="AK121" s="91"/>
    </row>
    <row r="122" spans="1:37" ht="18" customHeight="1">
      <c r="A122" s="101" t="s">
        <v>58</v>
      </c>
      <c r="B122" s="136" t="s">
        <v>137</v>
      </c>
      <c r="C122" s="135"/>
      <c r="D122" s="124"/>
      <c r="E122" s="135"/>
      <c r="F122" s="124"/>
      <c r="G122" s="135"/>
      <c r="H122" s="135"/>
      <c r="I122" s="135"/>
      <c r="J122" s="135"/>
      <c r="K122" s="124"/>
      <c r="L122" s="135"/>
      <c r="M122" s="124"/>
      <c r="N122" s="135"/>
      <c r="O122" s="135"/>
      <c r="P122" s="135"/>
      <c r="Q122" s="135"/>
      <c r="R122" s="124"/>
      <c r="S122" s="135"/>
      <c r="T122" s="124"/>
      <c r="U122" s="135"/>
      <c r="V122" s="135"/>
      <c r="W122" s="135"/>
      <c r="X122" s="135"/>
      <c r="Y122" s="124"/>
      <c r="Z122" s="135"/>
      <c r="AA122" s="124"/>
      <c r="AB122" s="135"/>
      <c r="AC122" s="135"/>
      <c r="AD122" s="135"/>
      <c r="AE122" s="135"/>
      <c r="AF122" s="124"/>
      <c r="AG122" s="135"/>
      <c r="AH122" s="86">
        <f t="shared" si="7"/>
        <v>0</v>
      </c>
      <c r="AI122" s="87" t="e">
        <f ca="1">IF(A122="O", (VALUE(_xludf.IFS(AH122=0,"0",AH122=1,"150",AH122=2,"300",AH122=3,"450",AH122=4,"600",AH122=5,"750",AH122&gt;=6,"800"))),(VALUE(_xludf.IFS(AH122=0,"0",AH122=1,"150",AH122=2,"300",AH122=3,"450",AH122=4,"600",AH122=5,"750",AH122=6,"900",AH122&gt;=7,"1,000"))))</f>
        <v>#NAME?</v>
      </c>
      <c r="AJ122" s="88" t="str">
        <f t="shared" si="8"/>
        <v>姚</v>
      </c>
      <c r="AK122" s="91"/>
    </row>
    <row r="123" spans="1:37" ht="18" customHeight="1">
      <c r="A123" s="101" t="s">
        <v>58</v>
      </c>
      <c r="B123" s="136" t="s">
        <v>138</v>
      </c>
      <c r="C123" s="135"/>
      <c r="D123" s="124"/>
      <c r="E123" s="135"/>
      <c r="F123" s="124"/>
      <c r="G123" s="135"/>
      <c r="H123" s="135"/>
      <c r="I123" s="135"/>
      <c r="J123" s="135"/>
      <c r="K123" s="124"/>
      <c r="L123" s="135"/>
      <c r="M123" s="124"/>
      <c r="N123" s="135"/>
      <c r="O123" s="135"/>
      <c r="P123" s="135"/>
      <c r="Q123" s="135"/>
      <c r="R123" s="124"/>
      <c r="S123" s="135"/>
      <c r="T123" s="124"/>
      <c r="U123" s="135"/>
      <c r="V123" s="135"/>
      <c r="W123" s="135"/>
      <c r="X123" s="135"/>
      <c r="Y123" s="124"/>
      <c r="Z123" s="135"/>
      <c r="AA123" s="124"/>
      <c r="AB123" s="135"/>
      <c r="AC123" s="135"/>
      <c r="AD123" s="135"/>
      <c r="AE123" s="135"/>
      <c r="AF123" s="124"/>
      <c r="AG123" s="135"/>
      <c r="AH123" s="86">
        <f t="shared" si="7"/>
        <v>0</v>
      </c>
      <c r="AI123" s="87" t="e">
        <f ca="1">IF(A123="O", (VALUE(_xludf.IFS(AH123=0,"0",AH123=1,"150",AH123=2,"300",AH123=3,"450",AH123=4,"600",AH123=5,"750",AH123&gt;=6,"800"))),(VALUE(_xludf.IFS(AH123=0,"0",AH123=1,"150",AH123=2,"300",AH123=3,"450",AH123=4,"600",AH123=5,"750",AH123=6,"900",AH123&gt;=7,"1,000"))))</f>
        <v>#NAME?</v>
      </c>
      <c r="AJ123" s="88" t="str">
        <f t="shared" si="8"/>
        <v>奜茜</v>
      </c>
      <c r="AK123" s="91"/>
    </row>
    <row r="124" spans="1:37" ht="18" customHeight="1">
      <c r="A124" s="101" t="s">
        <v>58</v>
      </c>
      <c r="B124" s="138" t="s">
        <v>139</v>
      </c>
      <c r="C124" s="135">
        <v>1</v>
      </c>
      <c r="D124" s="124"/>
      <c r="E124" s="135"/>
      <c r="F124" s="124"/>
      <c r="G124" s="135">
        <v>1</v>
      </c>
      <c r="H124" s="135"/>
      <c r="I124" s="135">
        <v>1</v>
      </c>
      <c r="J124" s="135"/>
      <c r="K124" s="124"/>
      <c r="L124" s="135"/>
      <c r="M124" s="124"/>
      <c r="N124" s="135"/>
      <c r="O124" s="135"/>
      <c r="P124" s="135"/>
      <c r="Q124" s="135"/>
      <c r="R124" s="124"/>
      <c r="S124" s="135"/>
      <c r="T124" s="124"/>
      <c r="U124" s="135"/>
      <c r="V124" s="135"/>
      <c r="W124" s="135"/>
      <c r="X124" s="135"/>
      <c r="Y124" s="124"/>
      <c r="Z124" s="135"/>
      <c r="AA124" s="124"/>
      <c r="AB124" s="135"/>
      <c r="AC124" s="135"/>
      <c r="AD124" s="135"/>
      <c r="AE124" s="135"/>
      <c r="AF124" s="124"/>
      <c r="AG124" s="135"/>
      <c r="AH124" s="86">
        <f t="shared" si="7"/>
        <v>3</v>
      </c>
      <c r="AI124" s="87" t="e">
        <f ca="1">IF(A124="O", (VALUE(_xludf.IFS(AH124=0,"0",AH124=1,"150",AH124=2,"300",AH124=3,"450",AH124=4,"600",AH124=5,"750",AH124&gt;=6,"800"))),(VALUE(_xludf.IFS(AH124=0,"0",AH124=1,"150",AH124=2,"300",AH124=3,"450",AH124=4,"600",AH124=5,"750",AH124=6,"900",AH124&gt;=7,"1,000"))))</f>
        <v>#NAME?</v>
      </c>
      <c r="AJ124" s="88" t="str">
        <f t="shared" si="8"/>
        <v>Tina</v>
      </c>
      <c r="AK124" s="91"/>
    </row>
    <row r="125" spans="1:37" ht="18" customHeight="1">
      <c r="A125" s="101" t="s">
        <v>58</v>
      </c>
      <c r="B125" s="138" t="s">
        <v>140</v>
      </c>
      <c r="C125" s="135"/>
      <c r="D125" s="124"/>
      <c r="E125" s="135"/>
      <c r="F125" s="124"/>
      <c r="G125" s="135"/>
      <c r="H125" s="135"/>
      <c r="I125" s="135"/>
      <c r="J125" s="135"/>
      <c r="K125" s="124"/>
      <c r="L125" s="135"/>
      <c r="M125" s="124"/>
      <c r="N125" s="135"/>
      <c r="O125" s="135"/>
      <c r="P125" s="135"/>
      <c r="Q125" s="135"/>
      <c r="R125" s="124"/>
      <c r="S125" s="135"/>
      <c r="T125" s="124"/>
      <c r="U125" s="135"/>
      <c r="V125" s="135"/>
      <c r="W125" s="135"/>
      <c r="X125" s="135"/>
      <c r="Y125" s="124"/>
      <c r="Z125" s="135"/>
      <c r="AA125" s="124"/>
      <c r="AB125" s="135"/>
      <c r="AC125" s="135"/>
      <c r="AD125" s="135"/>
      <c r="AE125" s="135"/>
      <c r="AF125" s="124"/>
      <c r="AG125" s="135"/>
      <c r="AH125" s="86">
        <f t="shared" si="7"/>
        <v>0</v>
      </c>
      <c r="AI125" s="87" t="e">
        <f ca="1">IF(A125="O", (VALUE(_xludf.IFS(AH125=0,"0",AH125=1,"150",AH125=2,"300",AH125=3,"450",AH125=4,"600",AH125=5,"750",AH125&gt;=6,"800"))),(VALUE(_xludf.IFS(AH125=0,"0",AH125=1,"150",AH125=2,"300",AH125=3,"450",AH125=4,"600",AH125=5,"750",AH125=6,"900",AH125&gt;=7,"1,000"))))</f>
        <v>#NAME?</v>
      </c>
      <c r="AJ125" s="88" t="str">
        <f t="shared" si="8"/>
        <v>芷琦</v>
      </c>
      <c r="AK125" s="91"/>
    </row>
    <row r="126" spans="1:37" ht="18" customHeight="1">
      <c r="A126" s="101" t="s">
        <v>58</v>
      </c>
      <c r="B126" s="138" t="s">
        <v>106</v>
      </c>
      <c r="C126" s="135"/>
      <c r="D126" s="124"/>
      <c r="E126" s="135"/>
      <c r="F126" s="124"/>
      <c r="G126" s="135"/>
      <c r="H126" s="135"/>
      <c r="I126" s="135"/>
      <c r="J126" s="135"/>
      <c r="K126" s="124"/>
      <c r="L126" s="135"/>
      <c r="M126" s="124"/>
      <c r="N126" s="135"/>
      <c r="O126" s="135"/>
      <c r="P126" s="135"/>
      <c r="Q126" s="135"/>
      <c r="R126" s="124"/>
      <c r="S126" s="135"/>
      <c r="T126" s="124"/>
      <c r="U126" s="135"/>
      <c r="V126" s="135"/>
      <c r="W126" s="135"/>
      <c r="X126" s="135"/>
      <c r="Y126" s="124"/>
      <c r="Z126" s="135"/>
      <c r="AA126" s="124"/>
      <c r="AB126" s="135"/>
      <c r="AC126" s="135"/>
      <c r="AD126" s="135"/>
      <c r="AE126" s="135"/>
      <c r="AF126" s="124"/>
      <c r="AG126" s="135"/>
      <c r="AH126" s="86">
        <f t="shared" si="7"/>
        <v>0</v>
      </c>
      <c r="AI126" s="87" t="e">
        <f ca="1">IF(A126="O", (VALUE(_xludf.IFS(AH126=0,"0",AH126=1,"150",AH126=2,"300",AH126=3,"450",AH126=4,"600",AH126=5,"750",AH126&gt;=6,"800"))),(VALUE(_xludf.IFS(AH126=0,"0",AH126=1,"150",AH126=2,"300",AH126=3,"450",AH126=4,"600",AH126=5,"750",AH126=6,"900",AH126&gt;=7,"1,000"))))</f>
        <v>#NAME?</v>
      </c>
      <c r="AJ126" s="88" t="str">
        <f t="shared" si="8"/>
        <v>Nina</v>
      </c>
      <c r="AK126" s="91"/>
    </row>
    <row r="127" spans="1:37" ht="18" customHeight="1">
      <c r="A127" s="101" t="s">
        <v>58</v>
      </c>
      <c r="B127" s="136" t="s">
        <v>141</v>
      </c>
      <c r="C127" s="135"/>
      <c r="D127" s="124"/>
      <c r="E127" s="135"/>
      <c r="F127" s="124"/>
      <c r="G127" s="135"/>
      <c r="H127" s="135"/>
      <c r="I127" s="135"/>
      <c r="J127" s="135"/>
      <c r="K127" s="124"/>
      <c r="L127" s="135"/>
      <c r="M127" s="124"/>
      <c r="N127" s="135"/>
      <c r="O127" s="135"/>
      <c r="P127" s="135"/>
      <c r="Q127" s="135"/>
      <c r="R127" s="124"/>
      <c r="S127" s="135"/>
      <c r="T127" s="124"/>
      <c r="U127" s="135"/>
      <c r="V127" s="135"/>
      <c r="W127" s="135"/>
      <c r="X127" s="135"/>
      <c r="Y127" s="124"/>
      <c r="Z127" s="135"/>
      <c r="AA127" s="124"/>
      <c r="AB127" s="135"/>
      <c r="AC127" s="135"/>
      <c r="AD127" s="135"/>
      <c r="AE127" s="135"/>
      <c r="AF127" s="124"/>
      <c r="AG127" s="135"/>
      <c r="AH127" s="86">
        <f t="shared" si="7"/>
        <v>0</v>
      </c>
      <c r="AI127" s="87" t="e">
        <f ca="1">IF(A127="O", (VALUE(_xludf.IFS(AH127=0,"0",AH127=1,"150",AH127=2,"300",AH127=3,"450",AH127=4,"600",AH127=5,"750",AH127&gt;=6,"800"))),(VALUE(_xludf.IFS(AH127=0,"0",AH127=1,"150",AH127=2,"300",AH127=3,"450",AH127=4,"600",AH127=5,"750",AH127=6,"900",AH127&gt;=7,"1,000"))))</f>
        <v>#NAME?</v>
      </c>
      <c r="AJ127" s="88" t="str">
        <f t="shared" si="8"/>
        <v>Cindy</v>
      </c>
      <c r="AK127" s="91"/>
    </row>
    <row r="128" spans="1:37" ht="18" customHeight="1">
      <c r="A128" s="101" t="s">
        <v>58</v>
      </c>
      <c r="B128" s="136" t="s">
        <v>142</v>
      </c>
      <c r="C128" s="135"/>
      <c r="D128" s="124"/>
      <c r="E128" s="135"/>
      <c r="F128" s="124"/>
      <c r="G128" s="135"/>
      <c r="H128" s="135"/>
      <c r="I128" s="135"/>
      <c r="J128" s="135"/>
      <c r="K128" s="124"/>
      <c r="L128" s="135"/>
      <c r="M128" s="124"/>
      <c r="N128" s="135"/>
      <c r="O128" s="135"/>
      <c r="P128" s="135"/>
      <c r="Q128" s="135"/>
      <c r="R128" s="124"/>
      <c r="S128" s="135"/>
      <c r="T128" s="124"/>
      <c r="U128" s="135"/>
      <c r="V128" s="135"/>
      <c r="W128" s="135"/>
      <c r="X128" s="135"/>
      <c r="Y128" s="124"/>
      <c r="Z128" s="135"/>
      <c r="AA128" s="124"/>
      <c r="AB128" s="135"/>
      <c r="AC128" s="135"/>
      <c r="AD128" s="135"/>
      <c r="AE128" s="135"/>
      <c r="AF128" s="124"/>
      <c r="AG128" s="135"/>
      <c r="AH128" s="86">
        <f t="shared" si="7"/>
        <v>0</v>
      </c>
      <c r="AI128" s="87" t="e">
        <f ca="1">IF(A128="O", (VALUE(_xludf.IFS(AH128=0,"0",AH128=1,"150",AH128=2,"300",AH128=3,"450",AH128=4,"600",AH128=5,"750",AH128&gt;=6,"800"))),(VALUE(_xludf.IFS(AH128=0,"0",AH128=1,"150",AH128=2,"300",AH128=3,"450",AH128=4,"600",AH128=5,"750",AH128=6,"900",AH128&gt;=7,"1,000"))))</f>
        <v>#NAME?</v>
      </c>
      <c r="AJ128" s="88" t="str">
        <f t="shared" si="8"/>
        <v>如靜</v>
      </c>
      <c r="AK128" s="91"/>
    </row>
    <row r="129" spans="1:37" ht="18" customHeight="1">
      <c r="A129" s="101" t="s">
        <v>58</v>
      </c>
      <c r="B129" s="136" t="s">
        <v>143</v>
      </c>
      <c r="C129" s="135"/>
      <c r="D129" s="124"/>
      <c r="E129" s="135"/>
      <c r="F129" s="124"/>
      <c r="G129" s="135"/>
      <c r="H129" s="135"/>
      <c r="I129" s="135"/>
      <c r="J129" s="135"/>
      <c r="K129" s="124"/>
      <c r="L129" s="135"/>
      <c r="M129" s="124"/>
      <c r="N129" s="135"/>
      <c r="O129" s="135"/>
      <c r="P129" s="135"/>
      <c r="Q129" s="135"/>
      <c r="R129" s="124"/>
      <c r="S129" s="135"/>
      <c r="T129" s="124"/>
      <c r="U129" s="135"/>
      <c r="V129" s="135"/>
      <c r="W129" s="135"/>
      <c r="X129" s="135"/>
      <c r="Y129" s="124"/>
      <c r="Z129" s="135"/>
      <c r="AA129" s="124"/>
      <c r="AB129" s="135"/>
      <c r="AC129" s="135"/>
      <c r="AD129" s="135"/>
      <c r="AE129" s="135"/>
      <c r="AF129" s="124"/>
      <c r="AG129" s="135"/>
      <c r="AH129" s="86">
        <f t="shared" si="7"/>
        <v>0</v>
      </c>
      <c r="AI129" s="87" t="e">
        <f ca="1">IF(A129="O", (VALUE(_xludf.IFS(AH129=0,"0",AH129=1,"150",AH129=2,"300",AH129=3,"450",AH129=4,"600",AH129=5,"750",AH129&gt;=6,"800"))),(VALUE(_xludf.IFS(AH129=0,"0",AH129=1,"150",AH129=2,"300",AH129=3,"450",AH129=4,"600",AH129=5,"750",AH129=6,"900",AH129&gt;=7,"1,000"))))</f>
        <v>#NAME?</v>
      </c>
      <c r="AJ129" s="88" t="str">
        <f t="shared" si="8"/>
        <v>毓玫</v>
      </c>
      <c r="AK129" s="91"/>
    </row>
    <row r="130" spans="1:37" ht="18" customHeight="1">
      <c r="A130" s="101" t="s">
        <v>58</v>
      </c>
      <c r="B130" s="136" t="s">
        <v>144</v>
      </c>
      <c r="C130" s="135"/>
      <c r="D130" s="124"/>
      <c r="E130" s="135"/>
      <c r="F130" s="124"/>
      <c r="G130" s="135"/>
      <c r="H130" s="135"/>
      <c r="I130" s="135"/>
      <c r="J130" s="135"/>
      <c r="K130" s="124"/>
      <c r="L130" s="135"/>
      <c r="M130" s="124"/>
      <c r="N130" s="135"/>
      <c r="O130" s="135"/>
      <c r="P130" s="135"/>
      <c r="Q130" s="135"/>
      <c r="R130" s="124"/>
      <c r="S130" s="135"/>
      <c r="T130" s="124"/>
      <c r="U130" s="135"/>
      <c r="V130" s="135"/>
      <c r="W130" s="135"/>
      <c r="X130" s="135"/>
      <c r="Y130" s="124"/>
      <c r="Z130" s="135"/>
      <c r="AA130" s="124"/>
      <c r="AB130" s="135"/>
      <c r="AC130" s="135"/>
      <c r="AD130" s="135"/>
      <c r="AE130" s="135"/>
      <c r="AF130" s="124"/>
      <c r="AG130" s="135"/>
      <c r="AH130" s="86">
        <f t="shared" si="7"/>
        <v>0</v>
      </c>
      <c r="AI130" s="87" t="e">
        <f ca="1">IF(A130="O", (VALUE(_xludf.IFS(AH130=0,"0",AH130=1,"150",AH130=2,"300",AH130=3,"450",AH130=4,"600",AH130=5,"750",AH130&gt;=6,"800"))),(VALUE(_xludf.IFS(AH130=0,"0",AH130=1,"150",AH130=2,"300",AH130=3,"450",AH130=4,"600",AH130=5,"750",AH130=6,"900",AH130&gt;=7,"1,000"))))</f>
        <v>#NAME?</v>
      </c>
      <c r="AJ130" s="88" t="str">
        <f t="shared" si="8"/>
        <v>美枝</v>
      </c>
      <c r="AK130" s="91"/>
    </row>
    <row r="131" spans="1:37" ht="18" customHeight="1">
      <c r="A131" s="101" t="s">
        <v>58</v>
      </c>
      <c r="B131" s="136" t="s">
        <v>145</v>
      </c>
      <c r="C131" s="135"/>
      <c r="D131" s="124"/>
      <c r="E131" s="135"/>
      <c r="F131" s="124"/>
      <c r="G131" s="135"/>
      <c r="H131" s="135"/>
      <c r="I131" s="135"/>
      <c r="J131" s="135"/>
      <c r="K131" s="124"/>
      <c r="L131" s="135"/>
      <c r="M131" s="124"/>
      <c r="N131" s="135"/>
      <c r="O131" s="135"/>
      <c r="P131" s="135"/>
      <c r="Q131" s="135"/>
      <c r="R131" s="124"/>
      <c r="S131" s="135"/>
      <c r="T131" s="124"/>
      <c r="U131" s="135"/>
      <c r="V131" s="135"/>
      <c r="W131" s="135"/>
      <c r="X131" s="135"/>
      <c r="Y131" s="124"/>
      <c r="Z131" s="135"/>
      <c r="AA131" s="124"/>
      <c r="AB131" s="135"/>
      <c r="AC131" s="135"/>
      <c r="AD131" s="135"/>
      <c r="AE131" s="135"/>
      <c r="AF131" s="124"/>
      <c r="AG131" s="135"/>
      <c r="AH131" s="86">
        <f t="shared" si="7"/>
        <v>0</v>
      </c>
      <c r="AI131" s="87" t="e">
        <f ca="1">IF(A131="O", (VALUE(_xludf.IFS(AH131=0,"0",AH131=1,"150",AH131=2,"300",AH131=3,"450",AH131=4,"600",AH131=5,"750",AH131&gt;=6,"800"))),(VALUE(_xludf.IFS(AH131=0,"0",AH131=1,"150",AH131=2,"300",AH131=3,"450",AH131=4,"600",AH131=5,"750",AH131=6,"900",AH131&gt;=7,"1,000"))))</f>
        <v>#NAME?</v>
      </c>
      <c r="AJ131" s="88" t="str">
        <f t="shared" si="8"/>
        <v>魯魯咪</v>
      </c>
      <c r="AK131" s="91"/>
    </row>
    <row r="132" spans="1:37" ht="18" customHeight="1">
      <c r="A132" s="120" t="s">
        <v>58</v>
      </c>
      <c r="B132" s="140" t="s">
        <v>41</v>
      </c>
      <c r="C132" s="141"/>
      <c r="D132" s="124"/>
      <c r="E132" s="141"/>
      <c r="F132" s="124"/>
      <c r="G132" s="141"/>
      <c r="H132" s="141"/>
      <c r="I132" s="141"/>
      <c r="J132" s="141"/>
      <c r="K132" s="124"/>
      <c r="L132" s="141"/>
      <c r="M132" s="124"/>
      <c r="N132" s="141"/>
      <c r="O132" s="141"/>
      <c r="P132" s="141"/>
      <c r="Q132" s="141"/>
      <c r="R132" s="124"/>
      <c r="S132" s="141"/>
      <c r="T132" s="124"/>
      <c r="U132" s="141"/>
      <c r="V132" s="141"/>
      <c r="W132" s="141"/>
      <c r="X132" s="141"/>
      <c r="Y132" s="124"/>
      <c r="Z132" s="141"/>
      <c r="AA132" s="124"/>
      <c r="AB132" s="141"/>
      <c r="AC132" s="141"/>
      <c r="AD132" s="141"/>
      <c r="AE132" s="141"/>
      <c r="AF132" s="124"/>
      <c r="AG132" s="141"/>
      <c r="AH132" s="107">
        <f t="shared" ref="AH132:AH163" si="9">COUNTA(C132:AG132)</f>
        <v>0</v>
      </c>
      <c r="AI132" s="108" t="e">
        <f ca="1">IF(A132="O", (VALUE(_xludf.IFS(AH132=0,"0",AH132=1,"150",AH132=2,"300",AH132=3,"450",AH132=4,"600",AH132=5,"750",AH132&gt;=6,"800"))),(VALUE(_xludf.IFS(AH132=0,"0",AH132=1,"150",AH132=2,"300",AH132=3,"450",AH132=4,"600",AH132=5,"750",AH132=6,"900",AH132&gt;=7,"1,000"))))</f>
        <v>#NAME?</v>
      </c>
      <c r="AJ132" s="109" t="str">
        <f t="shared" si="8"/>
        <v>軟軟</v>
      </c>
      <c r="AK132" s="110"/>
    </row>
    <row r="133" spans="1:37" ht="18" customHeight="1">
      <c r="A133" s="120" t="s">
        <v>58</v>
      </c>
      <c r="B133" s="140" t="s">
        <v>42</v>
      </c>
      <c r="C133" s="141"/>
      <c r="D133" s="124"/>
      <c r="E133" s="141"/>
      <c r="F133" s="124"/>
      <c r="G133" s="141"/>
      <c r="H133" s="141"/>
      <c r="I133" s="141"/>
      <c r="J133" s="141"/>
      <c r="K133" s="124"/>
      <c r="L133" s="141"/>
      <c r="M133" s="124"/>
      <c r="N133" s="141"/>
      <c r="O133" s="141"/>
      <c r="P133" s="141"/>
      <c r="Q133" s="141"/>
      <c r="R133" s="124"/>
      <c r="S133" s="141"/>
      <c r="T133" s="124"/>
      <c r="U133" s="141"/>
      <c r="V133" s="141"/>
      <c r="W133" s="141"/>
      <c r="X133" s="141"/>
      <c r="Y133" s="124"/>
      <c r="Z133" s="141"/>
      <c r="AA133" s="124"/>
      <c r="AB133" s="141"/>
      <c r="AC133" s="141"/>
      <c r="AD133" s="141"/>
      <c r="AE133" s="141"/>
      <c r="AF133" s="124"/>
      <c r="AG133" s="141"/>
      <c r="AH133" s="107">
        <f t="shared" si="9"/>
        <v>0</v>
      </c>
      <c r="AI133" s="108" t="e">
        <f ca="1">IF(A133="O", (VALUE(_xludf.IFS(AH133=0,"0",AH133=1,"150",AH133=2,"300",AH133=3,"450",AH133=4,"600",AH133=5,"750",AH133&gt;=6,"800"))),(VALUE(_xludf.IFS(AH133=0,"0",AH133=1,"150",AH133=2,"300",AH133=3,"450",AH133=4,"600",AH133=5,"750",AH133=6,"900",AH133&gt;=7,"1,000"))))</f>
        <v>#NAME?</v>
      </c>
      <c r="AJ133" s="109" t="str">
        <f t="shared" si="8"/>
        <v>屎蛋</v>
      </c>
      <c r="AK133" s="110"/>
    </row>
  </sheetData>
  <mergeCells count="5">
    <mergeCell ref="AI1:AI3"/>
    <mergeCell ref="AJ1:AJ3"/>
    <mergeCell ref="AH1:AH3"/>
    <mergeCell ref="A1:B1"/>
    <mergeCell ref="AK1:AK2"/>
  </mergeCells>
  <phoneticPr fontId="12" type="noConversion"/>
  <conditionalFormatting sqref="B2:B4 B7:B9 B11 B13:B133">
    <cfRule type="expression" dxfId="19" priority="1">
      <formula>COUNTIF($B:$B,$B2)&gt;1</formula>
    </cfRule>
  </conditionalFormatting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A9999"/>
    <outlinePr summaryBelow="0" summaryRight="0"/>
    <pageSetUpPr fitToPage="1"/>
  </sheetPr>
  <dimension ref="A1:AK13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3" width="4.81640625" customWidth="1"/>
    <col min="34" max="34" width="4.453125" customWidth="1"/>
    <col min="35" max="35" width="6" customWidth="1"/>
    <col min="36" max="36" width="6.1796875" customWidth="1"/>
    <col min="37" max="37" width="13.26953125" customWidth="1"/>
  </cols>
  <sheetData>
    <row r="1" spans="1:37" ht="18" customHeight="1">
      <c r="A1" s="287" t="s">
        <v>0</v>
      </c>
      <c r="B1" s="280"/>
      <c r="C1" s="51" t="s">
        <v>219</v>
      </c>
      <c r="D1" s="51" t="s">
        <v>184</v>
      </c>
      <c r="E1" s="51" t="s">
        <v>14</v>
      </c>
      <c r="F1" s="51" t="s">
        <v>219</v>
      </c>
      <c r="G1" s="51" t="s">
        <v>19</v>
      </c>
      <c r="H1" s="51" t="s">
        <v>219</v>
      </c>
      <c r="I1" s="51" t="s">
        <v>13</v>
      </c>
      <c r="J1" s="51" t="s">
        <v>219</v>
      </c>
      <c r="K1" s="51" t="s">
        <v>184</v>
      </c>
      <c r="L1" s="51" t="s">
        <v>14</v>
      </c>
      <c r="M1" s="51" t="s">
        <v>22</v>
      </c>
      <c r="N1" s="51" t="s">
        <v>19</v>
      </c>
      <c r="O1" s="51" t="s">
        <v>219</v>
      </c>
      <c r="P1" s="51" t="s">
        <v>13</v>
      </c>
      <c r="Q1" s="51" t="s">
        <v>219</v>
      </c>
      <c r="R1" s="51" t="s">
        <v>184</v>
      </c>
      <c r="S1" s="51" t="s">
        <v>14</v>
      </c>
      <c r="T1" s="51" t="s">
        <v>22</v>
      </c>
      <c r="U1" s="51" t="s">
        <v>19</v>
      </c>
      <c r="V1" s="51" t="s">
        <v>219</v>
      </c>
      <c r="W1" s="51" t="s">
        <v>13</v>
      </c>
      <c r="X1" s="51" t="s">
        <v>219</v>
      </c>
      <c r="Y1" s="51" t="s">
        <v>184</v>
      </c>
      <c r="Z1" s="51" t="s">
        <v>22</v>
      </c>
      <c r="AA1" s="51" t="s">
        <v>22</v>
      </c>
      <c r="AB1" s="51" t="s">
        <v>19</v>
      </c>
      <c r="AC1" s="51" t="s">
        <v>219</v>
      </c>
      <c r="AD1" s="51" t="s">
        <v>13</v>
      </c>
      <c r="AE1" s="51" t="s">
        <v>219</v>
      </c>
      <c r="AF1" s="51" t="s">
        <v>184</v>
      </c>
      <c r="AG1" s="126" t="s">
        <v>219</v>
      </c>
      <c r="AH1" s="286" t="s">
        <v>6</v>
      </c>
      <c r="AI1" s="284" t="s">
        <v>7</v>
      </c>
      <c r="AJ1" s="285" t="s">
        <v>172</v>
      </c>
      <c r="AK1" s="288" t="s">
        <v>1</v>
      </c>
    </row>
    <row r="2" spans="1:37" ht="18" customHeight="1">
      <c r="A2" s="53" t="s">
        <v>2</v>
      </c>
      <c r="B2" s="113" t="s">
        <v>3</v>
      </c>
      <c r="C2" s="56">
        <v>45505</v>
      </c>
      <c r="D2" s="55">
        <v>45506</v>
      </c>
      <c r="E2" s="55">
        <v>45507</v>
      </c>
      <c r="F2" s="127">
        <v>45508</v>
      </c>
      <c r="G2" s="55">
        <v>45509</v>
      </c>
      <c r="H2" s="56">
        <v>45510</v>
      </c>
      <c r="I2" s="55">
        <v>45511</v>
      </c>
      <c r="J2" s="56">
        <v>45512</v>
      </c>
      <c r="K2" s="55">
        <v>45513</v>
      </c>
      <c r="L2" s="55">
        <v>45514</v>
      </c>
      <c r="M2" s="55">
        <v>45515</v>
      </c>
      <c r="N2" s="55">
        <v>45516</v>
      </c>
      <c r="O2" s="56">
        <v>45517</v>
      </c>
      <c r="P2" s="55">
        <v>45518</v>
      </c>
      <c r="Q2" s="56">
        <v>45519</v>
      </c>
      <c r="R2" s="55">
        <v>45520</v>
      </c>
      <c r="S2" s="55">
        <v>45521</v>
      </c>
      <c r="T2" s="55">
        <v>45522</v>
      </c>
      <c r="U2" s="55">
        <v>45523</v>
      </c>
      <c r="V2" s="56">
        <v>45524</v>
      </c>
      <c r="W2" s="55">
        <v>45525</v>
      </c>
      <c r="X2" s="56">
        <v>45526</v>
      </c>
      <c r="Y2" s="55">
        <v>45527</v>
      </c>
      <c r="Z2" s="55">
        <v>45528</v>
      </c>
      <c r="AA2" s="55">
        <v>45529</v>
      </c>
      <c r="AB2" s="55">
        <v>45530</v>
      </c>
      <c r="AC2" s="56">
        <v>45531</v>
      </c>
      <c r="AD2" s="55">
        <v>45532</v>
      </c>
      <c r="AE2" s="56">
        <v>45533</v>
      </c>
      <c r="AF2" s="55">
        <v>45534</v>
      </c>
      <c r="AG2" s="127">
        <v>45535</v>
      </c>
      <c r="AH2" s="282"/>
      <c r="AI2" s="277"/>
      <c r="AJ2" s="272"/>
      <c r="AK2" s="275"/>
    </row>
    <row r="3" spans="1:37" ht="18" customHeight="1">
      <c r="A3" s="53" t="s">
        <v>4</v>
      </c>
      <c r="B3" s="113" t="s">
        <v>5</v>
      </c>
      <c r="C3" s="52">
        <f t="shared" ref="C3:AG3" si="0">WEEKDAY(C2-1)</f>
        <v>4</v>
      </c>
      <c r="D3" s="51">
        <f t="shared" si="0"/>
        <v>5</v>
      </c>
      <c r="E3" s="51">
        <f t="shared" si="0"/>
        <v>6</v>
      </c>
      <c r="F3" s="126">
        <f t="shared" si="0"/>
        <v>7</v>
      </c>
      <c r="G3" s="51">
        <f t="shared" si="0"/>
        <v>1</v>
      </c>
      <c r="H3" s="52">
        <f t="shared" si="0"/>
        <v>2</v>
      </c>
      <c r="I3" s="51">
        <f t="shared" si="0"/>
        <v>3</v>
      </c>
      <c r="J3" s="52">
        <f t="shared" si="0"/>
        <v>4</v>
      </c>
      <c r="K3" s="51">
        <f t="shared" si="0"/>
        <v>5</v>
      </c>
      <c r="L3" s="51">
        <f t="shared" si="0"/>
        <v>6</v>
      </c>
      <c r="M3" s="51">
        <f t="shared" si="0"/>
        <v>7</v>
      </c>
      <c r="N3" s="51">
        <f t="shared" si="0"/>
        <v>1</v>
      </c>
      <c r="O3" s="52">
        <f t="shared" si="0"/>
        <v>2</v>
      </c>
      <c r="P3" s="51">
        <f t="shared" si="0"/>
        <v>3</v>
      </c>
      <c r="Q3" s="52">
        <f t="shared" si="0"/>
        <v>4</v>
      </c>
      <c r="R3" s="51">
        <f t="shared" si="0"/>
        <v>5</v>
      </c>
      <c r="S3" s="51">
        <f t="shared" si="0"/>
        <v>6</v>
      </c>
      <c r="T3" s="51">
        <f t="shared" si="0"/>
        <v>7</v>
      </c>
      <c r="U3" s="51">
        <f t="shared" si="0"/>
        <v>1</v>
      </c>
      <c r="V3" s="52">
        <f t="shared" si="0"/>
        <v>2</v>
      </c>
      <c r="W3" s="51">
        <f t="shared" si="0"/>
        <v>3</v>
      </c>
      <c r="X3" s="52">
        <f t="shared" si="0"/>
        <v>4</v>
      </c>
      <c r="Y3" s="51">
        <f t="shared" si="0"/>
        <v>5</v>
      </c>
      <c r="Z3" s="51">
        <f t="shared" si="0"/>
        <v>6</v>
      </c>
      <c r="AA3" s="51">
        <f t="shared" si="0"/>
        <v>7</v>
      </c>
      <c r="AB3" s="51">
        <f t="shared" si="0"/>
        <v>1</v>
      </c>
      <c r="AC3" s="52">
        <f t="shared" si="0"/>
        <v>2</v>
      </c>
      <c r="AD3" s="51">
        <f t="shared" si="0"/>
        <v>3</v>
      </c>
      <c r="AE3" s="52">
        <f t="shared" si="0"/>
        <v>4</v>
      </c>
      <c r="AF3" s="51">
        <f t="shared" si="0"/>
        <v>5</v>
      </c>
      <c r="AG3" s="126">
        <f t="shared" si="0"/>
        <v>6</v>
      </c>
      <c r="AH3" s="283"/>
      <c r="AI3" s="278"/>
      <c r="AJ3" s="273"/>
      <c r="AK3" s="62" t="e">
        <f ca="1">SUM(AI4:AI136)</f>
        <v>#NAME?</v>
      </c>
    </row>
    <row r="4" spans="1:37" ht="18" customHeight="1">
      <c r="A4" s="92" t="s">
        <v>58</v>
      </c>
      <c r="B4" s="117" t="s">
        <v>24</v>
      </c>
      <c r="C4" s="119"/>
      <c r="D4" s="118">
        <v>1</v>
      </c>
      <c r="E4" s="118"/>
      <c r="F4" s="128"/>
      <c r="G4" s="118"/>
      <c r="H4" s="119"/>
      <c r="I4" s="118">
        <v>1</v>
      </c>
      <c r="J4" s="119"/>
      <c r="K4" s="118">
        <v>1</v>
      </c>
      <c r="L4" s="118">
        <v>1</v>
      </c>
      <c r="M4" s="118"/>
      <c r="N4" s="118">
        <v>1</v>
      </c>
      <c r="O4" s="119"/>
      <c r="P4" s="118"/>
      <c r="Q4" s="119"/>
      <c r="R4" s="118"/>
      <c r="S4" s="118"/>
      <c r="T4" s="118"/>
      <c r="U4" s="118"/>
      <c r="V4" s="119"/>
      <c r="W4" s="118">
        <v>1</v>
      </c>
      <c r="X4" s="119"/>
      <c r="Y4" s="118">
        <v>1</v>
      </c>
      <c r="Z4" s="118"/>
      <c r="AA4" s="118"/>
      <c r="AB4" s="118">
        <v>1</v>
      </c>
      <c r="AC4" s="119"/>
      <c r="AD4" s="118">
        <v>1</v>
      </c>
      <c r="AE4" s="119"/>
      <c r="AF4" s="118">
        <v>1</v>
      </c>
      <c r="AG4" s="128"/>
      <c r="AH4" s="66">
        <f t="shared" ref="AH4:AH35" si="1">COUNTA(C4:AG4)</f>
        <v>10</v>
      </c>
      <c r="AI4" s="68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69" t="str">
        <f t="shared" ref="AJ4:AJ39" si="2">B4</f>
        <v>大熊</v>
      </c>
      <c r="AK4" s="73"/>
    </row>
    <row r="5" spans="1:37" ht="18" customHeight="1">
      <c r="A5" s="95" t="s">
        <v>58</v>
      </c>
      <c r="B5" s="129" t="s">
        <v>64</v>
      </c>
      <c r="C5" s="124"/>
      <c r="D5" s="123">
        <v>1</v>
      </c>
      <c r="E5" s="123">
        <v>1</v>
      </c>
      <c r="F5" s="130"/>
      <c r="G5" s="123"/>
      <c r="H5" s="124"/>
      <c r="I5" s="123">
        <v>1</v>
      </c>
      <c r="J5" s="124"/>
      <c r="K5" s="123">
        <v>1</v>
      </c>
      <c r="L5" s="123">
        <v>1</v>
      </c>
      <c r="M5" s="123"/>
      <c r="N5" s="123"/>
      <c r="O5" s="124"/>
      <c r="P5" s="123">
        <v>1</v>
      </c>
      <c r="Q5" s="124"/>
      <c r="R5" s="123">
        <v>1</v>
      </c>
      <c r="S5" s="123"/>
      <c r="T5" s="123"/>
      <c r="U5" s="123"/>
      <c r="V5" s="124"/>
      <c r="W5" s="123">
        <v>1</v>
      </c>
      <c r="X5" s="124"/>
      <c r="Y5" s="123">
        <v>1</v>
      </c>
      <c r="Z5" s="123"/>
      <c r="AA5" s="123"/>
      <c r="AB5" s="123"/>
      <c r="AC5" s="124"/>
      <c r="AD5" s="123">
        <v>1</v>
      </c>
      <c r="AE5" s="124"/>
      <c r="AF5" s="123"/>
      <c r="AG5" s="130"/>
      <c r="AH5" s="66">
        <f t="shared" si="1"/>
        <v>10</v>
      </c>
      <c r="AI5" s="68" t="e">
        <f ca="1">IF(A5="O", (VALUE(_xludf.IFS(AH5=0,"0",AH5=1,"150",AH5=2,"300",AH5=3,"450",AH5=4,"600",AH5=5,"750",AH5&gt;=6,"800"))),(VALUE(_xludf.IFS(AH5=0,"0",AH5=1,"150",AH5=2,"300",AH5=3,"450",AH5=4,"600",AH5=5,"750",AH5=6,"900",AH5&gt;=7,"1,000"))))</f>
        <v>#NAME?</v>
      </c>
      <c r="AJ5" s="69" t="str">
        <f t="shared" si="2"/>
        <v>園棠</v>
      </c>
      <c r="AK5" s="73"/>
    </row>
    <row r="6" spans="1:37" ht="18" customHeight="1">
      <c r="A6" s="95" t="s">
        <v>58</v>
      </c>
      <c r="B6" s="129" t="s">
        <v>178</v>
      </c>
      <c r="C6" s="124"/>
      <c r="D6" s="123">
        <v>1</v>
      </c>
      <c r="E6" s="123"/>
      <c r="F6" s="130"/>
      <c r="G6" s="123"/>
      <c r="H6" s="124"/>
      <c r="I6" s="123"/>
      <c r="J6" s="124"/>
      <c r="K6" s="123"/>
      <c r="L6" s="123"/>
      <c r="M6" s="123">
        <v>1</v>
      </c>
      <c r="N6" s="123"/>
      <c r="O6" s="124"/>
      <c r="P6" s="123"/>
      <c r="Q6" s="124"/>
      <c r="R6" s="123"/>
      <c r="S6" s="123">
        <v>1</v>
      </c>
      <c r="T6" s="123"/>
      <c r="U6" s="123">
        <v>1</v>
      </c>
      <c r="V6" s="124"/>
      <c r="W6" s="123"/>
      <c r="X6" s="124"/>
      <c r="Y6" s="123">
        <v>1</v>
      </c>
      <c r="Z6" s="123"/>
      <c r="AA6" s="123">
        <v>1</v>
      </c>
      <c r="AB6" s="123">
        <v>1</v>
      </c>
      <c r="AC6" s="124"/>
      <c r="AD6" s="123"/>
      <c r="AE6" s="124"/>
      <c r="AF6" s="123">
        <v>1</v>
      </c>
      <c r="AG6" s="130"/>
      <c r="AH6" s="66">
        <f t="shared" si="1"/>
        <v>8</v>
      </c>
      <c r="AI6" s="68" t="e">
        <f ca="1">IF(A6="O", (VALUE(_xludf.IFS(AH6=0,"0",AH6=1,"150",AH6=2,"300",AH6=3,"450",AH6=4,"600",AH6=5,"750",AH6&gt;=6,"800"))),(VALUE(_xludf.IFS(AH6=0,"0",AH6=1,"150",AH6=2,"300",AH6=3,"450",AH6=4,"600",AH6=5,"750",AH6=6,"900",AH6&gt;=7,"1,000"))))</f>
        <v>#NAME?</v>
      </c>
      <c r="AJ6" s="69" t="str">
        <f t="shared" si="2"/>
        <v>Fish</v>
      </c>
      <c r="AK6" s="73"/>
    </row>
    <row r="7" spans="1:37" ht="18" customHeight="1">
      <c r="A7" s="95" t="s">
        <v>58</v>
      </c>
      <c r="B7" s="125" t="s">
        <v>25</v>
      </c>
      <c r="C7" s="124"/>
      <c r="D7" s="123">
        <v>1</v>
      </c>
      <c r="E7" s="123"/>
      <c r="F7" s="130"/>
      <c r="G7" s="123">
        <v>1</v>
      </c>
      <c r="H7" s="124"/>
      <c r="I7" s="123"/>
      <c r="J7" s="124"/>
      <c r="K7" s="123">
        <v>1</v>
      </c>
      <c r="L7" s="123"/>
      <c r="M7" s="123">
        <v>1</v>
      </c>
      <c r="N7" s="123"/>
      <c r="O7" s="124"/>
      <c r="P7" s="123"/>
      <c r="Q7" s="124"/>
      <c r="R7" s="123">
        <v>1</v>
      </c>
      <c r="S7" s="123"/>
      <c r="T7" s="123"/>
      <c r="U7" s="123">
        <v>1</v>
      </c>
      <c r="V7" s="124"/>
      <c r="W7" s="123"/>
      <c r="X7" s="124"/>
      <c r="Y7" s="123">
        <v>1</v>
      </c>
      <c r="Z7" s="123"/>
      <c r="AA7" s="123"/>
      <c r="AB7" s="123">
        <v>1</v>
      </c>
      <c r="AC7" s="124"/>
      <c r="AD7" s="123"/>
      <c r="AE7" s="124"/>
      <c r="AF7" s="123">
        <v>1</v>
      </c>
      <c r="AG7" s="130"/>
      <c r="AH7" s="66">
        <f t="shared" si="1"/>
        <v>9</v>
      </c>
      <c r="AI7" s="68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69" t="str">
        <f t="shared" si="2"/>
        <v>潘潘</v>
      </c>
      <c r="AK7" s="73"/>
    </row>
    <row r="8" spans="1:37" ht="18" customHeight="1">
      <c r="A8" s="95" t="s">
        <v>58</v>
      </c>
      <c r="B8" s="125" t="s">
        <v>26</v>
      </c>
      <c r="C8" s="124"/>
      <c r="D8" s="123"/>
      <c r="E8" s="123"/>
      <c r="F8" s="130"/>
      <c r="G8" s="123">
        <v>1</v>
      </c>
      <c r="H8" s="124"/>
      <c r="I8" s="123">
        <v>1</v>
      </c>
      <c r="J8" s="124"/>
      <c r="K8" s="123">
        <v>1</v>
      </c>
      <c r="L8" s="123"/>
      <c r="M8" s="123"/>
      <c r="N8" s="123">
        <v>1</v>
      </c>
      <c r="O8" s="124"/>
      <c r="P8" s="123"/>
      <c r="Q8" s="124"/>
      <c r="R8" s="123">
        <v>1</v>
      </c>
      <c r="S8" s="123"/>
      <c r="T8" s="123"/>
      <c r="U8" s="123">
        <v>1</v>
      </c>
      <c r="V8" s="124"/>
      <c r="W8" s="123">
        <v>1</v>
      </c>
      <c r="X8" s="124"/>
      <c r="Y8" s="123">
        <v>1</v>
      </c>
      <c r="Z8" s="123"/>
      <c r="AA8" s="123"/>
      <c r="AB8" s="123">
        <v>1</v>
      </c>
      <c r="AC8" s="124"/>
      <c r="AD8" s="123">
        <v>1</v>
      </c>
      <c r="AE8" s="124"/>
      <c r="AF8" s="123">
        <v>1</v>
      </c>
      <c r="AG8" s="130"/>
      <c r="AH8" s="66">
        <f t="shared" si="1"/>
        <v>11</v>
      </c>
      <c r="AI8" s="68" t="e">
        <f ca="1">IF(A8="O", (VALUE(_xludf.IFS(AH8=0,"0",AH8=1,"150",AH8=2,"300",AH8=3,"450",AH8=4,"600",AH8=5,"750",AH8&gt;=6,"800"))),(VALUE(_xludf.IFS(AH8=0,"0",AH8=1,"150",AH8=2,"300",AH8=3,"450",AH8=4,"600",AH8=5,"750",AH8=6,"900",AH8&gt;=7,"1,000"))))</f>
        <v>#NAME?</v>
      </c>
      <c r="AJ8" s="69" t="str">
        <f t="shared" si="2"/>
        <v>曉強</v>
      </c>
      <c r="AK8" s="73"/>
    </row>
    <row r="9" spans="1:37" ht="18" customHeight="1">
      <c r="A9" s="99" t="s">
        <v>58</v>
      </c>
      <c r="B9" s="131" t="s">
        <v>151</v>
      </c>
      <c r="C9" s="124"/>
      <c r="D9" s="133">
        <v>1</v>
      </c>
      <c r="E9" s="133"/>
      <c r="F9" s="130"/>
      <c r="G9" s="133"/>
      <c r="H9" s="124"/>
      <c r="I9" s="133"/>
      <c r="J9" s="124"/>
      <c r="K9" s="133">
        <v>1</v>
      </c>
      <c r="L9" s="133">
        <v>1</v>
      </c>
      <c r="M9" s="133"/>
      <c r="N9" s="133"/>
      <c r="O9" s="124"/>
      <c r="P9" s="133">
        <v>1</v>
      </c>
      <c r="Q9" s="124"/>
      <c r="R9" s="133">
        <v>1</v>
      </c>
      <c r="S9" s="133"/>
      <c r="T9" s="133"/>
      <c r="U9" s="133"/>
      <c r="V9" s="124"/>
      <c r="W9" s="133">
        <v>1</v>
      </c>
      <c r="X9" s="124"/>
      <c r="Y9" s="133">
        <v>1</v>
      </c>
      <c r="Z9" s="133"/>
      <c r="AA9" s="133"/>
      <c r="AB9" s="133"/>
      <c r="AC9" s="124"/>
      <c r="AD9" s="133">
        <v>1</v>
      </c>
      <c r="AE9" s="124"/>
      <c r="AF9" s="133"/>
      <c r="AG9" s="130"/>
      <c r="AH9" s="77">
        <f t="shared" si="1"/>
        <v>8</v>
      </c>
      <c r="AI9" s="78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79" t="str">
        <f t="shared" si="2"/>
        <v>宇嬅</v>
      </c>
      <c r="AK9" s="82"/>
    </row>
    <row r="10" spans="1:37" ht="18" customHeight="1">
      <c r="A10" s="101" t="s">
        <v>58</v>
      </c>
      <c r="B10" s="134" t="s">
        <v>124</v>
      </c>
      <c r="C10" s="124"/>
      <c r="D10" s="135">
        <v>1</v>
      </c>
      <c r="E10" s="135"/>
      <c r="F10" s="130"/>
      <c r="G10" s="135"/>
      <c r="H10" s="124"/>
      <c r="I10" s="135">
        <v>1</v>
      </c>
      <c r="J10" s="124"/>
      <c r="K10" s="135">
        <v>1</v>
      </c>
      <c r="L10" s="135">
        <v>1</v>
      </c>
      <c r="M10" s="135"/>
      <c r="N10" s="135">
        <v>1</v>
      </c>
      <c r="O10" s="124"/>
      <c r="P10" s="135">
        <v>1</v>
      </c>
      <c r="Q10" s="124"/>
      <c r="R10" s="135"/>
      <c r="S10" s="135"/>
      <c r="T10" s="135"/>
      <c r="U10" s="135"/>
      <c r="V10" s="124"/>
      <c r="W10" s="135"/>
      <c r="X10" s="124"/>
      <c r="Y10" s="135"/>
      <c r="Z10" s="135"/>
      <c r="AA10" s="135"/>
      <c r="AB10" s="135">
        <v>1</v>
      </c>
      <c r="AC10" s="124"/>
      <c r="AD10" s="135"/>
      <c r="AE10" s="124"/>
      <c r="AF10" s="135"/>
      <c r="AG10" s="130"/>
      <c r="AH10" s="86">
        <f t="shared" si="1"/>
        <v>7</v>
      </c>
      <c r="AI10" s="87" t="e">
        <f ca="1">IF(A10="O", (VALUE(_xludf.IFS(AH10=0,"0",AH10=1,"150",AH10=2,"300",AH10=3,"450",AH10=4,"600",AH10=5,"750",AH10&gt;=6,"800"))),(VALUE(_xludf.IFS(AH10=0,"0",AH10=1,"150",AH10=2,"300",AH10=3,"450",AH10=4,"600",AH10=5,"750",AH10=6,"900",AH10&gt;=7,"1,000"))))</f>
        <v>#NAME?</v>
      </c>
      <c r="AJ10" s="88" t="str">
        <f t="shared" si="2"/>
        <v>玉蕙</v>
      </c>
      <c r="AK10" s="89"/>
    </row>
    <row r="11" spans="1:37" ht="18" customHeight="1">
      <c r="A11" s="101" t="s">
        <v>58</v>
      </c>
      <c r="B11" s="136" t="s">
        <v>127</v>
      </c>
      <c r="C11" s="124"/>
      <c r="D11" s="135">
        <v>1</v>
      </c>
      <c r="E11" s="135"/>
      <c r="F11" s="130"/>
      <c r="G11" s="135"/>
      <c r="H11" s="124"/>
      <c r="I11" s="135">
        <v>1</v>
      </c>
      <c r="J11" s="124"/>
      <c r="K11" s="135">
        <v>1</v>
      </c>
      <c r="L11" s="135"/>
      <c r="M11" s="135">
        <v>1</v>
      </c>
      <c r="N11" s="135"/>
      <c r="O11" s="124"/>
      <c r="P11" s="135">
        <v>1</v>
      </c>
      <c r="Q11" s="124"/>
      <c r="R11" s="135"/>
      <c r="S11" s="135"/>
      <c r="T11" s="135"/>
      <c r="U11" s="135">
        <v>1</v>
      </c>
      <c r="V11" s="124"/>
      <c r="W11" s="135"/>
      <c r="X11" s="124"/>
      <c r="Y11" s="135">
        <v>1</v>
      </c>
      <c r="Z11" s="135"/>
      <c r="AA11" s="135"/>
      <c r="AB11" s="135">
        <v>1</v>
      </c>
      <c r="AC11" s="124"/>
      <c r="AD11" s="135"/>
      <c r="AE11" s="124"/>
      <c r="AF11" s="135">
        <v>1</v>
      </c>
      <c r="AG11" s="130"/>
      <c r="AH11" s="86">
        <f t="shared" si="1"/>
        <v>9</v>
      </c>
      <c r="AI11" s="87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88" t="str">
        <f t="shared" si="2"/>
        <v>小雞</v>
      </c>
      <c r="AK11" s="89"/>
    </row>
    <row r="12" spans="1:37" ht="18" customHeight="1">
      <c r="A12" s="95" t="s">
        <v>58</v>
      </c>
      <c r="B12" s="129" t="s">
        <v>62</v>
      </c>
      <c r="C12" s="124"/>
      <c r="D12" s="123"/>
      <c r="E12" s="123"/>
      <c r="F12" s="130"/>
      <c r="G12" s="123">
        <v>1</v>
      </c>
      <c r="H12" s="124"/>
      <c r="I12" s="123"/>
      <c r="J12" s="124"/>
      <c r="K12" s="123">
        <v>1</v>
      </c>
      <c r="L12" s="123">
        <v>1</v>
      </c>
      <c r="M12" s="123"/>
      <c r="N12" s="123"/>
      <c r="O12" s="124"/>
      <c r="P12" s="123"/>
      <c r="Q12" s="124"/>
      <c r="R12" s="123"/>
      <c r="S12" s="123"/>
      <c r="T12" s="123">
        <v>1</v>
      </c>
      <c r="U12" s="123"/>
      <c r="V12" s="124"/>
      <c r="W12" s="123"/>
      <c r="X12" s="124"/>
      <c r="Y12" s="123"/>
      <c r="Z12" s="123"/>
      <c r="AA12" s="123"/>
      <c r="AB12" s="123"/>
      <c r="AC12" s="124"/>
      <c r="AD12" s="123">
        <v>1</v>
      </c>
      <c r="AE12" s="124"/>
      <c r="AF12" s="123">
        <v>1</v>
      </c>
      <c r="AG12" s="130"/>
      <c r="AH12" s="66">
        <f t="shared" si="1"/>
        <v>6</v>
      </c>
      <c r="AI12" s="68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69" t="str">
        <f t="shared" si="2"/>
        <v>國源</v>
      </c>
      <c r="AK12" s="73"/>
    </row>
    <row r="13" spans="1:37" ht="18" customHeight="1">
      <c r="A13" s="99" t="s">
        <v>58</v>
      </c>
      <c r="B13" s="131" t="s">
        <v>96</v>
      </c>
      <c r="C13" s="124"/>
      <c r="D13" s="133"/>
      <c r="E13" s="133"/>
      <c r="F13" s="130"/>
      <c r="G13" s="133">
        <v>1</v>
      </c>
      <c r="H13" s="124"/>
      <c r="I13" s="133">
        <v>1</v>
      </c>
      <c r="J13" s="124"/>
      <c r="K13" s="133"/>
      <c r="L13" s="133"/>
      <c r="M13" s="133"/>
      <c r="N13" s="133">
        <v>1</v>
      </c>
      <c r="O13" s="124"/>
      <c r="P13" s="133">
        <v>1</v>
      </c>
      <c r="Q13" s="124"/>
      <c r="R13" s="133"/>
      <c r="S13" s="133"/>
      <c r="T13" s="133"/>
      <c r="U13" s="133"/>
      <c r="V13" s="124"/>
      <c r="W13" s="133"/>
      <c r="X13" s="124"/>
      <c r="Y13" s="133"/>
      <c r="Z13" s="133"/>
      <c r="AA13" s="133"/>
      <c r="AB13" s="133">
        <v>1</v>
      </c>
      <c r="AC13" s="124"/>
      <c r="AD13" s="133">
        <v>1</v>
      </c>
      <c r="AE13" s="124"/>
      <c r="AF13" s="133"/>
      <c r="AG13" s="130"/>
      <c r="AH13" s="77">
        <f t="shared" si="1"/>
        <v>6</v>
      </c>
      <c r="AI13" s="78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79" t="str">
        <f t="shared" si="2"/>
        <v>靜婷</v>
      </c>
      <c r="AK13" s="81"/>
    </row>
    <row r="14" spans="1:37" ht="18" customHeight="1">
      <c r="A14" s="95" t="s">
        <v>174</v>
      </c>
      <c r="B14" s="125" t="s">
        <v>10</v>
      </c>
      <c r="C14" s="124"/>
      <c r="D14" s="123">
        <v>1</v>
      </c>
      <c r="E14" s="123">
        <v>1</v>
      </c>
      <c r="F14" s="130"/>
      <c r="G14" s="123"/>
      <c r="H14" s="124"/>
      <c r="I14" s="123">
        <v>1</v>
      </c>
      <c r="J14" s="124"/>
      <c r="K14" s="123"/>
      <c r="L14" s="123"/>
      <c r="M14" s="123"/>
      <c r="N14" s="123">
        <v>1</v>
      </c>
      <c r="O14" s="124"/>
      <c r="P14" s="123">
        <v>1</v>
      </c>
      <c r="Q14" s="124"/>
      <c r="R14" s="123">
        <v>1</v>
      </c>
      <c r="S14" s="123">
        <v>1</v>
      </c>
      <c r="T14" s="123"/>
      <c r="U14" s="123"/>
      <c r="V14" s="124"/>
      <c r="W14" s="123">
        <v>1</v>
      </c>
      <c r="X14" s="124"/>
      <c r="Y14" s="123">
        <v>1</v>
      </c>
      <c r="Z14" s="123"/>
      <c r="AA14" s="123"/>
      <c r="AB14" s="123">
        <v>1</v>
      </c>
      <c r="AC14" s="124"/>
      <c r="AD14" s="123">
        <v>1</v>
      </c>
      <c r="AE14" s="124"/>
      <c r="AF14" s="123">
        <v>1</v>
      </c>
      <c r="AG14" s="130"/>
      <c r="AH14" s="66">
        <f t="shared" si="1"/>
        <v>12</v>
      </c>
      <c r="AI14" s="68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69" t="str">
        <f t="shared" si="2"/>
        <v>阿發</v>
      </c>
      <c r="AK14" s="70"/>
    </row>
    <row r="15" spans="1:37" ht="18" customHeight="1">
      <c r="A15" s="95" t="s">
        <v>174</v>
      </c>
      <c r="B15" s="125" t="s">
        <v>15</v>
      </c>
      <c r="C15" s="124"/>
      <c r="D15" s="123">
        <v>1</v>
      </c>
      <c r="E15" s="123"/>
      <c r="F15" s="130"/>
      <c r="G15" s="123"/>
      <c r="H15" s="124"/>
      <c r="I15" s="123">
        <v>1</v>
      </c>
      <c r="J15" s="124"/>
      <c r="K15" s="123">
        <v>1</v>
      </c>
      <c r="L15" s="123"/>
      <c r="M15" s="123">
        <v>1</v>
      </c>
      <c r="N15" s="123"/>
      <c r="O15" s="124"/>
      <c r="P15" s="123"/>
      <c r="Q15" s="124"/>
      <c r="R15" s="123">
        <v>1</v>
      </c>
      <c r="S15" s="123">
        <v>1</v>
      </c>
      <c r="T15" s="123"/>
      <c r="U15" s="123"/>
      <c r="V15" s="124"/>
      <c r="W15" s="123">
        <v>1</v>
      </c>
      <c r="X15" s="124"/>
      <c r="Y15" s="123">
        <v>1</v>
      </c>
      <c r="Z15" s="123"/>
      <c r="AA15" s="123">
        <v>1</v>
      </c>
      <c r="AB15" s="123"/>
      <c r="AC15" s="124"/>
      <c r="AD15" s="123"/>
      <c r="AE15" s="124"/>
      <c r="AF15" s="123"/>
      <c r="AG15" s="130"/>
      <c r="AH15" s="66">
        <f t="shared" si="1"/>
        <v>9</v>
      </c>
      <c r="AI15" s="68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69" t="str">
        <f t="shared" si="2"/>
        <v>大支</v>
      </c>
      <c r="AK15" s="70"/>
    </row>
    <row r="16" spans="1:37" ht="18" customHeight="1">
      <c r="A16" s="95" t="s">
        <v>174</v>
      </c>
      <c r="B16" s="125" t="s">
        <v>16</v>
      </c>
      <c r="C16" s="124"/>
      <c r="D16" s="123">
        <v>1</v>
      </c>
      <c r="E16" s="123"/>
      <c r="F16" s="130"/>
      <c r="G16" s="123"/>
      <c r="H16" s="124"/>
      <c r="I16" s="123">
        <v>1</v>
      </c>
      <c r="J16" s="124"/>
      <c r="K16" s="123">
        <v>1</v>
      </c>
      <c r="L16" s="123"/>
      <c r="M16" s="123">
        <v>1</v>
      </c>
      <c r="N16" s="123">
        <v>1</v>
      </c>
      <c r="O16" s="124"/>
      <c r="P16" s="123"/>
      <c r="Q16" s="124"/>
      <c r="R16" s="123"/>
      <c r="S16" s="123"/>
      <c r="T16" s="123"/>
      <c r="U16" s="123"/>
      <c r="V16" s="124"/>
      <c r="W16" s="123">
        <v>1</v>
      </c>
      <c r="X16" s="124"/>
      <c r="Y16" s="123">
        <v>1</v>
      </c>
      <c r="Z16" s="123"/>
      <c r="AA16" s="123"/>
      <c r="AB16" s="123">
        <v>1</v>
      </c>
      <c r="AC16" s="124"/>
      <c r="AD16" s="123">
        <v>1</v>
      </c>
      <c r="AE16" s="124"/>
      <c r="AF16" s="123">
        <v>1</v>
      </c>
      <c r="AG16" s="130"/>
      <c r="AH16" s="66">
        <f t="shared" si="1"/>
        <v>10</v>
      </c>
      <c r="AI16" s="68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69" t="str">
        <f t="shared" si="2"/>
        <v>弼善</v>
      </c>
      <c r="AK16" s="70"/>
    </row>
    <row r="17" spans="1:37" ht="18" customHeight="1">
      <c r="A17" s="95" t="s">
        <v>174</v>
      </c>
      <c r="B17" s="125" t="s">
        <v>18</v>
      </c>
      <c r="C17" s="124"/>
      <c r="D17" s="123"/>
      <c r="E17" s="123"/>
      <c r="F17" s="130"/>
      <c r="G17" s="123">
        <v>1</v>
      </c>
      <c r="H17" s="124"/>
      <c r="I17" s="123"/>
      <c r="J17" s="124"/>
      <c r="K17" s="123">
        <v>1</v>
      </c>
      <c r="L17" s="123"/>
      <c r="M17" s="123"/>
      <c r="N17" s="123"/>
      <c r="O17" s="124"/>
      <c r="P17" s="123"/>
      <c r="Q17" s="124"/>
      <c r="R17" s="123">
        <v>1</v>
      </c>
      <c r="S17" s="123"/>
      <c r="T17" s="123"/>
      <c r="U17" s="123"/>
      <c r="V17" s="124"/>
      <c r="W17" s="123">
        <v>1</v>
      </c>
      <c r="X17" s="124"/>
      <c r="Y17" s="123">
        <v>1</v>
      </c>
      <c r="Z17" s="123"/>
      <c r="AA17" s="123"/>
      <c r="AB17" s="123">
        <v>1</v>
      </c>
      <c r="AC17" s="124"/>
      <c r="AD17" s="123">
        <v>1</v>
      </c>
      <c r="AE17" s="124"/>
      <c r="AF17" s="123">
        <v>1</v>
      </c>
      <c r="AG17" s="130"/>
      <c r="AH17" s="66">
        <f t="shared" si="1"/>
        <v>8</v>
      </c>
      <c r="AI17" s="68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69" t="str">
        <f t="shared" si="2"/>
        <v>皓元</v>
      </c>
      <c r="AK17" s="70"/>
    </row>
    <row r="18" spans="1:37" ht="18" customHeight="1">
      <c r="A18" s="95" t="s">
        <v>174</v>
      </c>
      <c r="B18" s="125" t="s">
        <v>61</v>
      </c>
      <c r="C18" s="124"/>
      <c r="D18" s="123"/>
      <c r="E18" s="123"/>
      <c r="F18" s="130"/>
      <c r="G18" s="123">
        <v>1</v>
      </c>
      <c r="H18" s="124"/>
      <c r="I18" s="123">
        <v>1</v>
      </c>
      <c r="J18" s="124"/>
      <c r="K18" s="123">
        <v>1</v>
      </c>
      <c r="L18" s="123"/>
      <c r="M18" s="123"/>
      <c r="N18" s="123">
        <v>1</v>
      </c>
      <c r="O18" s="124"/>
      <c r="P18" s="123">
        <v>1</v>
      </c>
      <c r="Q18" s="124"/>
      <c r="R18" s="123"/>
      <c r="S18" s="123">
        <v>1</v>
      </c>
      <c r="T18" s="123"/>
      <c r="U18" s="123">
        <v>1</v>
      </c>
      <c r="V18" s="124"/>
      <c r="W18" s="123">
        <v>1</v>
      </c>
      <c r="X18" s="124"/>
      <c r="Y18" s="123">
        <v>1</v>
      </c>
      <c r="Z18" s="123"/>
      <c r="AA18" s="123"/>
      <c r="AB18" s="123">
        <v>1</v>
      </c>
      <c r="AC18" s="124"/>
      <c r="AD18" s="123">
        <v>1</v>
      </c>
      <c r="AE18" s="124"/>
      <c r="AF18" s="123"/>
      <c r="AG18" s="130"/>
      <c r="AH18" s="66">
        <f t="shared" si="1"/>
        <v>11</v>
      </c>
      <c r="AI18" s="68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69" t="str">
        <f t="shared" si="2"/>
        <v>韋融</v>
      </c>
      <c r="AK18" s="70"/>
    </row>
    <row r="19" spans="1:37" ht="18" customHeight="1">
      <c r="A19" s="95" t="s">
        <v>174</v>
      </c>
      <c r="B19" s="125" t="s">
        <v>175</v>
      </c>
      <c r="C19" s="124"/>
      <c r="D19" s="123">
        <v>1</v>
      </c>
      <c r="E19" s="123">
        <v>1</v>
      </c>
      <c r="F19" s="130"/>
      <c r="G19" s="123">
        <v>1</v>
      </c>
      <c r="H19" s="124"/>
      <c r="I19" s="123">
        <v>1</v>
      </c>
      <c r="J19" s="124"/>
      <c r="K19" s="123">
        <v>1</v>
      </c>
      <c r="L19" s="123">
        <v>1</v>
      </c>
      <c r="M19" s="123"/>
      <c r="N19" s="123">
        <v>1</v>
      </c>
      <c r="O19" s="124"/>
      <c r="P19" s="123">
        <v>1</v>
      </c>
      <c r="Q19" s="124"/>
      <c r="R19" s="123"/>
      <c r="S19" s="123"/>
      <c r="T19" s="123"/>
      <c r="U19" s="123"/>
      <c r="V19" s="124"/>
      <c r="W19" s="123">
        <v>1</v>
      </c>
      <c r="X19" s="124"/>
      <c r="Y19" s="123">
        <v>1</v>
      </c>
      <c r="Z19" s="123"/>
      <c r="AA19" s="123"/>
      <c r="AB19" s="123">
        <v>1</v>
      </c>
      <c r="AC19" s="124"/>
      <c r="AD19" s="123">
        <v>1</v>
      </c>
      <c r="AE19" s="124"/>
      <c r="AF19" s="123">
        <v>1</v>
      </c>
      <c r="AG19" s="130"/>
      <c r="AH19" s="66">
        <f t="shared" si="1"/>
        <v>13</v>
      </c>
      <c r="AI19" s="68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69" t="str">
        <f t="shared" si="2"/>
        <v>咪咪</v>
      </c>
      <c r="AK19" s="70"/>
    </row>
    <row r="20" spans="1:37" ht="18" customHeight="1">
      <c r="A20" s="95" t="s">
        <v>174</v>
      </c>
      <c r="B20" s="125" t="s">
        <v>20</v>
      </c>
      <c r="C20" s="124"/>
      <c r="D20" s="123">
        <v>1</v>
      </c>
      <c r="E20" s="123"/>
      <c r="F20" s="130"/>
      <c r="G20" s="123"/>
      <c r="H20" s="124"/>
      <c r="I20" s="123"/>
      <c r="J20" s="124"/>
      <c r="K20" s="123">
        <v>1</v>
      </c>
      <c r="L20" s="123"/>
      <c r="M20" s="123"/>
      <c r="N20" s="123"/>
      <c r="O20" s="124"/>
      <c r="P20" s="123"/>
      <c r="Q20" s="124"/>
      <c r="R20" s="123">
        <v>1</v>
      </c>
      <c r="S20" s="123"/>
      <c r="T20" s="123"/>
      <c r="U20" s="123">
        <v>1</v>
      </c>
      <c r="V20" s="124"/>
      <c r="W20" s="123"/>
      <c r="X20" s="124"/>
      <c r="Y20" s="123">
        <v>1</v>
      </c>
      <c r="Z20" s="123"/>
      <c r="AA20" s="123"/>
      <c r="AB20" s="123">
        <v>1</v>
      </c>
      <c r="AC20" s="124"/>
      <c r="AD20" s="123">
        <v>1</v>
      </c>
      <c r="AE20" s="124"/>
      <c r="AF20" s="123">
        <v>1</v>
      </c>
      <c r="AG20" s="130"/>
      <c r="AH20" s="66">
        <f t="shared" si="1"/>
        <v>8</v>
      </c>
      <c r="AI20" s="68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69" t="str">
        <f t="shared" si="2"/>
        <v>港弟</v>
      </c>
      <c r="AK20" s="70"/>
    </row>
    <row r="21" spans="1:37" ht="18" customHeight="1">
      <c r="A21" s="95" t="s">
        <v>174</v>
      </c>
      <c r="B21" s="125" t="s">
        <v>22</v>
      </c>
      <c r="C21" s="124"/>
      <c r="D21" s="123">
        <v>1</v>
      </c>
      <c r="E21" s="123">
        <v>1</v>
      </c>
      <c r="F21" s="130"/>
      <c r="G21" s="123">
        <v>1</v>
      </c>
      <c r="H21" s="124"/>
      <c r="I21" s="123">
        <v>1</v>
      </c>
      <c r="J21" s="124"/>
      <c r="K21" s="123">
        <v>1</v>
      </c>
      <c r="L21" s="123">
        <v>1</v>
      </c>
      <c r="M21" s="123"/>
      <c r="N21" s="123">
        <v>1</v>
      </c>
      <c r="O21" s="124"/>
      <c r="P21" s="123">
        <v>1</v>
      </c>
      <c r="Q21" s="124"/>
      <c r="R21" s="123">
        <v>1</v>
      </c>
      <c r="S21" s="123">
        <v>1</v>
      </c>
      <c r="T21" s="123"/>
      <c r="U21" s="123">
        <v>1</v>
      </c>
      <c r="V21" s="124"/>
      <c r="W21" s="123">
        <v>1</v>
      </c>
      <c r="X21" s="124"/>
      <c r="Y21" s="123">
        <v>1</v>
      </c>
      <c r="Z21" s="123">
        <v>1</v>
      </c>
      <c r="AA21" s="123">
        <v>1</v>
      </c>
      <c r="AB21" s="123">
        <v>1</v>
      </c>
      <c r="AC21" s="124"/>
      <c r="AD21" s="123">
        <v>1</v>
      </c>
      <c r="AE21" s="124"/>
      <c r="AF21" s="123">
        <v>1</v>
      </c>
      <c r="AG21" s="130"/>
      <c r="AH21" s="66">
        <f t="shared" si="1"/>
        <v>18</v>
      </c>
      <c r="AI21" s="68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69" t="str">
        <f t="shared" si="2"/>
        <v>Mars</v>
      </c>
      <c r="AK21" s="70"/>
    </row>
    <row r="22" spans="1:37" ht="18" customHeight="1">
      <c r="A22" s="99" t="s">
        <v>174</v>
      </c>
      <c r="B22" s="131" t="s">
        <v>89</v>
      </c>
      <c r="C22" s="124"/>
      <c r="D22" s="133"/>
      <c r="E22" s="133"/>
      <c r="F22" s="130"/>
      <c r="G22" s="133">
        <v>1</v>
      </c>
      <c r="H22" s="124"/>
      <c r="I22" s="133">
        <v>1</v>
      </c>
      <c r="J22" s="124"/>
      <c r="K22" s="133">
        <v>1</v>
      </c>
      <c r="L22" s="133">
        <v>1</v>
      </c>
      <c r="M22" s="133"/>
      <c r="N22" s="133">
        <v>1</v>
      </c>
      <c r="O22" s="124"/>
      <c r="P22" s="133">
        <v>1</v>
      </c>
      <c r="Q22" s="124"/>
      <c r="R22" s="133"/>
      <c r="S22" s="133"/>
      <c r="T22" s="133"/>
      <c r="U22" s="133"/>
      <c r="V22" s="124"/>
      <c r="W22" s="133">
        <v>1</v>
      </c>
      <c r="X22" s="124"/>
      <c r="Y22" s="133">
        <v>1</v>
      </c>
      <c r="Z22" s="133"/>
      <c r="AA22" s="133"/>
      <c r="AB22" s="133">
        <v>1</v>
      </c>
      <c r="AC22" s="124"/>
      <c r="AD22" s="133">
        <v>1</v>
      </c>
      <c r="AE22" s="124"/>
      <c r="AF22" s="133">
        <v>1</v>
      </c>
      <c r="AG22" s="130"/>
      <c r="AH22" s="77">
        <f t="shared" si="1"/>
        <v>11</v>
      </c>
      <c r="AI22" s="78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79" t="str">
        <f t="shared" si="2"/>
        <v>泡芙</v>
      </c>
      <c r="AK22" s="80"/>
    </row>
    <row r="23" spans="1:37" ht="18" customHeight="1">
      <c r="A23" s="99" t="s">
        <v>174</v>
      </c>
      <c r="B23" s="131" t="s">
        <v>90</v>
      </c>
      <c r="C23" s="124"/>
      <c r="D23" s="133">
        <v>1</v>
      </c>
      <c r="E23" s="133"/>
      <c r="F23" s="130"/>
      <c r="G23" s="133"/>
      <c r="H23" s="124"/>
      <c r="I23" s="133">
        <v>1</v>
      </c>
      <c r="J23" s="124"/>
      <c r="K23" s="133">
        <v>1</v>
      </c>
      <c r="L23" s="133"/>
      <c r="M23" s="133"/>
      <c r="N23" s="133"/>
      <c r="O23" s="124"/>
      <c r="P23" s="133"/>
      <c r="Q23" s="124"/>
      <c r="R23" s="133">
        <v>1</v>
      </c>
      <c r="S23" s="133"/>
      <c r="T23" s="133"/>
      <c r="U23" s="133"/>
      <c r="V23" s="124"/>
      <c r="W23" s="133">
        <v>1</v>
      </c>
      <c r="X23" s="124"/>
      <c r="Y23" s="133">
        <v>1</v>
      </c>
      <c r="Z23" s="133"/>
      <c r="AA23" s="133"/>
      <c r="AB23" s="133"/>
      <c r="AC23" s="124"/>
      <c r="AD23" s="133">
        <v>1</v>
      </c>
      <c r="AE23" s="124"/>
      <c r="AF23" s="133">
        <v>1</v>
      </c>
      <c r="AG23" s="130"/>
      <c r="AH23" s="77">
        <f t="shared" si="1"/>
        <v>8</v>
      </c>
      <c r="AI23" s="78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79" t="str">
        <f t="shared" si="2"/>
        <v>蓓蓓</v>
      </c>
      <c r="AK23" s="80"/>
    </row>
    <row r="24" spans="1:37" ht="18" customHeight="1">
      <c r="A24" s="99" t="s">
        <v>174</v>
      </c>
      <c r="B24" s="131" t="s">
        <v>92</v>
      </c>
      <c r="C24" s="124"/>
      <c r="D24" s="133">
        <v>1</v>
      </c>
      <c r="E24" s="133"/>
      <c r="F24" s="130"/>
      <c r="G24" s="133">
        <v>1</v>
      </c>
      <c r="H24" s="124"/>
      <c r="I24" s="133"/>
      <c r="J24" s="124"/>
      <c r="K24" s="133">
        <v>1</v>
      </c>
      <c r="L24" s="133"/>
      <c r="M24" s="133">
        <v>1</v>
      </c>
      <c r="N24" s="133"/>
      <c r="O24" s="124"/>
      <c r="P24" s="133"/>
      <c r="Q24" s="124"/>
      <c r="R24" s="133">
        <v>1</v>
      </c>
      <c r="S24" s="133">
        <v>1</v>
      </c>
      <c r="T24" s="133"/>
      <c r="U24" s="133"/>
      <c r="V24" s="124"/>
      <c r="W24" s="133">
        <v>1</v>
      </c>
      <c r="X24" s="124"/>
      <c r="Y24" s="133">
        <v>1</v>
      </c>
      <c r="Z24" s="133"/>
      <c r="AA24" s="133"/>
      <c r="AB24" s="133">
        <v>1</v>
      </c>
      <c r="AC24" s="124"/>
      <c r="AD24" s="133">
        <v>1</v>
      </c>
      <c r="AE24" s="124"/>
      <c r="AF24" s="133">
        <v>1</v>
      </c>
      <c r="AG24" s="130"/>
      <c r="AH24" s="77">
        <f t="shared" si="1"/>
        <v>11</v>
      </c>
      <c r="AI24" s="78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79" t="str">
        <f t="shared" si="2"/>
        <v>婉晴</v>
      </c>
      <c r="AK24" s="80"/>
    </row>
    <row r="25" spans="1:37" ht="18" customHeight="1">
      <c r="A25" s="99" t="s">
        <v>174</v>
      </c>
      <c r="B25" s="131" t="s">
        <v>93</v>
      </c>
      <c r="C25" s="124"/>
      <c r="D25" s="133">
        <v>1</v>
      </c>
      <c r="E25" s="133"/>
      <c r="F25" s="130"/>
      <c r="G25" s="133">
        <v>1</v>
      </c>
      <c r="H25" s="124"/>
      <c r="I25" s="133"/>
      <c r="J25" s="124"/>
      <c r="K25" s="133"/>
      <c r="L25" s="133"/>
      <c r="M25" s="133"/>
      <c r="N25" s="133"/>
      <c r="O25" s="124"/>
      <c r="P25" s="133"/>
      <c r="Q25" s="124"/>
      <c r="R25" s="133">
        <v>1</v>
      </c>
      <c r="S25" s="133"/>
      <c r="T25" s="133"/>
      <c r="U25" s="133">
        <v>1</v>
      </c>
      <c r="V25" s="124"/>
      <c r="W25" s="133"/>
      <c r="X25" s="124"/>
      <c r="Y25" s="133">
        <v>1</v>
      </c>
      <c r="Z25" s="133"/>
      <c r="AA25" s="133"/>
      <c r="AB25" s="133">
        <v>1</v>
      </c>
      <c r="AC25" s="124"/>
      <c r="AD25" s="133">
        <v>1</v>
      </c>
      <c r="AE25" s="124"/>
      <c r="AF25" s="133">
        <v>1</v>
      </c>
      <c r="AG25" s="130"/>
      <c r="AH25" s="77">
        <f t="shared" si="1"/>
        <v>8</v>
      </c>
      <c r="AI25" s="78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79" t="str">
        <f t="shared" si="2"/>
        <v>冠婷</v>
      </c>
      <c r="AK25" s="81"/>
    </row>
    <row r="26" spans="1:37" ht="18" customHeight="1">
      <c r="A26" s="99" t="s">
        <v>174</v>
      </c>
      <c r="B26" s="131" t="s">
        <v>95</v>
      </c>
      <c r="C26" s="124"/>
      <c r="D26" s="133">
        <v>1</v>
      </c>
      <c r="E26" s="133">
        <v>1</v>
      </c>
      <c r="F26" s="130"/>
      <c r="G26" s="133">
        <v>1</v>
      </c>
      <c r="H26" s="124"/>
      <c r="I26" s="133">
        <v>1</v>
      </c>
      <c r="J26" s="124"/>
      <c r="K26" s="133">
        <v>1</v>
      </c>
      <c r="L26" s="133">
        <v>1</v>
      </c>
      <c r="M26" s="133"/>
      <c r="N26" s="133">
        <v>1</v>
      </c>
      <c r="O26" s="124"/>
      <c r="P26" s="133">
        <v>1</v>
      </c>
      <c r="Q26" s="124"/>
      <c r="R26" s="133">
        <v>1</v>
      </c>
      <c r="S26" s="133">
        <v>1</v>
      </c>
      <c r="T26" s="133"/>
      <c r="U26" s="133">
        <v>1</v>
      </c>
      <c r="V26" s="124"/>
      <c r="W26" s="133">
        <v>1</v>
      </c>
      <c r="X26" s="124"/>
      <c r="Y26" s="133">
        <v>1</v>
      </c>
      <c r="Z26" s="133"/>
      <c r="AA26" s="133"/>
      <c r="AB26" s="133">
        <v>1</v>
      </c>
      <c r="AC26" s="124"/>
      <c r="AD26" s="133">
        <v>1</v>
      </c>
      <c r="AE26" s="124"/>
      <c r="AF26" s="133">
        <v>1</v>
      </c>
      <c r="AG26" s="130"/>
      <c r="AH26" s="77">
        <f t="shared" si="1"/>
        <v>16</v>
      </c>
      <c r="AI26" s="78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79" t="str">
        <f t="shared" si="2"/>
        <v>小吱</v>
      </c>
      <c r="AK26" s="80"/>
    </row>
    <row r="27" spans="1:37" ht="18" customHeight="1">
      <c r="A27" s="101" t="s">
        <v>174</v>
      </c>
      <c r="B27" s="136" t="s">
        <v>103</v>
      </c>
      <c r="C27" s="124"/>
      <c r="D27" s="135">
        <v>1</v>
      </c>
      <c r="E27" s="135">
        <v>1</v>
      </c>
      <c r="F27" s="130"/>
      <c r="G27" s="135">
        <v>1</v>
      </c>
      <c r="H27" s="124"/>
      <c r="I27" s="135">
        <v>1</v>
      </c>
      <c r="J27" s="124"/>
      <c r="K27" s="135">
        <v>1</v>
      </c>
      <c r="L27" s="135">
        <v>1</v>
      </c>
      <c r="M27" s="135"/>
      <c r="N27" s="135">
        <v>1</v>
      </c>
      <c r="O27" s="124"/>
      <c r="P27" s="135">
        <v>1</v>
      </c>
      <c r="Q27" s="124"/>
      <c r="R27" s="135">
        <v>1</v>
      </c>
      <c r="S27" s="135"/>
      <c r="T27" s="135">
        <v>1</v>
      </c>
      <c r="U27" s="135">
        <v>1</v>
      </c>
      <c r="V27" s="124"/>
      <c r="W27" s="135">
        <v>1</v>
      </c>
      <c r="X27" s="124"/>
      <c r="Y27" s="135">
        <v>1</v>
      </c>
      <c r="Z27" s="135">
        <v>1</v>
      </c>
      <c r="AA27" s="135">
        <v>1</v>
      </c>
      <c r="AB27" s="135">
        <v>1</v>
      </c>
      <c r="AC27" s="124"/>
      <c r="AD27" s="135">
        <v>1</v>
      </c>
      <c r="AE27" s="124"/>
      <c r="AF27" s="135">
        <v>1</v>
      </c>
      <c r="AG27" s="130"/>
      <c r="AH27" s="86">
        <f t="shared" si="1"/>
        <v>18</v>
      </c>
      <c r="AI27" s="87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88" t="str">
        <f t="shared" si="2"/>
        <v>圈圈</v>
      </c>
      <c r="AK27" s="90"/>
    </row>
    <row r="28" spans="1:37" ht="18" customHeight="1">
      <c r="A28" s="101" t="s">
        <v>174</v>
      </c>
      <c r="B28" s="136" t="s">
        <v>105</v>
      </c>
      <c r="C28" s="124"/>
      <c r="D28" s="135">
        <v>1</v>
      </c>
      <c r="E28" s="135"/>
      <c r="F28" s="130"/>
      <c r="G28" s="135">
        <v>1</v>
      </c>
      <c r="H28" s="124"/>
      <c r="I28" s="135">
        <v>1</v>
      </c>
      <c r="J28" s="124"/>
      <c r="K28" s="135"/>
      <c r="L28" s="135"/>
      <c r="M28" s="135"/>
      <c r="N28" s="135">
        <v>1</v>
      </c>
      <c r="O28" s="124"/>
      <c r="P28" s="135">
        <v>1</v>
      </c>
      <c r="Q28" s="124"/>
      <c r="R28" s="135"/>
      <c r="S28" s="135"/>
      <c r="T28" s="135">
        <v>1</v>
      </c>
      <c r="U28" s="135">
        <v>1</v>
      </c>
      <c r="V28" s="124"/>
      <c r="W28" s="135"/>
      <c r="X28" s="124"/>
      <c r="Y28" s="135"/>
      <c r="Z28" s="135"/>
      <c r="AA28" s="135">
        <v>1</v>
      </c>
      <c r="AB28" s="135">
        <v>1</v>
      </c>
      <c r="AC28" s="124"/>
      <c r="AD28" s="135">
        <v>1</v>
      </c>
      <c r="AE28" s="124"/>
      <c r="AF28" s="135"/>
      <c r="AG28" s="130"/>
      <c r="AH28" s="86">
        <f t="shared" si="1"/>
        <v>10</v>
      </c>
      <c r="AI28" s="87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88" t="str">
        <f t="shared" si="2"/>
        <v>琬蓁</v>
      </c>
      <c r="AK28" s="90"/>
    </row>
    <row r="29" spans="1:37" ht="18" customHeight="1">
      <c r="A29" s="101" t="s">
        <v>174</v>
      </c>
      <c r="B29" s="136" t="s">
        <v>116</v>
      </c>
      <c r="C29" s="124"/>
      <c r="D29" s="135">
        <v>1</v>
      </c>
      <c r="E29" s="135"/>
      <c r="F29" s="130"/>
      <c r="G29" s="135"/>
      <c r="H29" s="124"/>
      <c r="I29" s="135">
        <v>1</v>
      </c>
      <c r="J29" s="124"/>
      <c r="K29" s="135">
        <v>1</v>
      </c>
      <c r="L29" s="135"/>
      <c r="M29" s="135"/>
      <c r="N29" s="135"/>
      <c r="O29" s="124"/>
      <c r="P29" s="135">
        <v>1</v>
      </c>
      <c r="Q29" s="124"/>
      <c r="R29" s="135"/>
      <c r="S29" s="135"/>
      <c r="T29" s="135"/>
      <c r="U29" s="135">
        <v>1</v>
      </c>
      <c r="V29" s="124"/>
      <c r="W29" s="135"/>
      <c r="X29" s="124"/>
      <c r="Y29" s="135"/>
      <c r="Z29" s="135"/>
      <c r="AA29" s="135"/>
      <c r="AB29" s="135"/>
      <c r="AC29" s="124"/>
      <c r="AD29" s="135"/>
      <c r="AE29" s="124"/>
      <c r="AF29" s="135">
        <v>1</v>
      </c>
      <c r="AG29" s="130"/>
      <c r="AH29" s="86">
        <f t="shared" si="1"/>
        <v>6</v>
      </c>
      <c r="AI29" s="87" t="e">
        <f ca="1">IF(A29="O", (VALUE(_xludf.IFS(AH29=0,"0",AH29=1,"150",AH29=2,"300",AH29=3,"450",AH29=4,"600",AH29=5,"750",AH29&gt;=6,"800"))),(VALUE(_xludf.IFS(AH29=0,"0",AH29=1,"150",AH29=2,"300",AH29=3,"450",AH29=4,"600",AH29=5,"750",AH29=6,"900",AH29&gt;=7,"1,000"))))</f>
        <v>#NAME?</v>
      </c>
      <c r="AJ29" s="88" t="str">
        <f t="shared" si="2"/>
        <v>大汪</v>
      </c>
      <c r="AK29" s="89"/>
    </row>
    <row r="30" spans="1:37" ht="18" customHeight="1">
      <c r="A30" s="101" t="s">
        <v>174</v>
      </c>
      <c r="B30" s="136" t="s">
        <v>121</v>
      </c>
      <c r="C30" s="124"/>
      <c r="D30" s="135">
        <v>1</v>
      </c>
      <c r="E30" s="135">
        <v>1</v>
      </c>
      <c r="F30" s="130"/>
      <c r="G30" s="135"/>
      <c r="H30" s="124"/>
      <c r="I30" s="135"/>
      <c r="J30" s="124"/>
      <c r="K30" s="135">
        <v>1</v>
      </c>
      <c r="L30" s="135">
        <v>1</v>
      </c>
      <c r="M30" s="135"/>
      <c r="N30" s="135">
        <v>1</v>
      </c>
      <c r="O30" s="124"/>
      <c r="P30" s="135">
        <v>1</v>
      </c>
      <c r="Q30" s="124"/>
      <c r="R30" s="135"/>
      <c r="S30" s="135"/>
      <c r="T30" s="135">
        <v>1</v>
      </c>
      <c r="U30" s="135">
        <v>1</v>
      </c>
      <c r="V30" s="124"/>
      <c r="W30" s="135">
        <v>1</v>
      </c>
      <c r="X30" s="124"/>
      <c r="Y30" s="135">
        <v>1</v>
      </c>
      <c r="Z30" s="135"/>
      <c r="AA30" s="135"/>
      <c r="AB30" s="135">
        <v>1</v>
      </c>
      <c r="AC30" s="124"/>
      <c r="AD30" s="135">
        <v>1</v>
      </c>
      <c r="AE30" s="124"/>
      <c r="AF30" s="135">
        <v>1</v>
      </c>
      <c r="AG30" s="130"/>
      <c r="AH30" s="86">
        <f t="shared" si="1"/>
        <v>13</v>
      </c>
      <c r="AI30" s="87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88" t="str">
        <f t="shared" si="2"/>
        <v>冰沙</v>
      </c>
      <c r="AK30" s="90"/>
    </row>
    <row r="31" spans="1:37" ht="18" customHeight="1">
      <c r="A31" s="95" t="s">
        <v>174</v>
      </c>
      <c r="B31" s="125" t="s">
        <v>17</v>
      </c>
      <c r="C31" s="124"/>
      <c r="D31" s="123"/>
      <c r="E31" s="123"/>
      <c r="F31" s="130"/>
      <c r="G31" s="123"/>
      <c r="H31" s="124"/>
      <c r="I31" s="123">
        <v>1</v>
      </c>
      <c r="J31" s="124"/>
      <c r="K31" s="123"/>
      <c r="L31" s="123"/>
      <c r="M31" s="123"/>
      <c r="N31" s="123"/>
      <c r="O31" s="124"/>
      <c r="P31" s="123"/>
      <c r="Q31" s="124"/>
      <c r="R31" s="123"/>
      <c r="S31" s="123"/>
      <c r="T31" s="123"/>
      <c r="U31" s="123">
        <v>1</v>
      </c>
      <c r="V31" s="124"/>
      <c r="W31" s="123">
        <v>1</v>
      </c>
      <c r="X31" s="124"/>
      <c r="Y31" s="123"/>
      <c r="Z31" s="123"/>
      <c r="AA31" s="123"/>
      <c r="AB31" s="123">
        <v>1</v>
      </c>
      <c r="AC31" s="124"/>
      <c r="AD31" s="123">
        <v>1</v>
      </c>
      <c r="AE31" s="124"/>
      <c r="AF31" s="123"/>
      <c r="AG31" s="130"/>
      <c r="AH31" s="66">
        <f t="shared" si="1"/>
        <v>5</v>
      </c>
      <c r="AI31" s="68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69" t="str">
        <f t="shared" si="2"/>
        <v>光曜</v>
      </c>
      <c r="AK31" s="70"/>
    </row>
    <row r="32" spans="1:37" ht="18" customHeight="1">
      <c r="A32" s="99" t="s">
        <v>174</v>
      </c>
      <c r="B32" s="131" t="s">
        <v>146</v>
      </c>
      <c r="C32" s="124"/>
      <c r="D32" s="133">
        <v>1</v>
      </c>
      <c r="E32" s="133"/>
      <c r="F32" s="130"/>
      <c r="G32" s="133"/>
      <c r="H32" s="124"/>
      <c r="I32" s="133"/>
      <c r="J32" s="124"/>
      <c r="K32" s="133">
        <v>1</v>
      </c>
      <c r="L32" s="133"/>
      <c r="M32" s="133"/>
      <c r="N32" s="133"/>
      <c r="O32" s="124"/>
      <c r="P32" s="133"/>
      <c r="Q32" s="124"/>
      <c r="R32" s="133"/>
      <c r="S32" s="133"/>
      <c r="T32" s="133"/>
      <c r="U32" s="133">
        <v>1</v>
      </c>
      <c r="V32" s="124"/>
      <c r="W32" s="133"/>
      <c r="X32" s="124"/>
      <c r="Y32" s="133">
        <v>1</v>
      </c>
      <c r="Z32" s="133"/>
      <c r="AA32" s="133"/>
      <c r="AB32" s="133"/>
      <c r="AC32" s="124"/>
      <c r="AD32" s="133"/>
      <c r="AE32" s="124"/>
      <c r="AF32" s="133">
        <v>1</v>
      </c>
      <c r="AG32" s="130"/>
      <c r="AH32" s="77">
        <f t="shared" si="1"/>
        <v>5</v>
      </c>
      <c r="AI32" s="78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79" t="str">
        <f t="shared" si="2"/>
        <v>飛飛</v>
      </c>
      <c r="AK32" s="81"/>
    </row>
    <row r="33" spans="1:37" ht="18" customHeight="1">
      <c r="A33" s="95" t="s">
        <v>58</v>
      </c>
      <c r="B33" s="125" t="s">
        <v>23</v>
      </c>
      <c r="C33" s="124"/>
      <c r="D33" s="123"/>
      <c r="E33" s="123"/>
      <c r="F33" s="130"/>
      <c r="G33" s="123"/>
      <c r="H33" s="124"/>
      <c r="I33" s="123"/>
      <c r="J33" s="124"/>
      <c r="K33" s="123"/>
      <c r="L33" s="123"/>
      <c r="M33" s="123"/>
      <c r="N33" s="123"/>
      <c r="O33" s="124"/>
      <c r="P33" s="123"/>
      <c r="Q33" s="124"/>
      <c r="R33" s="123"/>
      <c r="S33" s="123"/>
      <c r="T33" s="123"/>
      <c r="U33" s="123"/>
      <c r="V33" s="124"/>
      <c r="W33" s="123">
        <v>1</v>
      </c>
      <c r="X33" s="124"/>
      <c r="Y33" s="123">
        <v>1</v>
      </c>
      <c r="Z33" s="123"/>
      <c r="AA33" s="123">
        <v>1</v>
      </c>
      <c r="AB33" s="123">
        <v>1</v>
      </c>
      <c r="AC33" s="124"/>
      <c r="AD33" s="123">
        <v>1</v>
      </c>
      <c r="AE33" s="124"/>
      <c r="AF33" s="123"/>
      <c r="AG33" s="130"/>
      <c r="AH33" s="66">
        <f t="shared" si="1"/>
        <v>5</v>
      </c>
      <c r="AI33" s="68" t="e">
        <f ca="1">(IF(A33="O", (VALUE(_xludf.IFS(AH33=0,"0",AH33=1,"150",AH33=2,"300",AH33=3,"450",AH33=4,"600",AH33=5,"750",AH33&gt;=6,"800"))),(VALUE(_xludf.IFS(AH33=0,"0",AH33=1,"150",AH33=2,"300",AH33=3,"450",AH33=4,"600",AH33=5,"750",AH33=6,"900",AH33&gt;=7,"1,000")))))</f>
        <v>#NAME?</v>
      </c>
      <c r="AJ33" s="69" t="str">
        <f t="shared" si="2"/>
        <v>ㄈㄈ</v>
      </c>
      <c r="AK33" s="73"/>
    </row>
    <row r="34" spans="1:37" ht="18" customHeight="1">
      <c r="A34" s="95" t="s">
        <v>58</v>
      </c>
      <c r="B34" s="125" t="s">
        <v>29</v>
      </c>
      <c r="C34" s="124"/>
      <c r="D34" s="123">
        <v>1</v>
      </c>
      <c r="E34" s="123">
        <v>1</v>
      </c>
      <c r="F34" s="130"/>
      <c r="G34" s="123">
        <v>1</v>
      </c>
      <c r="H34" s="124"/>
      <c r="I34" s="123"/>
      <c r="J34" s="124"/>
      <c r="K34" s="123"/>
      <c r="L34" s="123"/>
      <c r="M34" s="123"/>
      <c r="N34" s="123"/>
      <c r="O34" s="124"/>
      <c r="P34" s="123"/>
      <c r="Q34" s="124"/>
      <c r="R34" s="123"/>
      <c r="S34" s="123"/>
      <c r="T34" s="123"/>
      <c r="U34" s="123"/>
      <c r="V34" s="124"/>
      <c r="W34" s="123"/>
      <c r="X34" s="124"/>
      <c r="Y34" s="123">
        <v>1</v>
      </c>
      <c r="Z34" s="123"/>
      <c r="AA34" s="123"/>
      <c r="AB34" s="123"/>
      <c r="AC34" s="124"/>
      <c r="AD34" s="123"/>
      <c r="AE34" s="124"/>
      <c r="AF34" s="123">
        <v>1</v>
      </c>
      <c r="AG34" s="130"/>
      <c r="AH34" s="66">
        <f t="shared" si="1"/>
        <v>5</v>
      </c>
      <c r="AI34" s="68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69" t="str">
        <f t="shared" si="2"/>
        <v>大頭</v>
      </c>
      <c r="AK34" s="73"/>
    </row>
    <row r="35" spans="1:37" ht="18" customHeight="1">
      <c r="A35" s="99" t="s">
        <v>58</v>
      </c>
      <c r="B35" s="131" t="s">
        <v>165</v>
      </c>
      <c r="C35" s="124"/>
      <c r="D35" s="133">
        <v>1</v>
      </c>
      <c r="E35" s="133"/>
      <c r="F35" s="130"/>
      <c r="G35" s="133"/>
      <c r="H35" s="124"/>
      <c r="I35" s="133"/>
      <c r="J35" s="124"/>
      <c r="K35" s="133"/>
      <c r="L35" s="133"/>
      <c r="M35" s="133">
        <v>1</v>
      </c>
      <c r="N35" s="133"/>
      <c r="O35" s="124"/>
      <c r="P35" s="133"/>
      <c r="Q35" s="124"/>
      <c r="R35" s="133">
        <v>1</v>
      </c>
      <c r="S35" s="133"/>
      <c r="T35" s="133"/>
      <c r="U35" s="133"/>
      <c r="V35" s="124"/>
      <c r="W35" s="133"/>
      <c r="X35" s="124"/>
      <c r="Y35" s="133">
        <v>1</v>
      </c>
      <c r="Z35" s="133"/>
      <c r="AA35" s="133"/>
      <c r="AB35" s="133"/>
      <c r="AC35" s="124"/>
      <c r="AD35" s="133"/>
      <c r="AE35" s="124"/>
      <c r="AF35" s="133">
        <v>1</v>
      </c>
      <c r="AG35" s="130"/>
      <c r="AH35" s="77">
        <f t="shared" si="1"/>
        <v>5</v>
      </c>
      <c r="AI35" s="78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79" t="str">
        <f t="shared" si="2"/>
        <v>小貓</v>
      </c>
      <c r="AK35" s="81"/>
    </row>
    <row r="36" spans="1:37" ht="18" customHeight="1">
      <c r="A36" s="101" t="s">
        <v>58</v>
      </c>
      <c r="B36" s="136" t="s">
        <v>135</v>
      </c>
      <c r="C36" s="124"/>
      <c r="D36" s="135">
        <v>1</v>
      </c>
      <c r="E36" s="135"/>
      <c r="F36" s="130"/>
      <c r="G36" s="135"/>
      <c r="H36" s="124"/>
      <c r="I36" s="135">
        <v>1</v>
      </c>
      <c r="J36" s="124"/>
      <c r="K36" s="135"/>
      <c r="L36" s="135"/>
      <c r="M36" s="135"/>
      <c r="N36" s="135"/>
      <c r="O36" s="124"/>
      <c r="P36" s="135">
        <v>1</v>
      </c>
      <c r="Q36" s="124"/>
      <c r="R36" s="135"/>
      <c r="S36" s="135"/>
      <c r="T36" s="135"/>
      <c r="U36" s="135"/>
      <c r="V36" s="124"/>
      <c r="W36" s="135">
        <v>1</v>
      </c>
      <c r="X36" s="124"/>
      <c r="Y36" s="135"/>
      <c r="Z36" s="135"/>
      <c r="AA36" s="135"/>
      <c r="AB36" s="135"/>
      <c r="AC36" s="124"/>
      <c r="AD36" s="135">
        <v>1</v>
      </c>
      <c r="AE36" s="124"/>
      <c r="AF36" s="135"/>
      <c r="AG36" s="130"/>
      <c r="AH36" s="86">
        <f t="shared" ref="AH36:AH67" si="3">COUNTA(C36:AG36)</f>
        <v>5</v>
      </c>
      <c r="AI36" s="87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88" t="str">
        <f t="shared" si="2"/>
        <v>屁屁</v>
      </c>
      <c r="AK36" s="91"/>
    </row>
    <row r="37" spans="1:37" ht="18" customHeight="1">
      <c r="A37" s="99" t="s">
        <v>174</v>
      </c>
      <c r="B37" s="131" t="s">
        <v>91</v>
      </c>
      <c r="C37" s="124"/>
      <c r="D37" s="133">
        <v>1</v>
      </c>
      <c r="E37" s="133"/>
      <c r="F37" s="130"/>
      <c r="G37" s="133"/>
      <c r="H37" s="124"/>
      <c r="I37" s="133">
        <v>1</v>
      </c>
      <c r="J37" s="124"/>
      <c r="K37" s="133">
        <v>1</v>
      </c>
      <c r="L37" s="133"/>
      <c r="M37" s="133"/>
      <c r="N37" s="133"/>
      <c r="O37" s="124"/>
      <c r="P37" s="133">
        <v>1</v>
      </c>
      <c r="Q37" s="124"/>
      <c r="R37" s="133"/>
      <c r="S37" s="133"/>
      <c r="T37" s="133"/>
      <c r="U37" s="133"/>
      <c r="V37" s="124"/>
      <c r="W37" s="133"/>
      <c r="X37" s="124"/>
      <c r="Y37" s="133"/>
      <c r="Z37" s="133"/>
      <c r="AA37" s="133"/>
      <c r="AB37" s="133"/>
      <c r="AC37" s="124"/>
      <c r="AD37" s="133"/>
      <c r="AE37" s="124"/>
      <c r="AF37" s="133"/>
      <c r="AG37" s="130"/>
      <c r="AH37" s="77">
        <f t="shared" si="3"/>
        <v>4</v>
      </c>
      <c r="AI37" s="78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79" t="str">
        <f t="shared" si="2"/>
        <v>柔柔</v>
      </c>
      <c r="AK37" s="80"/>
    </row>
    <row r="38" spans="1:37" ht="18" customHeight="1">
      <c r="A38" s="99" t="s">
        <v>174</v>
      </c>
      <c r="B38" s="131" t="s">
        <v>148</v>
      </c>
      <c r="C38" s="124"/>
      <c r="D38" s="133"/>
      <c r="E38" s="133"/>
      <c r="F38" s="130"/>
      <c r="G38" s="133"/>
      <c r="H38" s="124"/>
      <c r="I38" s="133"/>
      <c r="J38" s="124"/>
      <c r="K38" s="133"/>
      <c r="L38" s="133"/>
      <c r="M38" s="133"/>
      <c r="N38" s="133"/>
      <c r="O38" s="124"/>
      <c r="P38" s="133"/>
      <c r="Q38" s="124"/>
      <c r="R38" s="133"/>
      <c r="S38" s="133"/>
      <c r="T38" s="133"/>
      <c r="U38" s="133">
        <v>1</v>
      </c>
      <c r="V38" s="124"/>
      <c r="W38" s="133">
        <v>1</v>
      </c>
      <c r="X38" s="124"/>
      <c r="Y38" s="133"/>
      <c r="Z38" s="133"/>
      <c r="AA38" s="133"/>
      <c r="AB38" s="133">
        <v>1</v>
      </c>
      <c r="AC38" s="124"/>
      <c r="AD38" s="133"/>
      <c r="AE38" s="124"/>
      <c r="AF38" s="133">
        <v>1</v>
      </c>
      <c r="AG38" s="130"/>
      <c r="AH38" s="77">
        <f t="shared" si="3"/>
        <v>4</v>
      </c>
      <c r="AI38" s="78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79" t="str">
        <f t="shared" si="2"/>
        <v>雅雅</v>
      </c>
      <c r="AK38" s="82"/>
    </row>
    <row r="39" spans="1:37" ht="18" customHeight="1">
      <c r="A39" s="95" t="s">
        <v>58</v>
      </c>
      <c r="B39" s="125" t="s">
        <v>30</v>
      </c>
      <c r="C39" s="124"/>
      <c r="D39" s="123"/>
      <c r="E39" s="123"/>
      <c r="F39" s="130"/>
      <c r="G39" s="123"/>
      <c r="H39" s="124"/>
      <c r="I39" s="123"/>
      <c r="J39" s="124"/>
      <c r="K39" s="123">
        <v>1</v>
      </c>
      <c r="L39" s="123"/>
      <c r="M39" s="123"/>
      <c r="N39" s="123"/>
      <c r="O39" s="124"/>
      <c r="P39" s="123"/>
      <c r="Q39" s="124"/>
      <c r="R39" s="123"/>
      <c r="S39" s="123"/>
      <c r="T39" s="123"/>
      <c r="U39" s="123"/>
      <c r="V39" s="124"/>
      <c r="W39" s="123"/>
      <c r="X39" s="124"/>
      <c r="Y39" s="123">
        <v>1</v>
      </c>
      <c r="Z39" s="123"/>
      <c r="AA39" s="123">
        <v>1</v>
      </c>
      <c r="AB39" s="123"/>
      <c r="AC39" s="124"/>
      <c r="AD39" s="123"/>
      <c r="AE39" s="124"/>
      <c r="AF39" s="123">
        <v>1</v>
      </c>
      <c r="AG39" s="130"/>
      <c r="AH39" s="66">
        <f t="shared" si="3"/>
        <v>4</v>
      </c>
      <c r="AI39" s="68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69" t="str">
        <f t="shared" si="2"/>
        <v>鯰魚</v>
      </c>
      <c r="AK39" s="73"/>
    </row>
    <row r="40" spans="1:37" ht="18" customHeight="1">
      <c r="A40" s="95" t="s">
        <v>58</v>
      </c>
      <c r="B40" s="125" t="s">
        <v>45</v>
      </c>
      <c r="C40" s="124"/>
      <c r="D40" s="123"/>
      <c r="E40" s="123"/>
      <c r="F40" s="130"/>
      <c r="G40" s="123"/>
      <c r="H40" s="124"/>
      <c r="I40" s="123"/>
      <c r="J40" s="124"/>
      <c r="K40" s="123">
        <v>1</v>
      </c>
      <c r="L40" s="123"/>
      <c r="M40" s="123"/>
      <c r="N40" s="123"/>
      <c r="O40" s="124"/>
      <c r="P40" s="123"/>
      <c r="Q40" s="124"/>
      <c r="R40" s="123">
        <v>1</v>
      </c>
      <c r="S40" s="123"/>
      <c r="T40" s="123"/>
      <c r="U40" s="123"/>
      <c r="V40" s="124"/>
      <c r="W40" s="123"/>
      <c r="X40" s="124"/>
      <c r="Y40" s="123">
        <v>1</v>
      </c>
      <c r="Z40" s="123"/>
      <c r="AA40" s="123"/>
      <c r="AB40" s="123"/>
      <c r="AC40" s="124"/>
      <c r="AD40" s="123"/>
      <c r="AE40" s="124"/>
      <c r="AF40" s="123">
        <v>1</v>
      </c>
      <c r="AG40" s="130"/>
      <c r="AH40" s="66">
        <f t="shared" si="3"/>
        <v>4</v>
      </c>
      <c r="AI40" s="68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69" t="s">
        <v>45</v>
      </c>
      <c r="AK40" s="70"/>
    </row>
    <row r="41" spans="1:37" ht="18" customHeight="1">
      <c r="A41" s="99" t="s">
        <v>174</v>
      </c>
      <c r="B41" s="131" t="s">
        <v>94</v>
      </c>
      <c r="C41" s="124"/>
      <c r="D41" s="133"/>
      <c r="E41" s="133"/>
      <c r="F41" s="130"/>
      <c r="G41" s="133"/>
      <c r="H41" s="124"/>
      <c r="I41" s="133"/>
      <c r="J41" s="124"/>
      <c r="K41" s="133"/>
      <c r="L41" s="133"/>
      <c r="M41" s="133"/>
      <c r="N41" s="133"/>
      <c r="O41" s="124"/>
      <c r="P41" s="133">
        <v>1</v>
      </c>
      <c r="Q41" s="124"/>
      <c r="R41" s="133"/>
      <c r="S41" s="133"/>
      <c r="T41" s="133"/>
      <c r="U41" s="133"/>
      <c r="V41" s="124"/>
      <c r="W41" s="133">
        <v>1</v>
      </c>
      <c r="X41" s="124"/>
      <c r="Y41" s="133">
        <v>1</v>
      </c>
      <c r="Z41" s="133"/>
      <c r="AA41" s="133"/>
      <c r="AB41" s="133"/>
      <c r="AC41" s="124"/>
      <c r="AD41" s="133"/>
      <c r="AE41" s="124"/>
      <c r="AF41" s="133"/>
      <c r="AG41" s="130"/>
      <c r="AH41" s="77">
        <f t="shared" si="3"/>
        <v>3</v>
      </c>
      <c r="AI41" s="78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79" t="str">
        <f>B41</f>
        <v>小花</v>
      </c>
      <c r="AK41" s="80"/>
    </row>
    <row r="42" spans="1:37" ht="18" customHeight="1">
      <c r="A42" s="101" t="s">
        <v>174</v>
      </c>
      <c r="B42" s="136" t="s">
        <v>104</v>
      </c>
      <c r="C42" s="124"/>
      <c r="D42" s="135">
        <v>1</v>
      </c>
      <c r="E42" s="135"/>
      <c r="F42" s="130"/>
      <c r="G42" s="135"/>
      <c r="H42" s="124"/>
      <c r="I42" s="135">
        <v>1</v>
      </c>
      <c r="J42" s="124"/>
      <c r="K42" s="135">
        <v>1</v>
      </c>
      <c r="L42" s="135"/>
      <c r="M42" s="135"/>
      <c r="N42" s="135"/>
      <c r="O42" s="124"/>
      <c r="P42" s="135"/>
      <c r="Q42" s="124"/>
      <c r="R42" s="135"/>
      <c r="S42" s="135"/>
      <c r="T42" s="135"/>
      <c r="U42" s="135"/>
      <c r="V42" s="124"/>
      <c r="W42" s="135"/>
      <c r="X42" s="124"/>
      <c r="Y42" s="135"/>
      <c r="Z42" s="135"/>
      <c r="AA42" s="135"/>
      <c r="AB42" s="135"/>
      <c r="AC42" s="124"/>
      <c r="AD42" s="135"/>
      <c r="AE42" s="124"/>
      <c r="AF42" s="135"/>
      <c r="AG42" s="130"/>
      <c r="AH42" s="86">
        <f t="shared" si="3"/>
        <v>3</v>
      </c>
      <c r="AI42" s="87" t="e">
        <f ca="1">IF(A42="O", (VALUE(_xludf.IFS(AH42=0,"0",AH42=1,"150",AH42=2,"300",AH42=3,"450",AH42=4,"600",AH42=5,"750",AH42&gt;=6,"800"))),(VALUE(_xludf.IFS(AH42=0,"0",AH42=1,"150",AH42=2,"300",AH42=3,"450",AH42=4,"600",AH42=5,"750",AH42=6,"900",AH42&gt;=7,"1,000"))))</f>
        <v>#NAME?</v>
      </c>
      <c r="AJ42" s="88" t="str">
        <f>B42</f>
        <v>卡丘</v>
      </c>
      <c r="AK42" s="90"/>
    </row>
    <row r="43" spans="1:37" ht="18" customHeight="1">
      <c r="A43" s="95" t="s">
        <v>58</v>
      </c>
      <c r="B43" s="125" t="s">
        <v>72</v>
      </c>
      <c r="C43" s="124"/>
      <c r="D43" s="123"/>
      <c r="E43" s="123"/>
      <c r="F43" s="130"/>
      <c r="G43" s="123"/>
      <c r="H43" s="124"/>
      <c r="I43" s="123"/>
      <c r="J43" s="124"/>
      <c r="K43" s="123"/>
      <c r="L43" s="123"/>
      <c r="M43" s="123">
        <v>1</v>
      </c>
      <c r="N43" s="123"/>
      <c r="O43" s="124"/>
      <c r="P43" s="123"/>
      <c r="Q43" s="124"/>
      <c r="R43" s="123">
        <v>1</v>
      </c>
      <c r="S43" s="123"/>
      <c r="T43" s="123"/>
      <c r="U43" s="123"/>
      <c r="V43" s="124"/>
      <c r="W43" s="123"/>
      <c r="X43" s="124"/>
      <c r="Y43" s="123"/>
      <c r="Z43" s="123"/>
      <c r="AA43" s="123"/>
      <c r="AB43" s="123"/>
      <c r="AC43" s="124"/>
      <c r="AD43" s="123"/>
      <c r="AE43" s="124"/>
      <c r="AF43" s="123">
        <v>1</v>
      </c>
      <c r="AG43" s="130"/>
      <c r="AH43" s="66">
        <f t="shared" si="3"/>
        <v>3</v>
      </c>
      <c r="AI43" s="68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69" t="str">
        <f>B43</f>
        <v>八卦</v>
      </c>
      <c r="AK43" s="73"/>
    </row>
    <row r="44" spans="1:37" ht="18" customHeight="1">
      <c r="A44" s="95" t="s">
        <v>58</v>
      </c>
      <c r="B44" s="125" t="s">
        <v>36</v>
      </c>
      <c r="C44" s="124"/>
      <c r="D44" s="123"/>
      <c r="E44" s="123"/>
      <c r="F44" s="130"/>
      <c r="G44" s="123"/>
      <c r="H44" s="124"/>
      <c r="I44" s="123"/>
      <c r="J44" s="124"/>
      <c r="K44" s="123"/>
      <c r="L44" s="123"/>
      <c r="M44" s="123"/>
      <c r="N44" s="123"/>
      <c r="O44" s="124"/>
      <c r="P44" s="123"/>
      <c r="Q44" s="124"/>
      <c r="R44" s="123">
        <v>1</v>
      </c>
      <c r="S44" s="123"/>
      <c r="T44" s="123"/>
      <c r="U44" s="123"/>
      <c r="V44" s="124"/>
      <c r="W44" s="123"/>
      <c r="X44" s="124"/>
      <c r="Y44" s="123"/>
      <c r="Z44" s="123"/>
      <c r="AA44" s="123"/>
      <c r="AB44" s="123"/>
      <c r="AC44" s="124"/>
      <c r="AD44" s="123">
        <v>1</v>
      </c>
      <c r="AE44" s="124"/>
      <c r="AF44" s="123">
        <v>1</v>
      </c>
      <c r="AG44" s="130"/>
      <c r="AH44" s="66">
        <f t="shared" si="3"/>
        <v>3</v>
      </c>
      <c r="AI44" s="68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69" t="str">
        <f>B44</f>
        <v>子澔</v>
      </c>
      <c r="AK44" s="70"/>
    </row>
    <row r="45" spans="1:37" ht="18" customHeight="1">
      <c r="A45" s="95" t="s">
        <v>58</v>
      </c>
      <c r="B45" s="125" t="s">
        <v>220</v>
      </c>
      <c r="C45" s="124"/>
      <c r="D45" s="123"/>
      <c r="E45" s="123"/>
      <c r="F45" s="130"/>
      <c r="G45" s="123"/>
      <c r="H45" s="124"/>
      <c r="I45" s="123"/>
      <c r="J45" s="124"/>
      <c r="K45" s="123"/>
      <c r="L45" s="123"/>
      <c r="M45" s="123"/>
      <c r="N45" s="123"/>
      <c r="O45" s="124"/>
      <c r="P45" s="123"/>
      <c r="Q45" s="124"/>
      <c r="R45" s="123">
        <v>1</v>
      </c>
      <c r="S45" s="123"/>
      <c r="T45" s="123"/>
      <c r="U45" s="123"/>
      <c r="V45" s="124"/>
      <c r="W45" s="123"/>
      <c r="X45" s="124"/>
      <c r="Y45" s="123">
        <v>1</v>
      </c>
      <c r="Z45" s="123"/>
      <c r="AA45" s="123"/>
      <c r="AB45" s="123"/>
      <c r="AC45" s="124"/>
      <c r="AD45" s="123"/>
      <c r="AE45" s="124"/>
      <c r="AF45" s="123">
        <v>1</v>
      </c>
      <c r="AG45" s="130"/>
      <c r="AH45" s="66">
        <f t="shared" si="3"/>
        <v>3</v>
      </c>
      <c r="AI45" s="68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69" t="s">
        <v>220</v>
      </c>
      <c r="AK45" s="70"/>
    </row>
    <row r="46" spans="1:37" ht="18" customHeight="1">
      <c r="A46" s="101" t="s">
        <v>58</v>
      </c>
      <c r="B46" s="138" t="s">
        <v>139</v>
      </c>
      <c r="C46" s="124"/>
      <c r="D46" s="135">
        <v>1</v>
      </c>
      <c r="E46" s="135"/>
      <c r="F46" s="130"/>
      <c r="G46" s="135"/>
      <c r="H46" s="124"/>
      <c r="I46" s="135">
        <v>1</v>
      </c>
      <c r="J46" s="124"/>
      <c r="K46" s="135"/>
      <c r="L46" s="135"/>
      <c r="M46" s="135"/>
      <c r="N46" s="135"/>
      <c r="O46" s="124"/>
      <c r="P46" s="135">
        <v>1</v>
      </c>
      <c r="Q46" s="124"/>
      <c r="R46" s="135"/>
      <c r="S46" s="135"/>
      <c r="T46" s="135"/>
      <c r="U46" s="135"/>
      <c r="V46" s="124"/>
      <c r="W46" s="135"/>
      <c r="X46" s="124"/>
      <c r="Y46" s="135"/>
      <c r="Z46" s="135"/>
      <c r="AA46" s="135"/>
      <c r="AB46" s="135"/>
      <c r="AC46" s="124"/>
      <c r="AD46" s="135"/>
      <c r="AE46" s="124"/>
      <c r="AF46" s="135"/>
      <c r="AG46" s="130"/>
      <c r="AH46" s="86">
        <f t="shared" si="3"/>
        <v>3</v>
      </c>
      <c r="AI46" s="87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88" t="str">
        <f t="shared" ref="AJ46:AJ77" si="4">B46</f>
        <v>Tina</v>
      </c>
      <c r="AK46" s="91"/>
    </row>
    <row r="47" spans="1:37" ht="18" customHeight="1">
      <c r="A47" s="95" t="s">
        <v>174</v>
      </c>
      <c r="B47" s="139" t="s">
        <v>11</v>
      </c>
      <c r="C47" s="124"/>
      <c r="D47" s="123">
        <v>1</v>
      </c>
      <c r="E47" s="123"/>
      <c r="F47" s="130"/>
      <c r="G47" s="123"/>
      <c r="H47" s="124"/>
      <c r="I47" s="123">
        <v>1</v>
      </c>
      <c r="J47" s="124"/>
      <c r="K47" s="123">
        <v>1</v>
      </c>
      <c r="L47" s="123">
        <v>1</v>
      </c>
      <c r="M47" s="123"/>
      <c r="N47" s="123">
        <v>1</v>
      </c>
      <c r="O47" s="124"/>
      <c r="P47" s="123">
        <v>1</v>
      </c>
      <c r="Q47" s="124"/>
      <c r="R47" s="123">
        <v>1</v>
      </c>
      <c r="S47" s="123">
        <v>1</v>
      </c>
      <c r="T47" s="123"/>
      <c r="U47" s="123"/>
      <c r="V47" s="124"/>
      <c r="W47" s="123">
        <v>1</v>
      </c>
      <c r="X47" s="124"/>
      <c r="Y47" s="123">
        <v>1</v>
      </c>
      <c r="Z47" s="123"/>
      <c r="AA47" s="123"/>
      <c r="AB47" s="123">
        <v>1</v>
      </c>
      <c r="AC47" s="124"/>
      <c r="AD47" s="123">
        <v>1</v>
      </c>
      <c r="AE47" s="124"/>
      <c r="AF47" s="123">
        <v>1</v>
      </c>
      <c r="AG47" s="130"/>
      <c r="AH47" s="66">
        <f t="shared" si="3"/>
        <v>13</v>
      </c>
      <c r="AI47" s="68" t="e">
        <f ca="1">(IF(A47="O", (VALUE(_xludf.IFS(AH47=0,"0",AH47=1,"150",AH47=2,"300",AH47=3,"450",AH47=4,"600",AH47=5,"750",AH47&gt;=6,"800"))),(VALUE(_xludf.IFS(AH47=0,"0",AH47=1,"150",AH47=2,"300",AH47=3,"450",AH47=4,"600",AH47=5,"750",AH47=6,"900",AH47&gt;=7,"1,000")))))/2</f>
        <v>#NAME?</v>
      </c>
      <c r="AJ47" s="122" t="str">
        <f t="shared" si="4"/>
        <v>捷升</v>
      </c>
      <c r="AK47" s="70"/>
    </row>
    <row r="48" spans="1:37" ht="18" customHeight="1">
      <c r="A48" s="95" t="s">
        <v>174</v>
      </c>
      <c r="B48" s="139" t="s">
        <v>14</v>
      </c>
      <c r="C48" s="124"/>
      <c r="D48" s="123">
        <v>1</v>
      </c>
      <c r="E48" s="123">
        <v>1</v>
      </c>
      <c r="F48" s="130"/>
      <c r="G48" s="123">
        <v>1</v>
      </c>
      <c r="H48" s="124"/>
      <c r="I48" s="123">
        <v>1</v>
      </c>
      <c r="J48" s="124"/>
      <c r="K48" s="123">
        <v>1</v>
      </c>
      <c r="L48" s="123">
        <v>1</v>
      </c>
      <c r="M48" s="123"/>
      <c r="N48" s="123">
        <v>1</v>
      </c>
      <c r="O48" s="124"/>
      <c r="P48" s="123">
        <v>1</v>
      </c>
      <c r="Q48" s="124"/>
      <c r="R48" s="123">
        <v>1</v>
      </c>
      <c r="S48" s="123">
        <v>1</v>
      </c>
      <c r="T48" s="123"/>
      <c r="U48" s="123"/>
      <c r="V48" s="124"/>
      <c r="W48" s="123">
        <v>1</v>
      </c>
      <c r="X48" s="124"/>
      <c r="Y48" s="123">
        <v>1</v>
      </c>
      <c r="Z48" s="123"/>
      <c r="AA48" s="123"/>
      <c r="AB48" s="123">
        <v>1</v>
      </c>
      <c r="AC48" s="124"/>
      <c r="AD48" s="123">
        <v>1</v>
      </c>
      <c r="AE48" s="124"/>
      <c r="AF48" s="123">
        <v>1</v>
      </c>
      <c r="AG48" s="130"/>
      <c r="AH48" s="66">
        <f t="shared" si="3"/>
        <v>15</v>
      </c>
      <c r="AI48" s="68" t="e">
        <f ca="1">(IF(A48="O", (VALUE(_xludf.IFS(AH48=0,"0",AH48=1,"150",AH48=2,"300",AH48=3,"450",AH48=4,"600",AH48=5,"750",AH48&gt;=6,"800"))),(VALUE(_xludf.IFS(AH48=0,"0",AH48=1,"150",AH48=2,"300",AH48=3,"450",AH48=4,"600",AH48=5,"750",AH48=6,"900",AH48&gt;=7,"1,000")))))/2</f>
        <v>#NAME?</v>
      </c>
      <c r="AJ48" s="122" t="str">
        <f t="shared" si="4"/>
        <v>曉明</v>
      </c>
      <c r="AK48" s="70"/>
    </row>
    <row r="49" spans="1:37" ht="18" customHeight="1">
      <c r="A49" s="95" t="s">
        <v>174</v>
      </c>
      <c r="B49" s="139" t="s">
        <v>13</v>
      </c>
      <c r="C49" s="124"/>
      <c r="D49" s="123">
        <v>1</v>
      </c>
      <c r="E49" s="123"/>
      <c r="F49" s="130"/>
      <c r="G49" s="123">
        <v>1</v>
      </c>
      <c r="H49" s="124"/>
      <c r="I49" s="123">
        <v>1</v>
      </c>
      <c r="J49" s="124"/>
      <c r="K49" s="123">
        <v>1</v>
      </c>
      <c r="L49" s="123">
        <v>1</v>
      </c>
      <c r="M49" s="123"/>
      <c r="N49" s="123">
        <v>1</v>
      </c>
      <c r="O49" s="124"/>
      <c r="P49" s="123">
        <v>1</v>
      </c>
      <c r="Q49" s="124"/>
      <c r="R49" s="123">
        <v>1</v>
      </c>
      <c r="S49" s="123"/>
      <c r="T49" s="123"/>
      <c r="U49" s="123">
        <v>1</v>
      </c>
      <c r="V49" s="124"/>
      <c r="W49" s="123">
        <v>1</v>
      </c>
      <c r="X49" s="124"/>
      <c r="Y49" s="123">
        <v>1</v>
      </c>
      <c r="Z49" s="123"/>
      <c r="AA49" s="123"/>
      <c r="AB49" s="123">
        <v>1</v>
      </c>
      <c r="AC49" s="124"/>
      <c r="AD49" s="123">
        <v>1</v>
      </c>
      <c r="AE49" s="124"/>
      <c r="AF49" s="123">
        <v>1</v>
      </c>
      <c r="AG49" s="130"/>
      <c r="AH49" s="66">
        <f t="shared" si="3"/>
        <v>14</v>
      </c>
      <c r="AI49" s="68" t="e">
        <f ca="1">(IF(A49="O", (VALUE(_xludf.IFS(AH49=0,"0",AH49=1,"150",AH49=2,"300",AH49=3,"450",AH49=4,"600",AH49=5,"750",AH49&gt;=6,"800"))),(VALUE(_xludf.IFS(AH49=0,"0",AH49=1,"150",AH49=2,"300",AH49=3,"450",AH49=4,"600",AH49=5,"750",AH49=6,"900",AH49&gt;=7,"1,000")))))/2</f>
        <v>#NAME?</v>
      </c>
      <c r="AJ49" s="122" t="str">
        <f t="shared" si="4"/>
        <v>李洋</v>
      </c>
      <c r="AK49" s="70"/>
    </row>
    <row r="50" spans="1:37" ht="18" customHeight="1">
      <c r="A50" s="95" t="s">
        <v>174</v>
      </c>
      <c r="B50" s="139" t="s">
        <v>19</v>
      </c>
      <c r="C50" s="124"/>
      <c r="D50" s="123">
        <v>1</v>
      </c>
      <c r="E50" s="123"/>
      <c r="F50" s="130"/>
      <c r="G50" s="123">
        <v>1</v>
      </c>
      <c r="H50" s="124"/>
      <c r="I50" s="123">
        <v>1</v>
      </c>
      <c r="J50" s="124"/>
      <c r="K50" s="123">
        <v>1</v>
      </c>
      <c r="L50" s="123">
        <v>1</v>
      </c>
      <c r="M50" s="123"/>
      <c r="N50" s="123">
        <v>1</v>
      </c>
      <c r="O50" s="124"/>
      <c r="P50" s="123">
        <v>1</v>
      </c>
      <c r="Q50" s="124"/>
      <c r="R50" s="123">
        <v>1</v>
      </c>
      <c r="S50" s="123">
        <v>1</v>
      </c>
      <c r="T50" s="123"/>
      <c r="U50" s="123">
        <v>1</v>
      </c>
      <c r="V50" s="124"/>
      <c r="W50" s="123">
        <v>1</v>
      </c>
      <c r="X50" s="124"/>
      <c r="Y50" s="123">
        <v>1</v>
      </c>
      <c r="Z50" s="123"/>
      <c r="AA50" s="123"/>
      <c r="AB50" s="123">
        <v>1</v>
      </c>
      <c r="AC50" s="124"/>
      <c r="AD50" s="123">
        <v>1</v>
      </c>
      <c r="AE50" s="124"/>
      <c r="AF50" s="123">
        <v>1</v>
      </c>
      <c r="AG50" s="130"/>
      <c r="AH50" s="66">
        <f t="shared" si="3"/>
        <v>15</v>
      </c>
      <c r="AI50" s="68" t="e">
        <f ca="1">(IF(A50="O", (VALUE(_xludf.IFS(AH50=0,"0",AH50=1,"150",AH50=2,"300",AH50=3,"450",AH50=4,"600",AH50=5,"750",AH50&gt;=6,"800"))),(VALUE(_xludf.IFS(AH50=0,"0",AH50=1,"150",AH50=2,"300",AH50=3,"450",AH50=4,"600",AH50=5,"750",AH50=6,"900",AH50&gt;=7,"1,000")))))/2</f>
        <v>#NAME?</v>
      </c>
      <c r="AJ50" s="122" t="str">
        <f t="shared" si="4"/>
        <v>青蛙</v>
      </c>
      <c r="AK50" s="70"/>
    </row>
    <row r="51" spans="1:37" ht="18" customHeight="1">
      <c r="A51" s="99" t="s">
        <v>174</v>
      </c>
      <c r="B51" s="131" t="s">
        <v>113</v>
      </c>
      <c r="C51" s="124"/>
      <c r="D51" s="133"/>
      <c r="E51" s="133">
        <v>1</v>
      </c>
      <c r="F51" s="130"/>
      <c r="G51" s="133"/>
      <c r="H51" s="124"/>
      <c r="I51" s="133"/>
      <c r="J51" s="124"/>
      <c r="K51" s="133"/>
      <c r="L51" s="133"/>
      <c r="M51" s="133"/>
      <c r="N51" s="133"/>
      <c r="O51" s="124"/>
      <c r="P51" s="133"/>
      <c r="Q51" s="124"/>
      <c r="R51" s="133"/>
      <c r="S51" s="133">
        <v>1</v>
      </c>
      <c r="T51" s="133"/>
      <c r="U51" s="133"/>
      <c r="V51" s="124"/>
      <c r="W51" s="133"/>
      <c r="X51" s="124"/>
      <c r="Y51" s="133"/>
      <c r="Z51" s="133"/>
      <c r="AA51" s="133"/>
      <c r="AB51" s="133"/>
      <c r="AC51" s="124"/>
      <c r="AD51" s="133"/>
      <c r="AE51" s="124"/>
      <c r="AF51" s="133"/>
      <c r="AG51" s="130"/>
      <c r="AH51" s="77">
        <f t="shared" si="3"/>
        <v>2</v>
      </c>
      <c r="AI51" s="78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79" t="str">
        <f t="shared" si="4"/>
        <v>容容</v>
      </c>
      <c r="AK51" s="82"/>
    </row>
    <row r="52" spans="1:37" ht="18" customHeight="1">
      <c r="A52" s="95" t="s">
        <v>58</v>
      </c>
      <c r="B52" s="125" t="s">
        <v>198</v>
      </c>
      <c r="C52" s="124"/>
      <c r="D52" s="123"/>
      <c r="E52" s="123"/>
      <c r="F52" s="130"/>
      <c r="G52" s="123"/>
      <c r="H52" s="124"/>
      <c r="I52" s="123"/>
      <c r="J52" s="124"/>
      <c r="K52" s="123"/>
      <c r="L52" s="123"/>
      <c r="M52" s="123"/>
      <c r="N52" s="123"/>
      <c r="O52" s="124"/>
      <c r="P52" s="123"/>
      <c r="Q52" s="124"/>
      <c r="R52" s="123"/>
      <c r="S52" s="123"/>
      <c r="T52" s="123"/>
      <c r="U52" s="123">
        <v>1</v>
      </c>
      <c r="V52" s="124"/>
      <c r="W52" s="123"/>
      <c r="X52" s="124"/>
      <c r="Y52" s="123"/>
      <c r="Z52" s="123"/>
      <c r="AA52" s="123"/>
      <c r="AB52" s="123">
        <v>1</v>
      </c>
      <c r="AC52" s="124"/>
      <c r="AD52" s="123"/>
      <c r="AE52" s="124"/>
      <c r="AF52" s="123"/>
      <c r="AG52" s="130"/>
      <c r="AH52" s="66">
        <f t="shared" si="3"/>
        <v>2</v>
      </c>
      <c r="AI52" s="68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69" t="str">
        <f t="shared" si="4"/>
        <v>郁翔</v>
      </c>
      <c r="AK52" s="73"/>
    </row>
    <row r="53" spans="1:37" ht="18" customHeight="1">
      <c r="A53" s="95" t="s">
        <v>58</v>
      </c>
      <c r="B53" s="125" t="s">
        <v>37</v>
      </c>
      <c r="C53" s="124"/>
      <c r="D53" s="123"/>
      <c r="E53" s="123"/>
      <c r="F53" s="130"/>
      <c r="G53" s="123"/>
      <c r="H53" s="124"/>
      <c r="I53" s="123">
        <v>1</v>
      </c>
      <c r="J53" s="124"/>
      <c r="K53" s="123"/>
      <c r="L53" s="123"/>
      <c r="M53" s="123"/>
      <c r="N53" s="123"/>
      <c r="O53" s="124"/>
      <c r="P53" s="123"/>
      <c r="Q53" s="124"/>
      <c r="R53" s="123">
        <v>1</v>
      </c>
      <c r="S53" s="123"/>
      <c r="T53" s="123"/>
      <c r="U53" s="123"/>
      <c r="V53" s="124"/>
      <c r="W53" s="123"/>
      <c r="X53" s="124"/>
      <c r="Y53" s="123"/>
      <c r="Z53" s="123"/>
      <c r="AA53" s="123"/>
      <c r="AB53" s="123"/>
      <c r="AC53" s="124"/>
      <c r="AD53" s="123"/>
      <c r="AE53" s="124"/>
      <c r="AF53" s="123"/>
      <c r="AG53" s="130"/>
      <c r="AH53" s="66">
        <f t="shared" si="3"/>
        <v>2</v>
      </c>
      <c r="AI53" s="68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69" t="str">
        <f t="shared" si="4"/>
        <v>魚仔</v>
      </c>
      <c r="AK53" s="70"/>
    </row>
    <row r="54" spans="1:37" ht="18" customHeight="1">
      <c r="A54" s="95" t="s">
        <v>58</v>
      </c>
      <c r="B54" s="125" t="s">
        <v>87</v>
      </c>
      <c r="C54" s="124"/>
      <c r="D54" s="123"/>
      <c r="E54" s="123"/>
      <c r="F54" s="130"/>
      <c r="G54" s="123">
        <v>1</v>
      </c>
      <c r="H54" s="124"/>
      <c r="I54" s="123"/>
      <c r="J54" s="124"/>
      <c r="K54" s="123"/>
      <c r="L54" s="123"/>
      <c r="M54" s="123"/>
      <c r="N54" s="123"/>
      <c r="O54" s="124"/>
      <c r="P54" s="123"/>
      <c r="Q54" s="124"/>
      <c r="R54" s="123"/>
      <c r="S54" s="123"/>
      <c r="T54" s="123"/>
      <c r="U54" s="123"/>
      <c r="V54" s="124"/>
      <c r="W54" s="123"/>
      <c r="X54" s="124"/>
      <c r="Y54" s="123"/>
      <c r="Z54" s="123"/>
      <c r="AA54" s="123"/>
      <c r="AB54" s="123">
        <v>1</v>
      </c>
      <c r="AC54" s="124"/>
      <c r="AD54" s="123"/>
      <c r="AE54" s="124"/>
      <c r="AF54" s="123"/>
      <c r="AG54" s="130"/>
      <c r="AH54" s="66">
        <f t="shared" si="3"/>
        <v>2</v>
      </c>
      <c r="AI54" s="68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69" t="str">
        <f t="shared" si="4"/>
        <v>Mango</v>
      </c>
      <c r="AK54" s="70"/>
    </row>
    <row r="55" spans="1:37" ht="18" customHeight="1">
      <c r="A55" s="95" t="s">
        <v>58</v>
      </c>
      <c r="B55" s="125" t="s">
        <v>38</v>
      </c>
      <c r="C55" s="124"/>
      <c r="D55" s="123"/>
      <c r="E55" s="123"/>
      <c r="F55" s="130"/>
      <c r="G55" s="123"/>
      <c r="H55" s="124"/>
      <c r="I55" s="123"/>
      <c r="J55" s="124"/>
      <c r="K55" s="123"/>
      <c r="L55" s="123"/>
      <c r="M55" s="123"/>
      <c r="N55" s="123">
        <v>1</v>
      </c>
      <c r="O55" s="124"/>
      <c r="P55" s="123"/>
      <c r="Q55" s="124"/>
      <c r="R55" s="123"/>
      <c r="S55" s="123"/>
      <c r="T55" s="123"/>
      <c r="U55" s="123">
        <v>1</v>
      </c>
      <c r="V55" s="124"/>
      <c r="W55" s="123"/>
      <c r="X55" s="124"/>
      <c r="Y55" s="123"/>
      <c r="Z55" s="123"/>
      <c r="AA55" s="123"/>
      <c r="AB55" s="123"/>
      <c r="AC55" s="124"/>
      <c r="AD55" s="123"/>
      <c r="AE55" s="124"/>
      <c r="AF55" s="123"/>
      <c r="AG55" s="130"/>
      <c r="AH55" s="66">
        <f t="shared" si="3"/>
        <v>2</v>
      </c>
      <c r="AI55" s="68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69" t="str">
        <f t="shared" si="4"/>
        <v>阿龍</v>
      </c>
      <c r="AK55" s="70"/>
    </row>
    <row r="56" spans="1:37" ht="18" customHeight="1">
      <c r="A56" s="99" t="s">
        <v>58</v>
      </c>
      <c r="B56" s="131" t="s">
        <v>100</v>
      </c>
      <c r="C56" s="124"/>
      <c r="D56" s="133"/>
      <c r="E56" s="133">
        <v>1</v>
      </c>
      <c r="F56" s="130"/>
      <c r="G56" s="133"/>
      <c r="H56" s="124"/>
      <c r="I56" s="133"/>
      <c r="J56" s="124"/>
      <c r="K56" s="133"/>
      <c r="L56" s="133"/>
      <c r="M56" s="133"/>
      <c r="N56" s="133"/>
      <c r="O56" s="124"/>
      <c r="P56" s="133"/>
      <c r="Q56" s="124"/>
      <c r="R56" s="133"/>
      <c r="S56" s="133">
        <v>1</v>
      </c>
      <c r="T56" s="133"/>
      <c r="U56" s="133"/>
      <c r="V56" s="124"/>
      <c r="W56" s="133"/>
      <c r="X56" s="124"/>
      <c r="Y56" s="133"/>
      <c r="Z56" s="133"/>
      <c r="AA56" s="133"/>
      <c r="AB56" s="133"/>
      <c r="AC56" s="124"/>
      <c r="AD56" s="133"/>
      <c r="AE56" s="124"/>
      <c r="AF56" s="133"/>
      <c r="AG56" s="130"/>
      <c r="AH56" s="77">
        <f t="shared" si="3"/>
        <v>2</v>
      </c>
      <c r="AI56" s="78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79" t="str">
        <f t="shared" si="4"/>
        <v>餅餅</v>
      </c>
      <c r="AK56" s="81"/>
    </row>
    <row r="57" spans="1:37" ht="18" customHeight="1">
      <c r="A57" s="101" t="s">
        <v>58</v>
      </c>
      <c r="B57" s="136" t="s">
        <v>125</v>
      </c>
      <c r="C57" s="124"/>
      <c r="D57" s="135">
        <v>1</v>
      </c>
      <c r="E57" s="135"/>
      <c r="F57" s="130"/>
      <c r="G57" s="135">
        <v>1</v>
      </c>
      <c r="H57" s="124"/>
      <c r="I57" s="135"/>
      <c r="J57" s="124"/>
      <c r="K57" s="135"/>
      <c r="L57" s="135"/>
      <c r="M57" s="135"/>
      <c r="N57" s="135"/>
      <c r="O57" s="124"/>
      <c r="P57" s="135"/>
      <c r="Q57" s="124"/>
      <c r="R57" s="135"/>
      <c r="S57" s="135"/>
      <c r="T57" s="135"/>
      <c r="U57" s="135"/>
      <c r="V57" s="124"/>
      <c r="W57" s="135"/>
      <c r="X57" s="124"/>
      <c r="Y57" s="135"/>
      <c r="Z57" s="135"/>
      <c r="AA57" s="135"/>
      <c r="AB57" s="135"/>
      <c r="AC57" s="124"/>
      <c r="AD57" s="135"/>
      <c r="AE57" s="124"/>
      <c r="AF57" s="135"/>
      <c r="AG57" s="130"/>
      <c r="AH57" s="86">
        <f t="shared" si="3"/>
        <v>2</v>
      </c>
      <c r="AI57" s="87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88" t="str">
        <f t="shared" si="4"/>
        <v>沛緁</v>
      </c>
      <c r="AK57" s="89"/>
    </row>
    <row r="58" spans="1:37" ht="18" customHeight="1">
      <c r="A58" s="101" t="s">
        <v>58</v>
      </c>
      <c r="B58" s="136" t="s">
        <v>144</v>
      </c>
      <c r="C58" s="124"/>
      <c r="D58" s="135"/>
      <c r="E58" s="135"/>
      <c r="F58" s="130"/>
      <c r="G58" s="135"/>
      <c r="H58" s="124"/>
      <c r="I58" s="135"/>
      <c r="J58" s="124"/>
      <c r="K58" s="135"/>
      <c r="L58" s="135">
        <v>1</v>
      </c>
      <c r="M58" s="135"/>
      <c r="N58" s="135"/>
      <c r="O58" s="124"/>
      <c r="P58" s="135"/>
      <c r="Q58" s="124"/>
      <c r="R58" s="135"/>
      <c r="S58" s="135"/>
      <c r="T58" s="135"/>
      <c r="U58" s="135"/>
      <c r="V58" s="124"/>
      <c r="W58" s="135"/>
      <c r="X58" s="124"/>
      <c r="Y58" s="135"/>
      <c r="Z58" s="135"/>
      <c r="AA58" s="135"/>
      <c r="AB58" s="135">
        <v>1</v>
      </c>
      <c r="AC58" s="124"/>
      <c r="AD58" s="135"/>
      <c r="AE58" s="124"/>
      <c r="AF58" s="135"/>
      <c r="AG58" s="130"/>
      <c r="AH58" s="86">
        <f t="shared" si="3"/>
        <v>2</v>
      </c>
      <c r="AI58" s="87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88" t="str">
        <f t="shared" si="4"/>
        <v>美枝</v>
      </c>
      <c r="AK58" s="91"/>
    </row>
    <row r="59" spans="1:37" ht="18" customHeight="1">
      <c r="A59" s="101" t="s">
        <v>174</v>
      </c>
      <c r="B59" s="136" t="s">
        <v>117</v>
      </c>
      <c r="C59" s="124"/>
      <c r="D59" s="135">
        <v>1</v>
      </c>
      <c r="E59" s="135"/>
      <c r="F59" s="130"/>
      <c r="G59" s="135"/>
      <c r="H59" s="124"/>
      <c r="I59" s="135"/>
      <c r="J59" s="124"/>
      <c r="K59" s="135"/>
      <c r="L59" s="135"/>
      <c r="M59" s="135"/>
      <c r="N59" s="135"/>
      <c r="O59" s="124"/>
      <c r="P59" s="135"/>
      <c r="Q59" s="124"/>
      <c r="R59" s="135"/>
      <c r="S59" s="135"/>
      <c r="T59" s="135"/>
      <c r="U59" s="135"/>
      <c r="V59" s="124"/>
      <c r="W59" s="135"/>
      <c r="X59" s="124"/>
      <c r="Y59" s="135"/>
      <c r="Z59" s="135"/>
      <c r="AA59" s="135"/>
      <c r="AB59" s="135"/>
      <c r="AC59" s="124"/>
      <c r="AD59" s="135"/>
      <c r="AE59" s="124"/>
      <c r="AF59" s="135"/>
      <c r="AG59" s="130"/>
      <c r="AH59" s="86">
        <f t="shared" si="3"/>
        <v>1</v>
      </c>
      <c r="AI59" s="87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88" t="str">
        <f t="shared" si="4"/>
        <v>依凡</v>
      </c>
      <c r="AK59" s="89"/>
    </row>
    <row r="60" spans="1:37" ht="18" customHeight="1">
      <c r="A60" s="101" t="s">
        <v>174</v>
      </c>
      <c r="B60" s="136" t="s">
        <v>118</v>
      </c>
      <c r="C60" s="124"/>
      <c r="D60" s="135">
        <v>1</v>
      </c>
      <c r="E60" s="135"/>
      <c r="F60" s="130"/>
      <c r="G60" s="135"/>
      <c r="H60" s="124"/>
      <c r="I60" s="135"/>
      <c r="J60" s="124"/>
      <c r="K60" s="135"/>
      <c r="L60" s="135"/>
      <c r="M60" s="135"/>
      <c r="N60" s="135"/>
      <c r="O60" s="124"/>
      <c r="P60" s="135"/>
      <c r="Q60" s="124"/>
      <c r="R60" s="135"/>
      <c r="S60" s="135"/>
      <c r="T60" s="135"/>
      <c r="U60" s="135"/>
      <c r="V60" s="124"/>
      <c r="W60" s="135"/>
      <c r="X60" s="124"/>
      <c r="Y60" s="135"/>
      <c r="Z60" s="135"/>
      <c r="AA60" s="135"/>
      <c r="AB60" s="135"/>
      <c r="AC60" s="124"/>
      <c r="AD60" s="135"/>
      <c r="AE60" s="124"/>
      <c r="AF60" s="135"/>
      <c r="AG60" s="130"/>
      <c r="AH60" s="86">
        <f t="shared" si="3"/>
        <v>1</v>
      </c>
      <c r="AI60" s="87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88" t="str">
        <f t="shared" si="4"/>
        <v>雅筑</v>
      </c>
      <c r="AK60" s="89"/>
    </row>
    <row r="61" spans="1:37" ht="18" customHeight="1">
      <c r="A61" s="101" t="s">
        <v>174</v>
      </c>
      <c r="B61" s="136" t="s">
        <v>119</v>
      </c>
      <c r="C61" s="124"/>
      <c r="D61" s="135"/>
      <c r="E61" s="135"/>
      <c r="F61" s="130"/>
      <c r="G61" s="135">
        <v>1</v>
      </c>
      <c r="H61" s="124"/>
      <c r="I61" s="135"/>
      <c r="J61" s="124"/>
      <c r="K61" s="135"/>
      <c r="L61" s="135"/>
      <c r="M61" s="135"/>
      <c r="N61" s="135"/>
      <c r="O61" s="124"/>
      <c r="P61" s="135"/>
      <c r="Q61" s="124"/>
      <c r="R61" s="135"/>
      <c r="S61" s="135"/>
      <c r="T61" s="135"/>
      <c r="U61" s="135"/>
      <c r="V61" s="124"/>
      <c r="W61" s="135"/>
      <c r="X61" s="124"/>
      <c r="Y61" s="135"/>
      <c r="Z61" s="135"/>
      <c r="AA61" s="135"/>
      <c r="AB61" s="135"/>
      <c r="AC61" s="124"/>
      <c r="AD61" s="135"/>
      <c r="AE61" s="124"/>
      <c r="AF61" s="135"/>
      <c r="AG61" s="130"/>
      <c r="AH61" s="86">
        <f t="shared" si="3"/>
        <v>1</v>
      </c>
      <c r="AI61" s="87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88" t="str">
        <f t="shared" si="4"/>
        <v>ABBY</v>
      </c>
      <c r="AK61" s="90"/>
    </row>
    <row r="62" spans="1:37" ht="18" customHeight="1">
      <c r="A62" s="95" t="s">
        <v>58</v>
      </c>
      <c r="B62" s="125" t="s">
        <v>27</v>
      </c>
      <c r="C62" s="124"/>
      <c r="D62" s="123"/>
      <c r="E62" s="123"/>
      <c r="F62" s="130"/>
      <c r="G62" s="123"/>
      <c r="H62" s="124"/>
      <c r="I62" s="123"/>
      <c r="J62" s="124"/>
      <c r="K62" s="123">
        <v>1</v>
      </c>
      <c r="L62" s="123"/>
      <c r="M62" s="123"/>
      <c r="N62" s="123"/>
      <c r="O62" s="124"/>
      <c r="P62" s="123"/>
      <c r="Q62" s="124"/>
      <c r="R62" s="123"/>
      <c r="S62" s="123"/>
      <c r="T62" s="123"/>
      <c r="U62" s="123"/>
      <c r="V62" s="124"/>
      <c r="W62" s="123"/>
      <c r="X62" s="124"/>
      <c r="Y62" s="123"/>
      <c r="Z62" s="123"/>
      <c r="AA62" s="123"/>
      <c r="AB62" s="123"/>
      <c r="AC62" s="124"/>
      <c r="AD62" s="123"/>
      <c r="AE62" s="124"/>
      <c r="AF62" s="123"/>
      <c r="AG62" s="130"/>
      <c r="AH62" s="66">
        <f t="shared" si="3"/>
        <v>1</v>
      </c>
      <c r="AI62" s="68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69" t="str">
        <f t="shared" si="4"/>
        <v>芋圓</v>
      </c>
      <c r="AK62" s="73"/>
    </row>
    <row r="63" spans="1:37" ht="18" customHeight="1">
      <c r="A63" s="95" t="s">
        <v>58</v>
      </c>
      <c r="B63" s="125" t="s">
        <v>65</v>
      </c>
      <c r="C63" s="124"/>
      <c r="D63" s="123"/>
      <c r="E63" s="123"/>
      <c r="F63" s="130"/>
      <c r="G63" s="123"/>
      <c r="H63" s="124"/>
      <c r="I63" s="123"/>
      <c r="J63" s="124"/>
      <c r="K63" s="123"/>
      <c r="L63" s="123"/>
      <c r="M63" s="123"/>
      <c r="N63" s="123"/>
      <c r="O63" s="124"/>
      <c r="P63" s="123"/>
      <c r="Q63" s="124"/>
      <c r="R63" s="123"/>
      <c r="S63" s="123"/>
      <c r="T63" s="123"/>
      <c r="U63" s="123"/>
      <c r="V63" s="124"/>
      <c r="W63" s="123"/>
      <c r="X63" s="124"/>
      <c r="Y63" s="123">
        <v>1</v>
      </c>
      <c r="Z63" s="123"/>
      <c r="AA63" s="123"/>
      <c r="AB63" s="123"/>
      <c r="AC63" s="124"/>
      <c r="AD63" s="123"/>
      <c r="AE63" s="124"/>
      <c r="AF63" s="123"/>
      <c r="AG63" s="130"/>
      <c r="AH63" s="66">
        <f t="shared" si="3"/>
        <v>1</v>
      </c>
      <c r="AI63" s="68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69" t="str">
        <f t="shared" si="4"/>
        <v>文淵</v>
      </c>
      <c r="AK63" s="73"/>
    </row>
    <row r="64" spans="1:37" ht="18" customHeight="1">
      <c r="A64" s="95" t="s">
        <v>58</v>
      </c>
      <c r="B64" s="125" t="s">
        <v>74</v>
      </c>
      <c r="C64" s="124"/>
      <c r="D64" s="123"/>
      <c r="E64" s="123"/>
      <c r="F64" s="130"/>
      <c r="G64" s="123"/>
      <c r="H64" s="124"/>
      <c r="I64" s="123">
        <v>1</v>
      </c>
      <c r="J64" s="124"/>
      <c r="K64" s="123"/>
      <c r="L64" s="123"/>
      <c r="M64" s="123"/>
      <c r="N64" s="123"/>
      <c r="O64" s="124"/>
      <c r="P64" s="123"/>
      <c r="Q64" s="124"/>
      <c r="R64" s="123"/>
      <c r="S64" s="123"/>
      <c r="T64" s="123"/>
      <c r="U64" s="123"/>
      <c r="V64" s="124"/>
      <c r="W64" s="123"/>
      <c r="X64" s="124"/>
      <c r="Y64" s="123"/>
      <c r="Z64" s="123"/>
      <c r="AA64" s="123"/>
      <c r="AB64" s="123"/>
      <c r="AC64" s="124"/>
      <c r="AD64" s="123"/>
      <c r="AE64" s="124"/>
      <c r="AF64" s="123"/>
      <c r="AG64" s="130"/>
      <c r="AH64" s="66">
        <f t="shared" si="3"/>
        <v>1</v>
      </c>
      <c r="AI64" s="68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69" t="str">
        <f t="shared" si="4"/>
        <v>蘆葦</v>
      </c>
      <c r="AK64" s="73"/>
    </row>
    <row r="65" spans="1:37" ht="18" customHeight="1">
      <c r="A65" s="95" t="s">
        <v>58</v>
      </c>
      <c r="B65" s="125" t="s">
        <v>31</v>
      </c>
      <c r="C65" s="124"/>
      <c r="D65" s="123"/>
      <c r="E65" s="123"/>
      <c r="F65" s="130"/>
      <c r="G65" s="123">
        <v>1</v>
      </c>
      <c r="H65" s="124"/>
      <c r="I65" s="123"/>
      <c r="J65" s="124"/>
      <c r="K65" s="123"/>
      <c r="L65" s="123"/>
      <c r="M65" s="123"/>
      <c r="N65" s="123"/>
      <c r="O65" s="124"/>
      <c r="P65" s="123"/>
      <c r="Q65" s="124"/>
      <c r="R65" s="123"/>
      <c r="S65" s="123"/>
      <c r="T65" s="123"/>
      <c r="U65" s="123"/>
      <c r="V65" s="124"/>
      <c r="W65" s="123"/>
      <c r="X65" s="124"/>
      <c r="Y65" s="123"/>
      <c r="Z65" s="123"/>
      <c r="AA65" s="123"/>
      <c r="AB65" s="123"/>
      <c r="AC65" s="124"/>
      <c r="AD65" s="123"/>
      <c r="AE65" s="124"/>
      <c r="AF65" s="123"/>
      <c r="AG65" s="130"/>
      <c r="AH65" s="66">
        <f t="shared" si="3"/>
        <v>1</v>
      </c>
      <c r="AI65" s="68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69" t="str">
        <f t="shared" si="4"/>
        <v>阿美</v>
      </c>
      <c r="AK65" s="73"/>
    </row>
    <row r="66" spans="1:37" ht="18" customHeight="1">
      <c r="A66" s="95" t="s">
        <v>58</v>
      </c>
      <c r="B66" s="125" t="s">
        <v>34</v>
      </c>
      <c r="C66" s="124"/>
      <c r="D66" s="123"/>
      <c r="E66" s="123">
        <v>1</v>
      </c>
      <c r="F66" s="130"/>
      <c r="G66" s="123"/>
      <c r="H66" s="124"/>
      <c r="I66" s="123"/>
      <c r="J66" s="124"/>
      <c r="K66" s="123"/>
      <c r="L66" s="123"/>
      <c r="M66" s="123"/>
      <c r="N66" s="123"/>
      <c r="O66" s="124"/>
      <c r="P66" s="123"/>
      <c r="Q66" s="124"/>
      <c r="R66" s="123"/>
      <c r="S66" s="123"/>
      <c r="T66" s="123"/>
      <c r="U66" s="123"/>
      <c r="V66" s="124"/>
      <c r="W66" s="123"/>
      <c r="X66" s="124"/>
      <c r="Y66" s="123"/>
      <c r="Z66" s="123"/>
      <c r="AA66" s="123"/>
      <c r="AB66" s="123"/>
      <c r="AC66" s="124"/>
      <c r="AD66" s="123"/>
      <c r="AE66" s="124"/>
      <c r="AF66" s="123"/>
      <c r="AG66" s="130"/>
      <c r="AH66" s="66">
        <f t="shared" si="3"/>
        <v>1</v>
      </c>
      <c r="AI66" s="68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69" t="str">
        <f t="shared" si="4"/>
        <v>雲翔</v>
      </c>
      <c r="AK66" s="70"/>
    </row>
    <row r="67" spans="1:37" ht="18" customHeight="1">
      <c r="A67" s="99" t="s">
        <v>58</v>
      </c>
      <c r="B67" s="131" t="s">
        <v>154</v>
      </c>
      <c r="C67" s="124"/>
      <c r="D67" s="133">
        <v>1</v>
      </c>
      <c r="E67" s="133"/>
      <c r="F67" s="130"/>
      <c r="G67" s="133"/>
      <c r="H67" s="124"/>
      <c r="I67" s="133"/>
      <c r="J67" s="124"/>
      <c r="K67" s="133"/>
      <c r="L67" s="133"/>
      <c r="M67" s="133"/>
      <c r="N67" s="133"/>
      <c r="O67" s="124"/>
      <c r="P67" s="133"/>
      <c r="Q67" s="124"/>
      <c r="R67" s="133"/>
      <c r="S67" s="133"/>
      <c r="T67" s="133"/>
      <c r="U67" s="133"/>
      <c r="V67" s="124"/>
      <c r="W67" s="133"/>
      <c r="X67" s="124"/>
      <c r="Y67" s="133"/>
      <c r="Z67" s="133"/>
      <c r="AA67" s="133"/>
      <c r="AB67" s="133"/>
      <c r="AC67" s="124"/>
      <c r="AD67" s="133"/>
      <c r="AE67" s="124"/>
      <c r="AF67" s="133"/>
      <c r="AG67" s="130"/>
      <c r="AH67" s="77">
        <f t="shared" si="3"/>
        <v>1</v>
      </c>
      <c r="AI67" s="78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79" t="str">
        <f t="shared" si="4"/>
        <v>筱攸</v>
      </c>
      <c r="AK67" s="81"/>
    </row>
    <row r="68" spans="1:37" ht="18" customHeight="1">
      <c r="A68" s="101" t="s">
        <v>58</v>
      </c>
      <c r="B68" s="136" t="s">
        <v>143</v>
      </c>
      <c r="C68" s="124"/>
      <c r="D68" s="135">
        <v>1</v>
      </c>
      <c r="E68" s="135"/>
      <c r="F68" s="130"/>
      <c r="G68" s="135"/>
      <c r="H68" s="124"/>
      <c r="I68" s="135"/>
      <c r="J68" s="124"/>
      <c r="K68" s="135"/>
      <c r="L68" s="135"/>
      <c r="M68" s="135"/>
      <c r="N68" s="135"/>
      <c r="O68" s="124"/>
      <c r="P68" s="135"/>
      <c r="Q68" s="124"/>
      <c r="R68" s="135"/>
      <c r="S68" s="135"/>
      <c r="T68" s="135"/>
      <c r="U68" s="135"/>
      <c r="V68" s="124"/>
      <c r="W68" s="135"/>
      <c r="X68" s="124"/>
      <c r="Y68" s="135"/>
      <c r="Z68" s="135"/>
      <c r="AA68" s="135"/>
      <c r="AB68" s="135"/>
      <c r="AC68" s="124"/>
      <c r="AD68" s="135"/>
      <c r="AE68" s="124"/>
      <c r="AF68" s="135"/>
      <c r="AG68" s="130"/>
      <c r="AH68" s="86">
        <f t="shared" ref="AH68:AH99" si="5">COUNTA(C68:AG68)</f>
        <v>1</v>
      </c>
      <c r="AI68" s="87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88" t="str">
        <f t="shared" si="4"/>
        <v>毓玫</v>
      </c>
      <c r="AK68" s="91"/>
    </row>
    <row r="69" spans="1:37" ht="18" customHeight="1">
      <c r="A69" s="95" t="s">
        <v>174</v>
      </c>
      <c r="B69" s="125" t="s">
        <v>21</v>
      </c>
      <c r="C69" s="124"/>
      <c r="D69" s="123"/>
      <c r="E69" s="123"/>
      <c r="F69" s="130"/>
      <c r="G69" s="123"/>
      <c r="H69" s="124"/>
      <c r="I69" s="123"/>
      <c r="J69" s="124"/>
      <c r="K69" s="123"/>
      <c r="L69" s="123"/>
      <c r="M69" s="123"/>
      <c r="N69" s="123"/>
      <c r="O69" s="124"/>
      <c r="P69" s="123"/>
      <c r="Q69" s="124"/>
      <c r="R69" s="123"/>
      <c r="S69" s="123"/>
      <c r="T69" s="123"/>
      <c r="U69" s="123"/>
      <c r="V69" s="124"/>
      <c r="W69" s="123"/>
      <c r="X69" s="124"/>
      <c r="Y69" s="123"/>
      <c r="Z69" s="123"/>
      <c r="AA69" s="123"/>
      <c r="AB69" s="123"/>
      <c r="AC69" s="124"/>
      <c r="AD69" s="123"/>
      <c r="AE69" s="124"/>
      <c r="AF69" s="123"/>
      <c r="AG69" s="130"/>
      <c r="AH69" s="66">
        <f t="shared" si="5"/>
        <v>0</v>
      </c>
      <c r="AI69" s="68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69" t="str">
        <f t="shared" si="4"/>
        <v>晧全</v>
      </c>
      <c r="AK69" s="70"/>
    </row>
    <row r="70" spans="1:37" ht="18" customHeight="1">
      <c r="A70" s="99" t="s">
        <v>174</v>
      </c>
      <c r="B70" s="131" t="s">
        <v>149</v>
      </c>
      <c r="C70" s="124"/>
      <c r="D70" s="133"/>
      <c r="E70" s="133"/>
      <c r="F70" s="130"/>
      <c r="G70" s="133"/>
      <c r="H70" s="124"/>
      <c r="I70" s="133"/>
      <c r="J70" s="124"/>
      <c r="K70" s="133"/>
      <c r="L70" s="133"/>
      <c r="M70" s="133"/>
      <c r="N70" s="133"/>
      <c r="O70" s="124"/>
      <c r="P70" s="133"/>
      <c r="Q70" s="124"/>
      <c r="R70" s="133"/>
      <c r="S70" s="133"/>
      <c r="T70" s="133"/>
      <c r="U70" s="133"/>
      <c r="V70" s="124"/>
      <c r="W70" s="133"/>
      <c r="X70" s="124"/>
      <c r="Y70" s="133"/>
      <c r="Z70" s="133"/>
      <c r="AA70" s="133"/>
      <c r="AB70" s="133"/>
      <c r="AC70" s="124"/>
      <c r="AD70" s="133"/>
      <c r="AE70" s="124"/>
      <c r="AF70" s="133"/>
      <c r="AG70" s="130"/>
      <c r="AH70" s="77">
        <f t="shared" si="5"/>
        <v>0</v>
      </c>
      <c r="AI70" s="78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79" t="str">
        <f t="shared" si="4"/>
        <v>晏寧</v>
      </c>
      <c r="AK70" s="82"/>
    </row>
    <row r="71" spans="1:37" ht="18" customHeight="1">
      <c r="A71" s="99" t="s">
        <v>174</v>
      </c>
      <c r="B71" s="131" t="s">
        <v>150</v>
      </c>
      <c r="C71" s="124"/>
      <c r="D71" s="133"/>
      <c r="E71" s="133"/>
      <c r="F71" s="130"/>
      <c r="G71" s="133"/>
      <c r="H71" s="124"/>
      <c r="I71" s="133"/>
      <c r="J71" s="124"/>
      <c r="K71" s="133"/>
      <c r="L71" s="133"/>
      <c r="M71" s="133"/>
      <c r="N71" s="133"/>
      <c r="O71" s="124"/>
      <c r="P71" s="133"/>
      <c r="Q71" s="124"/>
      <c r="R71" s="133"/>
      <c r="S71" s="133"/>
      <c r="T71" s="133"/>
      <c r="U71" s="133"/>
      <c r="V71" s="124"/>
      <c r="W71" s="133"/>
      <c r="X71" s="124"/>
      <c r="Y71" s="133"/>
      <c r="Z71" s="133"/>
      <c r="AA71" s="133"/>
      <c r="AB71" s="133"/>
      <c r="AC71" s="124"/>
      <c r="AD71" s="133"/>
      <c r="AE71" s="124"/>
      <c r="AF71" s="133"/>
      <c r="AG71" s="130"/>
      <c r="AH71" s="77">
        <f t="shared" si="5"/>
        <v>0</v>
      </c>
      <c r="AI71" s="78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79" t="str">
        <f t="shared" si="4"/>
        <v>高麗菜</v>
      </c>
      <c r="AK71" s="80"/>
    </row>
    <row r="72" spans="1:37" ht="18" customHeight="1">
      <c r="A72" s="99" t="s">
        <v>174</v>
      </c>
      <c r="B72" s="131" t="s">
        <v>147</v>
      </c>
      <c r="C72" s="124"/>
      <c r="D72" s="133"/>
      <c r="E72" s="133"/>
      <c r="F72" s="130"/>
      <c r="G72" s="133"/>
      <c r="H72" s="124"/>
      <c r="I72" s="133"/>
      <c r="J72" s="124"/>
      <c r="K72" s="133"/>
      <c r="L72" s="133"/>
      <c r="M72" s="133"/>
      <c r="N72" s="133"/>
      <c r="O72" s="124"/>
      <c r="P72" s="133"/>
      <c r="Q72" s="124"/>
      <c r="R72" s="133"/>
      <c r="S72" s="133"/>
      <c r="T72" s="133"/>
      <c r="U72" s="133"/>
      <c r="V72" s="124"/>
      <c r="W72" s="133"/>
      <c r="X72" s="124"/>
      <c r="Y72" s="133"/>
      <c r="Z72" s="133"/>
      <c r="AA72" s="133"/>
      <c r="AB72" s="133"/>
      <c r="AC72" s="124"/>
      <c r="AD72" s="133"/>
      <c r="AE72" s="124"/>
      <c r="AF72" s="133"/>
      <c r="AG72" s="130"/>
      <c r="AH72" s="77">
        <f t="shared" si="5"/>
        <v>0</v>
      </c>
      <c r="AI72" s="78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79" t="str">
        <f t="shared" si="4"/>
        <v>湘苡</v>
      </c>
      <c r="AK72" s="80"/>
    </row>
    <row r="73" spans="1:37" ht="18" customHeight="1">
      <c r="A73" s="101" t="s">
        <v>174</v>
      </c>
      <c r="B73" s="136" t="s">
        <v>120</v>
      </c>
      <c r="C73" s="124"/>
      <c r="D73" s="135"/>
      <c r="E73" s="135"/>
      <c r="F73" s="130"/>
      <c r="G73" s="135"/>
      <c r="H73" s="124"/>
      <c r="I73" s="135"/>
      <c r="J73" s="124"/>
      <c r="K73" s="135"/>
      <c r="L73" s="135"/>
      <c r="M73" s="135"/>
      <c r="N73" s="135"/>
      <c r="O73" s="124"/>
      <c r="P73" s="135"/>
      <c r="Q73" s="124"/>
      <c r="R73" s="135"/>
      <c r="S73" s="135"/>
      <c r="T73" s="135"/>
      <c r="U73" s="135"/>
      <c r="V73" s="124"/>
      <c r="W73" s="135"/>
      <c r="X73" s="124"/>
      <c r="Y73" s="135"/>
      <c r="Z73" s="135"/>
      <c r="AA73" s="135"/>
      <c r="AB73" s="135"/>
      <c r="AC73" s="124"/>
      <c r="AD73" s="135"/>
      <c r="AE73" s="124"/>
      <c r="AF73" s="135"/>
      <c r="AG73" s="130"/>
      <c r="AH73" s="86">
        <f t="shared" si="5"/>
        <v>0</v>
      </c>
      <c r="AI73" s="87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88" t="str">
        <f t="shared" si="4"/>
        <v>品君</v>
      </c>
      <c r="AK73" s="90"/>
    </row>
    <row r="74" spans="1:37" ht="18" customHeight="1">
      <c r="A74" s="101" t="s">
        <v>174</v>
      </c>
      <c r="B74" s="136" t="s">
        <v>122</v>
      </c>
      <c r="C74" s="124"/>
      <c r="D74" s="135"/>
      <c r="E74" s="135"/>
      <c r="F74" s="130"/>
      <c r="G74" s="135"/>
      <c r="H74" s="124"/>
      <c r="I74" s="135"/>
      <c r="J74" s="124"/>
      <c r="K74" s="135"/>
      <c r="L74" s="135"/>
      <c r="M74" s="135"/>
      <c r="N74" s="135"/>
      <c r="O74" s="124"/>
      <c r="P74" s="135"/>
      <c r="Q74" s="124"/>
      <c r="R74" s="135"/>
      <c r="S74" s="135"/>
      <c r="T74" s="135"/>
      <c r="U74" s="135"/>
      <c r="V74" s="124"/>
      <c r="W74" s="135"/>
      <c r="X74" s="124"/>
      <c r="Y74" s="135"/>
      <c r="Z74" s="135"/>
      <c r="AA74" s="135"/>
      <c r="AB74" s="135"/>
      <c r="AC74" s="124"/>
      <c r="AD74" s="135"/>
      <c r="AE74" s="124"/>
      <c r="AF74" s="135"/>
      <c r="AG74" s="130"/>
      <c r="AH74" s="86">
        <f t="shared" si="5"/>
        <v>0</v>
      </c>
      <c r="AI74" s="87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88" t="str">
        <f t="shared" si="4"/>
        <v>幸恩</v>
      </c>
      <c r="AK74" s="90"/>
    </row>
    <row r="75" spans="1:37" ht="18" customHeight="1">
      <c r="A75" s="101" t="s">
        <v>174</v>
      </c>
      <c r="B75" s="136" t="s">
        <v>123</v>
      </c>
      <c r="C75" s="124"/>
      <c r="D75" s="135"/>
      <c r="E75" s="135"/>
      <c r="F75" s="130"/>
      <c r="G75" s="135"/>
      <c r="H75" s="124"/>
      <c r="I75" s="135"/>
      <c r="J75" s="124"/>
      <c r="K75" s="135"/>
      <c r="L75" s="135"/>
      <c r="M75" s="135"/>
      <c r="N75" s="135"/>
      <c r="O75" s="124"/>
      <c r="P75" s="135"/>
      <c r="Q75" s="124"/>
      <c r="R75" s="135"/>
      <c r="S75" s="135"/>
      <c r="T75" s="135"/>
      <c r="U75" s="135"/>
      <c r="V75" s="124"/>
      <c r="W75" s="135"/>
      <c r="X75" s="124"/>
      <c r="Y75" s="135"/>
      <c r="Z75" s="135"/>
      <c r="AA75" s="135"/>
      <c r="AB75" s="135"/>
      <c r="AC75" s="124"/>
      <c r="AD75" s="135"/>
      <c r="AE75" s="124"/>
      <c r="AF75" s="135"/>
      <c r="AG75" s="130"/>
      <c r="AH75" s="86">
        <f t="shared" si="5"/>
        <v>0</v>
      </c>
      <c r="AI75" s="87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88" t="str">
        <f t="shared" si="4"/>
        <v>瑤瑤</v>
      </c>
      <c r="AK75" s="89"/>
    </row>
    <row r="76" spans="1:37" ht="18" customHeight="1">
      <c r="A76" s="95" t="s">
        <v>58</v>
      </c>
      <c r="B76" s="125" t="s">
        <v>63</v>
      </c>
      <c r="C76" s="124"/>
      <c r="D76" s="123"/>
      <c r="E76" s="123"/>
      <c r="F76" s="130"/>
      <c r="G76" s="123"/>
      <c r="H76" s="124"/>
      <c r="I76" s="123"/>
      <c r="J76" s="124"/>
      <c r="K76" s="123"/>
      <c r="L76" s="123"/>
      <c r="M76" s="123"/>
      <c r="N76" s="123"/>
      <c r="O76" s="124"/>
      <c r="P76" s="123"/>
      <c r="Q76" s="124"/>
      <c r="R76" s="123"/>
      <c r="S76" s="123"/>
      <c r="T76" s="123"/>
      <c r="U76" s="123"/>
      <c r="V76" s="124"/>
      <c r="W76" s="123"/>
      <c r="X76" s="124"/>
      <c r="Y76" s="123"/>
      <c r="Z76" s="123"/>
      <c r="AA76" s="123"/>
      <c r="AB76" s="123"/>
      <c r="AC76" s="124"/>
      <c r="AD76" s="123"/>
      <c r="AE76" s="124"/>
      <c r="AF76" s="123"/>
      <c r="AG76" s="130"/>
      <c r="AH76" s="66">
        <f t="shared" si="5"/>
        <v>0</v>
      </c>
      <c r="AI76" s="68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69" t="str">
        <f t="shared" si="4"/>
        <v>芒果</v>
      </c>
      <c r="AK76" s="73"/>
    </row>
    <row r="77" spans="1:37" ht="18" customHeight="1">
      <c r="A77" s="95" t="s">
        <v>58</v>
      </c>
      <c r="B77" s="125" t="s">
        <v>59</v>
      </c>
      <c r="C77" s="124"/>
      <c r="D77" s="123"/>
      <c r="E77" s="123"/>
      <c r="F77" s="130"/>
      <c r="G77" s="123"/>
      <c r="H77" s="124"/>
      <c r="I77" s="123"/>
      <c r="J77" s="124"/>
      <c r="K77" s="123"/>
      <c r="L77" s="123"/>
      <c r="M77" s="123"/>
      <c r="N77" s="123"/>
      <c r="O77" s="124"/>
      <c r="P77" s="123"/>
      <c r="Q77" s="124"/>
      <c r="R77" s="123"/>
      <c r="S77" s="123"/>
      <c r="T77" s="123"/>
      <c r="U77" s="123"/>
      <c r="V77" s="124"/>
      <c r="W77" s="123"/>
      <c r="X77" s="124"/>
      <c r="Y77" s="123"/>
      <c r="Z77" s="123"/>
      <c r="AA77" s="123"/>
      <c r="AB77" s="123"/>
      <c r="AC77" s="124"/>
      <c r="AD77" s="123"/>
      <c r="AE77" s="124"/>
      <c r="AF77" s="123"/>
      <c r="AG77" s="130"/>
      <c r="AH77" s="66">
        <f t="shared" si="5"/>
        <v>0</v>
      </c>
      <c r="AI77" s="68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69" t="str">
        <f t="shared" si="4"/>
        <v>阿幹</v>
      </c>
      <c r="AK77" s="73"/>
    </row>
    <row r="78" spans="1:37" ht="18" customHeight="1">
      <c r="A78" s="95" t="s">
        <v>58</v>
      </c>
      <c r="B78" s="125" t="s">
        <v>28</v>
      </c>
      <c r="C78" s="124"/>
      <c r="D78" s="123"/>
      <c r="E78" s="123"/>
      <c r="F78" s="130"/>
      <c r="G78" s="123"/>
      <c r="H78" s="124"/>
      <c r="I78" s="123"/>
      <c r="J78" s="124"/>
      <c r="K78" s="123"/>
      <c r="L78" s="123"/>
      <c r="M78" s="123"/>
      <c r="N78" s="123"/>
      <c r="O78" s="124"/>
      <c r="P78" s="123"/>
      <c r="Q78" s="124"/>
      <c r="R78" s="123"/>
      <c r="S78" s="123"/>
      <c r="T78" s="123"/>
      <c r="U78" s="123"/>
      <c r="V78" s="124"/>
      <c r="W78" s="123"/>
      <c r="X78" s="124"/>
      <c r="Y78" s="123"/>
      <c r="Z78" s="123"/>
      <c r="AA78" s="123"/>
      <c r="AB78" s="123"/>
      <c r="AC78" s="124"/>
      <c r="AD78" s="123"/>
      <c r="AE78" s="124"/>
      <c r="AF78" s="123"/>
      <c r="AG78" s="130"/>
      <c r="AH78" s="66">
        <f t="shared" si="5"/>
        <v>0</v>
      </c>
      <c r="AI78" s="68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69" t="str">
        <f t="shared" ref="AJ78:AJ109" si="6">B78</f>
        <v>克勤</v>
      </c>
      <c r="AK78" s="73"/>
    </row>
    <row r="79" spans="1:37" ht="18" customHeight="1">
      <c r="A79" s="95" t="s">
        <v>58</v>
      </c>
      <c r="B79" s="125" t="s">
        <v>66</v>
      </c>
      <c r="C79" s="124"/>
      <c r="D79" s="123"/>
      <c r="E79" s="123"/>
      <c r="F79" s="130"/>
      <c r="G79" s="123"/>
      <c r="H79" s="124"/>
      <c r="I79" s="123"/>
      <c r="J79" s="124"/>
      <c r="K79" s="123"/>
      <c r="L79" s="123"/>
      <c r="M79" s="123"/>
      <c r="N79" s="123"/>
      <c r="O79" s="124"/>
      <c r="P79" s="123"/>
      <c r="Q79" s="124"/>
      <c r="R79" s="123"/>
      <c r="S79" s="123"/>
      <c r="T79" s="123"/>
      <c r="U79" s="123"/>
      <c r="V79" s="124"/>
      <c r="W79" s="123"/>
      <c r="X79" s="124"/>
      <c r="Y79" s="123"/>
      <c r="Z79" s="123"/>
      <c r="AA79" s="123"/>
      <c r="AB79" s="123"/>
      <c r="AC79" s="124"/>
      <c r="AD79" s="123"/>
      <c r="AE79" s="124"/>
      <c r="AF79" s="123"/>
      <c r="AG79" s="130"/>
      <c r="AH79" s="66">
        <f t="shared" si="5"/>
        <v>0</v>
      </c>
      <c r="AI79" s="68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69" t="str">
        <f t="shared" si="6"/>
        <v>昆佑</v>
      </c>
      <c r="AK79" s="73"/>
    </row>
    <row r="80" spans="1:37" ht="18" customHeight="1">
      <c r="A80" s="95" t="s">
        <v>58</v>
      </c>
      <c r="B80" s="125" t="s">
        <v>68</v>
      </c>
      <c r="C80" s="124"/>
      <c r="D80" s="123"/>
      <c r="E80" s="123"/>
      <c r="F80" s="130"/>
      <c r="G80" s="123"/>
      <c r="H80" s="124"/>
      <c r="I80" s="123"/>
      <c r="J80" s="124"/>
      <c r="K80" s="123"/>
      <c r="L80" s="123"/>
      <c r="M80" s="123"/>
      <c r="N80" s="123"/>
      <c r="O80" s="124"/>
      <c r="P80" s="123"/>
      <c r="Q80" s="124"/>
      <c r="R80" s="123"/>
      <c r="S80" s="123"/>
      <c r="T80" s="123"/>
      <c r="U80" s="123"/>
      <c r="V80" s="124"/>
      <c r="W80" s="123"/>
      <c r="X80" s="124"/>
      <c r="Y80" s="123"/>
      <c r="Z80" s="123"/>
      <c r="AA80" s="123"/>
      <c r="AB80" s="123"/>
      <c r="AC80" s="124"/>
      <c r="AD80" s="123"/>
      <c r="AE80" s="124"/>
      <c r="AF80" s="123"/>
      <c r="AG80" s="130"/>
      <c r="AH80" s="66">
        <f t="shared" si="5"/>
        <v>0</v>
      </c>
      <c r="AI80" s="68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69" t="str">
        <f t="shared" si="6"/>
        <v>兔子</v>
      </c>
      <c r="AK80" s="73"/>
    </row>
    <row r="81" spans="1:37" ht="18" customHeight="1">
      <c r="A81" s="95" t="s">
        <v>58</v>
      </c>
      <c r="B81" s="125" t="s">
        <v>69</v>
      </c>
      <c r="C81" s="124"/>
      <c r="D81" s="123"/>
      <c r="E81" s="123"/>
      <c r="F81" s="130"/>
      <c r="G81" s="123"/>
      <c r="H81" s="124"/>
      <c r="I81" s="123"/>
      <c r="J81" s="124"/>
      <c r="K81" s="123"/>
      <c r="L81" s="123"/>
      <c r="M81" s="123"/>
      <c r="N81" s="123"/>
      <c r="O81" s="124"/>
      <c r="P81" s="123"/>
      <c r="Q81" s="124"/>
      <c r="R81" s="123"/>
      <c r="S81" s="123"/>
      <c r="T81" s="123"/>
      <c r="U81" s="123"/>
      <c r="V81" s="124"/>
      <c r="W81" s="123"/>
      <c r="X81" s="124"/>
      <c r="Y81" s="123"/>
      <c r="Z81" s="123"/>
      <c r="AA81" s="123"/>
      <c r="AB81" s="123"/>
      <c r="AC81" s="124"/>
      <c r="AD81" s="123"/>
      <c r="AE81" s="124"/>
      <c r="AF81" s="123"/>
      <c r="AG81" s="130"/>
      <c r="AH81" s="66">
        <f t="shared" si="5"/>
        <v>0</v>
      </c>
      <c r="AI81" s="68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69" t="str">
        <f t="shared" si="6"/>
        <v>小馬</v>
      </c>
      <c r="AK81" s="73"/>
    </row>
    <row r="82" spans="1:37" ht="18" customHeight="1">
      <c r="A82" s="95" t="s">
        <v>58</v>
      </c>
      <c r="B82" s="125" t="s">
        <v>70</v>
      </c>
      <c r="C82" s="124"/>
      <c r="D82" s="123"/>
      <c r="E82" s="123"/>
      <c r="F82" s="130"/>
      <c r="G82" s="123"/>
      <c r="H82" s="124"/>
      <c r="I82" s="123"/>
      <c r="J82" s="124"/>
      <c r="K82" s="123"/>
      <c r="L82" s="123"/>
      <c r="M82" s="123"/>
      <c r="N82" s="123"/>
      <c r="O82" s="124"/>
      <c r="P82" s="123"/>
      <c r="Q82" s="124"/>
      <c r="R82" s="123"/>
      <c r="S82" s="123"/>
      <c r="T82" s="123"/>
      <c r="U82" s="123"/>
      <c r="V82" s="124"/>
      <c r="W82" s="123"/>
      <c r="X82" s="124"/>
      <c r="Y82" s="123"/>
      <c r="Z82" s="123"/>
      <c r="AA82" s="123"/>
      <c r="AB82" s="123"/>
      <c r="AC82" s="124"/>
      <c r="AD82" s="123"/>
      <c r="AE82" s="124"/>
      <c r="AF82" s="123"/>
      <c r="AG82" s="130"/>
      <c r="AH82" s="66">
        <f t="shared" si="5"/>
        <v>0</v>
      </c>
      <c r="AI82" s="68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69" t="str">
        <f t="shared" si="6"/>
        <v>Allen</v>
      </c>
      <c r="AK82" s="73"/>
    </row>
    <row r="83" spans="1:37" ht="18" customHeight="1">
      <c r="A83" s="95" t="s">
        <v>58</v>
      </c>
      <c r="B83" s="125" t="s">
        <v>71</v>
      </c>
      <c r="C83" s="124"/>
      <c r="D83" s="123"/>
      <c r="E83" s="123"/>
      <c r="F83" s="130"/>
      <c r="G83" s="123"/>
      <c r="H83" s="124"/>
      <c r="I83" s="123"/>
      <c r="J83" s="124"/>
      <c r="K83" s="123"/>
      <c r="L83" s="123"/>
      <c r="M83" s="123"/>
      <c r="N83" s="123"/>
      <c r="O83" s="124"/>
      <c r="P83" s="123"/>
      <c r="Q83" s="124"/>
      <c r="R83" s="123"/>
      <c r="S83" s="123"/>
      <c r="T83" s="123"/>
      <c r="U83" s="123"/>
      <c r="V83" s="124"/>
      <c r="W83" s="123"/>
      <c r="X83" s="124"/>
      <c r="Y83" s="123"/>
      <c r="Z83" s="123"/>
      <c r="AA83" s="123"/>
      <c r="AB83" s="123"/>
      <c r="AC83" s="124"/>
      <c r="AD83" s="123"/>
      <c r="AE83" s="124"/>
      <c r="AF83" s="123"/>
      <c r="AG83" s="130"/>
      <c r="AH83" s="66">
        <f t="shared" si="5"/>
        <v>0</v>
      </c>
      <c r="AI83" s="68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69" t="str">
        <f t="shared" si="6"/>
        <v>嘴嘴</v>
      </c>
      <c r="AK83" s="73"/>
    </row>
    <row r="84" spans="1:37" ht="18" customHeight="1">
      <c r="A84" s="95" t="s">
        <v>58</v>
      </c>
      <c r="B84" s="125" t="s">
        <v>73</v>
      </c>
      <c r="C84" s="124"/>
      <c r="D84" s="123"/>
      <c r="E84" s="123"/>
      <c r="F84" s="130"/>
      <c r="G84" s="123"/>
      <c r="H84" s="124"/>
      <c r="I84" s="123"/>
      <c r="J84" s="124"/>
      <c r="K84" s="123"/>
      <c r="L84" s="123"/>
      <c r="M84" s="123"/>
      <c r="N84" s="123"/>
      <c r="O84" s="124"/>
      <c r="P84" s="123"/>
      <c r="Q84" s="124"/>
      <c r="R84" s="123"/>
      <c r="S84" s="123"/>
      <c r="T84" s="123"/>
      <c r="U84" s="123"/>
      <c r="V84" s="124"/>
      <c r="W84" s="123"/>
      <c r="X84" s="124"/>
      <c r="Y84" s="123"/>
      <c r="Z84" s="123"/>
      <c r="AA84" s="123"/>
      <c r="AB84" s="123"/>
      <c r="AC84" s="124"/>
      <c r="AD84" s="123"/>
      <c r="AE84" s="124"/>
      <c r="AF84" s="123"/>
      <c r="AG84" s="130"/>
      <c r="AH84" s="66">
        <f t="shared" si="5"/>
        <v>0</v>
      </c>
      <c r="AI84" s="68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69" t="str">
        <f t="shared" si="6"/>
        <v>冠軍</v>
      </c>
      <c r="AK84" s="73"/>
    </row>
    <row r="85" spans="1:37" ht="18" customHeight="1">
      <c r="A85" s="95" t="s">
        <v>58</v>
      </c>
      <c r="B85" s="125" t="s">
        <v>67</v>
      </c>
      <c r="C85" s="124"/>
      <c r="D85" s="123"/>
      <c r="E85" s="123"/>
      <c r="F85" s="130"/>
      <c r="G85" s="123"/>
      <c r="H85" s="124"/>
      <c r="I85" s="123"/>
      <c r="J85" s="124"/>
      <c r="K85" s="123"/>
      <c r="L85" s="123"/>
      <c r="M85" s="123"/>
      <c r="N85" s="123"/>
      <c r="O85" s="124"/>
      <c r="P85" s="123"/>
      <c r="Q85" s="124"/>
      <c r="R85" s="123"/>
      <c r="S85" s="123"/>
      <c r="T85" s="123"/>
      <c r="U85" s="123"/>
      <c r="V85" s="124"/>
      <c r="W85" s="123"/>
      <c r="X85" s="124"/>
      <c r="Y85" s="123"/>
      <c r="Z85" s="123"/>
      <c r="AA85" s="123"/>
      <c r="AB85" s="123"/>
      <c r="AC85" s="124"/>
      <c r="AD85" s="123"/>
      <c r="AE85" s="124"/>
      <c r="AF85" s="123"/>
      <c r="AG85" s="130"/>
      <c r="AH85" s="66">
        <f t="shared" si="5"/>
        <v>0</v>
      </c>
      <c r="AI85" s="68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69" t="str">
        <f t="shared" si="6"/>
        <v>歐吉</v>
      </c>
      <c r="AK85" s="73"/>
    </row>
    <row r="86" spans="1:37" ht="18" customHeight="1">
      <c r="A86" s="95" t="s">
        <v>58</v>
      </c>
      <c r="B86" s="125" t="s">
        <v>75</v>
      </c>
      <c r="C86" s="124"/>
      <c r="D86" s="123"/>
      <c r="E86" s="123"/>
      <c r="F86" s="130"/>
      <c r="G86" s="123"/>
      <c r="H86" s="124"/>
      <c r="I86" s="123"/>
      <c r="J86" s="124"/>
      <c r="K86" s="123"/>
      <c r="L86" s="123"/>
      <c r="M86" s="123"/>
      <c r="N86" s="123"/>
      <c r="O86" s="124"/>
      <c r="P86" s="123"/>
      <c r="Q86" s="124"/>
      <c r="R86" s="123"/>
      <c r="S86" s="123"/>
      <c r="T86" s="123"/>
      <c r="U86" s="123"/>
      <c r="V86" s="124"/>
      <c r="W86" s="123"/>
      <c r="X86" s="124"/>
      <c r="Y86" s="123"/>
      <c r="Z86" s="123"/>
      <c r="AA86" s="123"/>
      <c r="AB86" s="123"/>
      <c r="AC86" s="124"/>
      <c r="AD86" s="123"/>
      <c r="AE86" s="124"/>
      <c r="AF86" s="123"/>
      <c r="AG86" s="130"/>
      <c r="AH86" s="66">
        <f t="shared" si="5"/>
        <v>0</v>
      </c>
      <c r="AI86" s="68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69" t="str">
        <f t="shared" si="6"/>
        <v>叮噹</v>
      </c>
      <c r="AK86" s="73"/>
    </row>
    <row r="87" spans="1:37" ht="18" customHeight="1">
      <c r="A87" s="95" t="s">
        <v>58</v>
      </c>
      <c r="B87" s="125" t="s">
        <v>76</v>
      </c>
      <c r="C87" s="124"/>
      <c r="D87" s="123"/>
      <c r="E87" s="123"/>
      <c r="F87" s="130"/>
      <c r="G87" s="123"/>
      <c r="H87" s="124"/>
      <c r="I87" s="123"/>
      <c r="J87" s="124"/>
      <c r="K87" s="123"/>
      <c r="L87" s="123"/>
      <c r="M87" s="123"/>
      <c r="N87" s="123"/>
      <c r="O87" s="124"/>
      <c r="P87" s="123"/>
      <c r="Q87" s="124"/>
      <c r="R87" s="123"/>
      <c r="S87" s="123"/>
      <c r="T87" s="123"/>
      <c r="U87" s="123"/>
      <c r="V87" s="124"/>
      <c r="W87" s="123"/>
      <c r="X87" s="124"/>
      <c r="Y87" s="123"/>
      <c r="Z87" s="123"/>
      <c r="AA87" s="123"/>
      <c r="AB87" s="123"/>
      <c r="AC87" s="124"/>
      <c r="AD87" s="123"/>
      <c r="AE87" s="124"/>
      <c r="AF87" s="123"/>
      <c r="AG87" s="130"/>
      <c r="AH87" s="66">
        <f t="shared" si="5"/>
        <v>0</v>
      </c>
      <c r="AI87" s="68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69" t="str">
        <f t="shared" si="6"/>
        <v>肥肥</v>
      </c>
      <c r="AK87" s="73"/>
    </row>
    <row r="88" spans="1:37" ht="18" customHeight="1">
      <c r="A88" s="95" t="s">
        <v>58</v>
      </c>
      <c r="B88" s="125" t="s">
        <v>77</v>
      </c>
      <c r="C88" s="124"/>
      <c r="D88" s="123"/>
      <c r="E88" s="123"/>
      <c r="F88" s="130"/>
      <c r="G88" s="123"/>
      <c r="H88" s="124"/>
      <c r="I88" s="123"/>
      <c r="J88" s="124"/>
      <c r="K88" s="123"/>
      <c r="L88" s="123"/>
      <c r="M88" s="123"/>
      <c r="N88" s="123"/>
      <c r="O88" s="124"/>
      <c r="P88" s="123"/>
      <c r="Q88" s="124"/>
      <c r="R88" s="123"/>
      <c r="S88" s="123"/>
      <c r="T88" s="123"/>
      <c r="U88" s="123"/>
      <c r="V88" s="124"/>
      <c r="W88" s="123"/>
      <c r="X88" s="124"/>
      <c r="Y88" s="123"/>
      <c r="Z88" s="123"/>
      <c r="AA88" s="123"/>
      <c r="AB88" s="123"/>
      <c r="AC88" s="124"/>
      <c r="AD88" s="123"/>
      <c r="AE88" s="124"/>
      <c r="AF88" s="123"/>
      <c r="AG88" s="130"/>
      <c r="AH88" s="66">
        <f t="shared" si="5"/>
        <v>0</v>
      </c>
      <c r="AI88" s="68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69" t="str">
        <f t="shared" si="6"/>
        <v>小夫</v>
      </c>
      <c r="AK88" s="73"/>
    </row>
    <row r="89" spans="1:37" ht="18" customHeight="1">
      <c r="A89" s="95" t="s">
        <v>58</v>
      </c>
      <c r="B89" s="125" t="s">
        <v>78</v>
      </c>
      <c r="C89" s="124"/>
      <c r="D89" s="123"/>
      <c r="E89" s="123"/>
      <c r="F89" s="130"/>
      <c r="G89" s="123"/>
      <c r="H89" s="124"/>
      <c r="I89" s="123"/>
      <c r="J89" s="124"/>
      <c r="K89" s="123"/>
      <c r="L89" s="123"/>
      <c r="M89" s="123"/>
      <c r="N89" s="123"/>
      <c r="O89" s="124"/>
      <c r="P89" s="123"/>
      <c r="Q89" s="124"/>
      <c r="R89" s="123"/>
      <c r="S89" s="123"/>
      <c r="T89" s="123"/>
      <c r="U89" s="123"/>
      <c r="V89" s="124"/>
      <c r="W89" s="123"/>
      <c r="X89" s="124"/>
      <c r="Y89" s="123"/>
      <c r="Z89" s="123"/>
      <c r="AA89" s="123"/>
      <c r="AB89" s="123"/>
      <c r="AC89" s="124"/>
      <c r="AD89" s="123"/>
      <c r="AE89" s="124"/>
      <c r="AF89" s="123"/>
      <c r="AG89" s="130"/>
      <c r="AH89" s="66">
        <f t="shared" si="5"/>
        <v>0</v>
      </c>
      <c r="AI89" s="68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69" t="str">
        <f t="shared" si="6"/>
        <v>小邱</v>
      </c>
      <c r="AK89" s="73"/>
    </row>
    <row r="90" spans="1:37" ht="18" customHeight="1">
      <c r="A90" s="95" t="s">
        <v>58</v>
      </c>
      <c r="B90" s="125" t="s">
        <v>79</v>
      </c>
      <c r="C90" s="124"/>
      <c r="D90" s="123"/>
      <c r="E90" s="123"/>
      <c r="F90" s="130"/>
      <c r="G90" s="123"/>
      <c r="H90" s="124"/>
      <c r="I90" s="123"/>
      <c r="J90" s="124"/>
      <c r="K90" s="123"/>
      <c r="L90" s="123"/>
      <c r="M90" s="123"/>
      <c r="N90" s="123"/>
      <c r="O90" s="124"/>
      <c r="P90" s="123"/>
      <c r="Q90" s="124"/>
      <c r="R90" s="123"/>
      <c r="S90" s="123"/>
      <c r="T90" s="123"/>
      <c r="U90" s="123"/>
      <c r="V90" s="124"/>
      <c r="W90" s="123"/>
      <c r="X90" s="124"/>
      <c r="Y90" s="123"/>
      <c r="Z90" s="123"/>
      <c r="AA90" s="123"/>
      <c r="AB90" s="123"/>
      <c r="AC90" s="124"/>
      <c r="AD90" s="123"/>
      <c r="AE90" s="124"/>
      <c r="AF90" s="123"/>
      <c r="AG90" s="130"/>
      <c r="AH90" s="66">
        <f t="shared" si="5"/>
        <v>0</v>
      </c>
      <c r="AI90" s="68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69" t="str">
        <f t="shared" si="6"/>
        <v>淳淳</v>
      </c>
      <c r="AK90" s="73"/>
    </row>
    <row r="91" spans="1:37" ht="18" customHeight="1">
      <c r="A91" s="95" t="s">
        <v>58</v>
      </c>
      <c r="B91" s="125" t="s">
        <v>80</v>
      </c>
      <c r="C91" s="124"/>
      <c r="D91" s="123"/>
      <c r="E91" s="123"/>
      <c r="F91" s="130"/>
      <c r="G91" s="123"/>
      <c r="H91" s="124"/>
      <c r="I91" s="123"/>
      <c r="J91" s="124"/>
      <c r="K91" s="123"/>
      <c r="L91" s="123"/>
      <c r="M91" s="123"/>
      <c r="N91" s="123"/>
      <c r="O91" s="124"/>
      <c r="P91" s="123"/>
      <c r="Q91" s="124"/>
      <c r="R91" s="123"/>
      <c r="S91" s="123"/>
      <c r="T91" s="123"/>
      <c r="U91" s="123"/>
      <c r="V91" s="124"/>
      <c r="W91" s="123"/>
      <c r="X91" s="124"/>
      <c r="Y91" s="123"/>
      <c r="Z91" s="123"/>
      <c r="AA91" s="123"/>
      <c r="AB91" s="123"/>
      <c r="AC91" s="124"/>
      <c r="AD91" s="123"/>
      <c r="AE91" s="124"/>
      <c r="AF91" s="123"/>
      <c r="AG91" s="130"/>
      <c r="AH91" s="66">
        <f t="shared" si="5"/>
        <v>0</v>
      </c>
      <c r="AI91" s="142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69" t="str">
        <f t="shared" si="6"/>
        <v>禿鷹</v>
      </c>
      <c r="AK91" s="73"/>
    </row>
    <row r="92" spans="1:37" ht="18" customHeight="1">
      <c r="A92" s="95" t="s">
        <v>58</v>
      </c>
      <c r="B92" s="125" t="s">
        <v>81</v>
      </c>
      <c r="C92" s="124"/>
      <c r="D92" s="123"/>
      <c r="E92" s="123"/>
      <c r="F92" s="130"/>
      <c r="G92" s="123"/>
      <c r="H92" s="124"/>
      <c r="I92" s="123"/>
      <c r="J92" s="124"/>
      <c r="K92" s="123"/>
      <c r="L92" s="123"/>
      <c r="M92" s="123"/>
      <c r="N92" s="123"/>
      <c r="O92" s="124"/>
      <c r="P92" s="123"/>
      <c r="Q92" s="124"/>
      <c r="R92" s="123"/>
      <c r="S92" s="123"/>
      <c r="T92" s="123"/>
      <c r="U92" s="123"/>
      <c r="V92" s="124"/>
      <c r="W92" s="123"/>
      <c r="X92" s="124"/>
      <c r="Y92" s="123"/>
      <c r="Z92" s="123"/>
      <c r="AA92" s="123"/>
      <c r="AB92" s="123"/>
      <c r="AC92" s="124"/>
      <c r="AD92" s="123"/>
      <c r="AE92" s="124"/>
      <c r="AF92" s="123"/>
      <c r="AG92" s="130"/>
      <c r="AH92" s="66">
        <f t="shared" si="5"/>
        <v>0</v>
      </c>
      <c r="AI92" s="142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69" t="str">
        <f t="shared" si="6"/>
        <v>王宏</v>
      </c>
      <c r="AK92" s="73"/>
    </row>
    <row r="93" spans="1:37" ht="18" customHeight="1">
      <c r="A93" s="95" t="s">
        <v>58</v>
      </c>
      <c r="B93" s="125" t="s">
        <v>82</v>
      </c>
      <c r="C93" s="124"/>
      <c r="D93" s="123"/>
      <c r="E93" s="123"/>
      <c r="F93" s="130"/>
      <c r="G93" s="123"/>
      <c r="H93" s="124"/>
      <c r="I93" s="123"/>
      <c r="J93" s="124"/>
      <c r="K93" s="123"/>
      <c r="L93" s="123"/>
      <c r="M93" s="123"/>
      <c r="N93" s="123"/>
      <c r="O93" s="124"/>
      <c r="P93" s="123"/>
      <c r="Q93" s="124"/>
      <c r="R93" s="123"/>
      <c r="S93" s="123"/>
      <c r="T93" s="123"/>
      <c r="U93" s="123"/>
      <c r="V93" s="124"/>
      <c r="W93" s="123"/>
      <c r="X93" s="124"/>
      <c r="Y93" s="123"/>
      <c r="Z93" s="123"/>
      <c r="AA93" s="123"/>
      <c r="AB93" s="123"/>
      <c r="AC93" s="124"/>
      <c r="AD93" s="123"/>
      <c r="AE93" s="124"/>
      <c r="AF93" s="123"/>
      <c r="AG93" s="130"/>
      <c r="AH93" s="66">
        <f t="shared" si="5"/>
        <v>0</v>
      </c>
      <c r="AI93" s="142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69" t="str">
        <f t="shared" si="6"/>
        <v>犀牛</v>
      </c>
      <c r="AK93" s="73"/>
    </row>
    <row r="94" spans="1:37" ht="18" customHeight="1">
      <c r="A94" s="95" t="s">
        <v>58</v>
      </c>
      <c r="B94" s="125" t="s">
        <v>83</v>
      </c>
      <c r="C94" s="124"/>
      <c r="D94" s="123"/>
      <c r="E94" s="123"/>
      <c r="F94" s="130"/>
      <c r="G94" s="123"/>
      <c r="H94" s="124"/>
      <c r="I94" s="123"/>
      <c r="J94" s="124"/>
      <c r="K94" s="123"/>
      <c r="L94" s="123"/>
      <c r="M94" s="123"/>
      <c r="N94" s="123"/>
      <c r="O94" s="124"/>
      <c r="P94" s="123"/>
      <c r="Q94" s="124"/>
      <c r="R94" s="123"/>
      <c r="S94" s="123"/>
      <c r="T94" s="123"/>
      <c r="U94" s="123"/>
      <c r="V94" s="124"/>
      <c r="W94" s="123"/>
      <c r="X94" s="124"/>
      <c r="Y94" s="123"/>
      <c r="Z94" s="123"/>
      <c r="AA94" s="123"/>
      <c r="AB94" s="123"/>
      <c r="AC94" s="124"/>
      <c r="AD94" s="123"/>
      <c r="AE94" s="124"/>
      <c r="AF94" s="123"/>
      <c r="AG94" s="130"/>
      <c r="AH94" s="66">
        <f t="shared" si="5"/>
        <v>0</v>
      </c>
      <c r="AI94" s="142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69" t="str">
        <f t="shared" si="6"/>
        <v>來福</v>
      </c>
      <c r="AK94" s="73"/>
    </row>
    <row r="95" spans="1:37" ht="18" customHeight="1">
      <c r="A95" s="95" t="s">
        <v>58</v>
      </c>
      <c r="B95" s="125" t="s">
        <v>84</v>
      </c>
      <c r="C95" s="124"/>
      <c r="D95" s="123"/>
      <c r="E95" s="123"/>
      <c r="F95" s="130"/>
      <c r="G95" s="123"/>
      <c r="H95" s="124"/>
      <c r="I95" s="123"/>
      <c r="J95" s="124"/>
      <c r="K95" s="123"/>
      <c r="L95" s="123"/>
      <c r="M95" s="123"/>
      <c r="N95" s="123"/>
      <c r="O95" s="124"/>
      <c r="P95" s="123"/>
      <c r="Q95" s="124"/>
      <c r="R95" s="123"/>
      <c r="S95" s="123"/>
      <c r="T95" s="123"/>
      <c r="U95" s="123"/>
      <c r="V95" s="124"/>
      <c r="W95" s="123"/>
      <c r="X95" s="124"/>
      <c r="Y95" s="123"/>
      <c r="Z95" s="123"/>
      <c r="AA95" s="123"/>
      <c r="AB95" s="123"/>
      <c r="AC95" s="124"/>
      <c r="AD95" s="123"/>
      <c r="AE95" s="124"/>
      <c r="AF95" s="123"/>
      <c r="AG95" s="130"/>
      <c r="AH95" s="66">
        <f t="shared" si="5"/>
        <v>0</v>
      </c>
      <c r="AI95" s="142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69" t="str">
        <f t="shared" si="6"/>
        <v>誌誌</v>
      </c>
      <c r="AK95" s="73"/>
    </row>
    <row r="96" spans="1:37" ht="18" customHeight="1">
      <c r="A96" s="95" t="s">
        <v>58</v>
      </c>
      <c r="B96" s="125" t="s">
        <v>86</v>
      </c>
      <c r="C96" s="124"/>
      <c r="D96" s="123"/>
      <c r="E96" s="123"/>
      <c r="F96" s="130"/>
      <c r="G96" s="123"/>
      <c r="H96" s="124"/>
      <c r="I96" s="123"/>
      <c r="J96" s="124"/>
      <c r="K96" s="123"/>
      <c r="L96" s="123"/>
      <c r="M96" s="123"/>
      <c r="N96" s="123"/>
      <c r="O96" s="124"/>
      <c r="P96" s="123"/>
      <c r="Q96" s="124"/>
      <c r="R96" s="123"/>
      <c r="S96" s="123"/>
      <c r="T96" s="123"/>
      <c r="U96" s="123"/>
      <c r="V96" s="124"/>
      <c r="W96" s="123"/>
      <c r="X96" s="124"/>
      <c r="Y96" s="123"/>
      <c r="Z96" s="123"/>
      <c r="AA96" s="123"/>
      <c r="AB96" s="123"/>
      <c r="AC96" s="124"/>
      <c r="AD96" s="123"/>
      <c r="AE96" s="124"/>
      <c r="AF96" s="123"/>
      <c r="AG96" s="130"/>
      <c r="AH96" s="66">
        <f t="shared" si="5"/>
        <v>0</v>
      </c>
      <c r="AI96" s="142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69" t="str">
        <f t="shared" si="6"/>
        <v>正誼</v>
      </c>
      <c r="AK96" s="73"/>
    </row>
    <row r="97" spans="1:37" ht="18" customHeight="1">
      <c r="A97" s="95" t="s">
        <v>58</v>
      </c>
      <c r="B97" s="125" t="s">
        <v>32</v>
      </c>
      <c r="C97" s="124"/>
      <c r="D97" s="123"/>
      <c r="E97" s="123"/>
      <c r="F97" s="130"/>
      <c r="G97" s="123"/>
      <c r="H97" s="124"/>
      <c r="I97" s="123"/>
      <c r="J97" s="124"/>
      <c r="K97" s="123"/>
      <c r="L97" s="123"/>
      <c r="M97" s="123"/>
      <c r="N97" s="123"/>
      <c r="O97" s="124"/>
      <c r="P97" s="123"/>
      <c r="Q97" s="124"/>
      <c r="R97" s="123"/>
      <c r="S97" s="123"/>
      <c r="T97" s="123"/>
      <c r="U97" s="123"/>
      <c r="V97" s="124"/>
      <c r="W97" s="123"/>
      <c r="X97" s="124"/>
      <c r="Y97" s="123"/>
      <c r="Z97" s="123"/>
      <c r="AA97" s="123"/>
      <c r="AB97" s="123"/>
      <c r="AC97" s="124"/>
      <c r="AD97" s="123"/>
      <c r="AE97" s="124"/>
      <c r="AF97" s="123"/>
      <c r="AG97" s="130"/>
      <c r="AH97" s="66">
        <f t="shared" si="5"/>
        <v>0</v>
      </c>
      <c r="AI97" s="142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69" t="str">
        <f t="shared" si="6"/>
        <v>小翔</v>
      </c>
      <c r="AK97" s="73"/>
    </row>
    <row r="98" spans="1:37" ht="18" customHeight="1">
      <c r="A98" s="95" t="s">
        <v>58</v>
      </c>
      <c r="B98" s="125" t="s">
        <v>179</v>
      </c>
      <c r="C98" s="124"/>
      <c r="D98" s="123"/>
      <c r="E98" s="123"/>
      <c r="F98" s="130"/>
      <c r="G98" s="123"/>
      <c r="H98" s="124"/>
      <c r="I98" s="123"/>
      <c r="J98" s="124"/>
      <c r="K98" s="123"/>
      <c r="L98" s="123"/>
      <c r="M98" s="123"/>
      <c r="N98" s="123"/>
      <c r="O98" s="124"/>
      <c r="P98" s="123"/>
      <c r="Q98" s="124"/>
      <c r="R98" s="123"/>
      <c r="S98" s="123"/>
      <c r="T98" s="123"/>
      <c r="U98" s="123"/>
      <c r="V98" s="124"/>
      <c r="W98" s="123"/>
      <c r="X98" s="124"/>
      <c r="Y98" s="123"/>
      <c r="Z98" s="123"/>
      <c r="AA98" s="123"/>
      <c r="AB98" s="123"/>
      <c r="AC98" s="124"/>
      <c r="AD98" s="123"/>
      <c r="AE98" s="124"/>
      <c r="AF98" s="123"/>
      <c r="AG98" s="130"/>
      <c r="AH98" s="66">
        <f t="shared" si="5"/>
        <v>0</v>
      </c>
      <c r="AI98" s="142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69" t="str">
        <f t="shared" si="6"/>
        <v>玹玹</v>
      </c>
      <c r="AK98" s="73"/>
    </row>
    <row r="99" spans="1:37" ht="18" customHeight="1">
      <c r="A99" s="95" t="s">
        <v>58</v>
      </c>
      <c r="B99" s="125" t="s">
        <v>85</v>
      </c>
      <c r="C99" s="124"/>
      <c r="D99" s="123"/>
      <c r="E99" s="123"/>
      <c r="F99" s="130"/>
      <c r="G99" s="123"/>
      <c r="H99" s="124"/>
      <c r="I99" s="123"/>
      <c r="J99" s="124"/>
      <c r="K99" s="123"/>
      <c r="L99" s="123"/>
      <c r="M99" s="123"/>
      <c r="N99" s="123"/>
      <c r="O99" s="124"/>
      <c r="P99" s="123"/>
      <c r="Q99" s="124"/>
      <c r="R99" s="123"/>
      <c r="S99" s="123"/>
      <c r="T99" s="123"/>
      <c r="U99" s="123"/>
      <c r="V99" s="124"/>
      <c r="W99" s="123"/>
      <c r="X99" s="124"/>
      <c r="Y99" s="123"/>
      <c r="Z99" s="123"/>
      <c r="AA99" s="123"/>
      <c r="AB99" s="123"/>
      <c r="AC99" s="124"/>
      <c r="AD99" s="123"/>
      <c r="AE99" s="124"/>
      <c r="AF99" s="123"/>
      <c r="AG99" s="130"/>
      <c r="AH99" s="66">
        <f t="shared" si="5"/>
        <v>0</v>
      </c>
      <c r="AI99" s="142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69" t="str">
        <f t="shared" si="6"/>
        <v>阿璽</v>
      </c>
      <c r="AK99" s="73"/>
    </row>
    <row r="100" spans="1:37" ht="18" customHeight="1">
      <c r="A100" s="95" t="s">
        <v>58</v>
      </c>
      <c r="B100" s="125" t="s">
        <v>33</v>
      </c>
      <c r="C100" s="124"/>
      <c r="D100" s="123"/>
      <c r="E100" s="123"/>
      <c r="F100" s="130"/>
      <c r="G100" s="123"/>
      <c r="H100" s="124"/>
      <c r="I100" s="123"/>
      <c r="J100" s="124"/>
      <c r="K100" s="123"/>
      <c r="L100" s="123"/>
      <c r="M100" s="123"/>
      <c r="N100" s="123"/>
      <c r="O100" s="124"/>
      <c r="P100" s="123"/>
      <c r="Q100" s="124"/>
      <c r="R100" s="123"/>
      <c r="S100" s="123"/>
      <c r="T100" s="123"/>
      <c r="U100" s="123"/>
      <c r="V100" s="124"/>
      <c r="W100" s="123"/>
      <c r="X100" s="124"/>
      <c r="Y100" s="123"/>
      <c r="Z100" s="123"/>
      <c r="AA100" s="123"/>
      <c r="AB100" s="123"/>
      <c r="AC100" s="124"/>
      <c r="AD100" s="123"/>
      <c r="AE100" s="124"/>
      <c r="AF100" s="123"/>
      <c r="AG100" s="130"/>
      <c r="AH100" s="66">
        <f t="shared" ref="AH100:AH131" si="7">COUNTA(C100:AG100)</f>
        <v>0</v>
      </c>
      <c r="AI100" s="142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69" t="str">
        <f t="shared" si="6"/>
        <v>一飛</v>
      </c>
      <c r="AK100" s="73"/>
    </row>
    <row r="101" spans="1:37" ht="18" customHeight="1">
      <c r="A101" s="95" t="s">
        <v>58</v>
      </c>
      <c r="B101" s="125" t="s">
        <v>88</v>
      </c>
      <c r="C101" s="124"/>
      <c r="D101" s="123"/>
      <c r="E101" s="123"/>
      <c r="F101" s="130"/>
      <c r="G101" s="123"/>
      <c r="H101" s="124"/>
      <c r="I101" s="123"/>
      <c r="J101" s="124"/>
      <c r="K101" s="123"/>
      <c r="L101" s="123"/>
      <c r="M101" s="123"/>
      <c r="N101" s="123"/>
      <c r="O101" s="124"/>
      <c r="P101" s="123"/>
      <c r="Q101" s="124"/>
      <c r="R101" s="123"/>
      <c r="S101" s="123"/>
      <c r="T101" s="123"/>
      <c r="U101" s="123"/>
      <c r="V101" s="124"/>
      <c r="W101" s="123"/>
      <c r="X101" s="124"/>
      <c r="Y101" s="123"/>
      <c r="Z101" s="123"/>
      <c r="AA101" s="123"/>
      <c r="AB101" s="123"/>
      <c r="AC101" s="124"/>
      <c r="AD101" s="123"/>
      <c r="AE101" s="124"/>
      <c r="AF101" s="123"/>
      <c r="AG101" s="130"/>
      <c r="AH101" s="66">
        <f t="shared" si="7"/>
        <v>0</v>
      </c>
      <c r="AI101" s="142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69" t="str">
        <f t="shared" si="6"/>
        <v>皓皓</v>
      </c>
      <c r="AK101" s="70"/>
    </row>
    <row r="102" spans="1:37" ht="18" customHeight="1">
      <c r="A102" s="95" t="s">
        <v>58</v>
      </c>
      <c r="B102" s="125" t="s">
        <v>35</v>
      </c>
      <c r="C102" s="124"/>
      <c r="D102" s="123"/>
      <c r="E102" s="123"/>
      <c r="F102" s="130"/>
      <c r="G102" s="123"/>
      <c r="H102" s="124"/>
      <c r="I102" s="123"/>
      <c r="J102" s="124"/>
      <c r="K102" s="123"/>
      <c r="L102" s="123"/>
      <c r="M102" s="123"/>
      <c r="N102" s="123"/>
      <c r="O102" s="124"/>
      <c r="P102" s="123"/>
      <c r="Q102" s="124"/>
      <c r="R102" s="123"/>
      <c r="S102" s="123"/>
      <c r="T102" s="123"/>
      <c r="U102" s="123"/>
      <c r="V102" s="124"/>
      <c r="W102" s="123"/>
      <c r="X102" s="124"/>
      <c r="Y102" s="123"/>
      <c r="Z102" s="123"/>
      <c r="AA102" s="123"/>
      <c r="AB102" s="123"/>
      <c r="AC102" s="124"/>
      <c r="AD102" s="123"/>
      <c r="AE102" s="124"/>
      <c r="AF102" s="123"/>
      <c r="AG102" s="130"/>
      <c r="AH102" s="66">
        <f t="shared" si="7"/>
        <v>0</v>
      </c>
      <c r="AI102" s="142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69" t="str">
        <f t="shared" si="6"/>
        <v>阿戴</v>
      </c>
      <c r="AK102" s="70"/>
    </row>
    <row r="103" spans="1:37" ht="18" customHeight="1">
      <c r="A103" s="99" t="s">
        <v>58</v>
      </c>
      <c r="B103" s="131" t="s">
        <v>152</v>
      </c>
      <c r="C103" s="124"/>
      <c r="D103" s="133"/>
      <c r="E103" s="133"/>
      <c r="F103" s="130"/>
      <c r="G103" s="133"/>
      <c r="H103" s="124"/>
      <c r="I103" s="133"/>
      <c r="J103" s="124"/>
      <c r="K103" s="133"/>
      <c r="L103" s="133"/>
      <c r="M103" s="133"/>
      <c r="N103" s="133"/>
      <c r="O103" s="124"/>
      <c r="P103" s="133"/>
      <c r="Q103" s="124"/>
      <c r="R103" s="133"/>
      <c r="S103" s="133"/>
      <c r="T103" s="133"/>
      <c r="U103" s="133"/>
      <c r="V103" s="124"/>
      <c r="W103" s="133"/>
      <c r="X103" s="124"/>
      <c r="Y103" s="133"/>
      <c r="Z103" s="133"/>
      <c r="AA103" s="133"/>
      <c r="AB103" s="133"/>
      <c r="AC103" s="124"/>
      <c r="AD103" s="133"/>
      <c r="AE103" s="124"/>
      <c r="AF103" s="133"/>
      <c r="AG103" s="130"/>
      <c r="AH103" s="77">
        <f t="shared" si="7"/>
        <v>0</v>
      </c>
      <c r="AI103" s="98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79" t="str">
        <f t="shared" si="6"/>
        <v>阿俗</v>
      </c>
      <c r="AK103" s="81"/>
    </row>
    <row r="104" spans="1:37" ht="18" customHeight="1">
      <c r="A104" s="99" t="s">
        <v>58</v>
      </c>
      <c r="B104" s="131" t="s">
        <v>153</v>
      </c>
      <c r="C104" s="124"/>
      <c r="D104" s="133"/>
      <c r="E104" s="133"/>
      <c r="F104" s="130"/>
      <c r="G104" s="133"/>
      <c r="H104" s="124"/>
      <c r="I104" s="133"/>
      <c r="J104" s="124"/>
      <c r="K104" s="133"/>
      <c r="L104" s="133"/>
      <c r="M104" s="133"/>
      <c r="N104" s="133"/>
      <c r="O104" s="124"/>
      <c r="P104" s="133"/>
      <c r="Q104" s="124"/>
      <c r="R104" s="133"/>
      <c r="S104" s="133"/>
      <c r="T104" s="133"/>
      <c r="U104" s="133"/>
      <c r="V104" s="124"/>
      <c r="W104" s="133"/>
      <c r="X104" s="124"/>
      <c r="Y104" s="133"/>
      <c r="Z104" s="133"/>
      <c r="AA104" s="133"/>
      <c r="AB104" s="133"/>
      <c r="AC104" s="124"/>
      <c r="AD104" s="133"/>
      <c r="AE104" s="124"/>
      <c r="AF104" s="133"/>
      <c r="AG104" s="130"/>
      <c r="AH104" s="77">
        <f t="shared" si="7"/>
        <v>0</v>
      </c>
      <c r="AI104" s="98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79" t="str">
        <f t="shared" si="6"/>
        <v>傻妹</v>
      </c>
      <c r="AK104" s="81"/>
    </row>
    <row r="105" spans="1:37" ht="18" customHeight="1">
      <c r="A105" s="99" t="s">
        <v>58</v>
      </c>
      <c r="B105" s="131" t="s">
        <v>155</v>
      </c>
      <c r="C105" s="124"/>
      <c r="D105" s="133"/>
      <c r="E105" s="133"/>
      <c r="F105" s="130"/>
      <c r="G105" s="133"/>
      <c r="H105" s="124"/>
      <c r="I105" s="133"/>
      <c r="J105" s="124"/>
      <c r="K105" s="133"/>
      <c r="L105" s="133"/>
      <c r="M105" s="133"/>
      <c r="N105" s="133"/>
      <c r="O105" s="124"/>
      <c r="P105" s="133"/>
      <c r="Q105" s="124"/>
      <c r="R105" s="133"/>
      <c r="S105" s="133"/>
      <c r="T105" s="133"/>
      <c r="U105" s="133"/>
      <c r="V105" s="124"/>
      <c r="W105" s="133"/>
      <c r="X105" s="124"/>
      <c r="Y105" s="133"/>
      <c r="Z105" s="133"/>
      <c r="AA105" s="133"/>
      <c r="AB105" s="133"/>
      <c r="AC105" s="124"/>
      <c r="AD105" s="133"/>
      <c r="AE105" s="124"/>
      <c r="AF105" s="133"/>
      <c r="AG105" s="130"/>
      <c r="AH105" s="77">
        <f t="shared" si="7"/>
        <v>0</v>
      </c>
      <c r="AI105" s="98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79" t="str">
        <f t="shared" si="6"/>
        <v>康康</v>
      </c>
      <c r="AK105" s="81"/>
    </row>
    <row r="106" spans="1:37" ht="18" customHeight="1">
      <c r="A106" s="99" t="s">
        <v>58</v>
      </c>
      <c r="B106" s="131" t="s">
        <v>156</v>
      </c>
      <c r="C106" s="124"/>
      <c r="D106" s="133"/>
      <c r="E106" s="133"/>
      <c r="F106" s="130"/>
      <c r="G106" s="133"/>
      <c r="H106" s="124"/>
      <c r="I106" s="133"/>
      <c r="J106" s="124"/>
      <c r="K106" s="133"/>
      <c r="L106" s="133"/>
      <c r="M106" s="133"/>
      <c r="N106" s="133"/>
      <c r="O106" s="124"/>
      <c r="P106" s="133"/>
      <c r="Q106" s="124"/>
      <c r="R106" s="133"/>
      <c r="S106" s="133"/>
      <c r="T106" s="133"/>
      <c r="U106" s="133"/>
      <c r="V106" s="124"/>
      <c r="W106" s="133"/>
      <c r="X106" s="124"/>
      <c r="Y106" s="133"/>
      <c r="Z106" s="133"/>
      <c r="AA106" s="133"/>
      <c r="AB106" s="133"/>
      <c r="AC106" s="124"/>
      <c r="AD106" s="133"/>
      <c r="AE106" s="124"/>
      <c r="AF106" s="133"/>
      <c r="AG106" s="130"/>
      <c r="AH106" s="77">
        <f t="shared" si="7"/>
        <v>0</v>
      </c>
      <c r="AI106" s="98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79" t="str">
        <f t="shared" si="6"/>
        <v>阿金</v>
      </c>
      <c r="AK106" s="81"/>
    </row>
    <row r="107" spans="1:37" ht="18" customHeight="1">
      <c r="A107" s="99" t="s">
        <v>58</v>
      </c>
      <c r="B107" s="131" t="s">
        <v>157</v>
      </c>
      <c r="C107" s="124"/>
      <c r="D107" s="133"/>
      <c r="E107" s="133"/>
      <c r="F107" s="130"/>
      <c r="G107" s="133"/>
      <c r="H107" s="124"/>
      <c r="I107" s="133"/>
      <c r="J107" s="124"/>
      <c r="K107" s="133"/>
      <c r="L107" s="133"/>
      <c r="M107" s="133"/>
      <c r="N107" s="133"/>
      <c r="O107" s="124"/>
      <c r="P107" s="133"/>
      <c r="Q107" s="124"/>
      <c r="R107" s="133"/>
      <c r="S107" s="133"/>
      <c r="T107" s="133"/>
      <c r="U107" s="133"/>
      <c r="V107" s="124"/>
      <c r="W107" s="133"/>
      <c r="X107" s="124"/>
      <c r="Y107" s="133"/>
      <c r="Z107" s="133"/>
      <c r="AA107" s="133"/>
      <c r="AB107" s="133"/>
      <c r="AC107" s="124"/>
      <c r="AD107" s="133"/>
      <c r="AE107" s="124"/>
      <c r="AF107" s="133"/>
      <c r="AG107" s="130"/>
      <c r="AH107" s="77">
        <f t="shared" si="7"/>
        <v>0</v>
      </c>
      <c r="AI107" s="98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79" t="str">
        <f t="shared" si="6"/>
        <v>派大</v>
      </c>
      <c r="AK107" s="81"/>
    </row>
    <row r="108" spans="1:37" ht="18" customHeight="1">
      <c r="A108" s="99" t="s">
        <v>58</v>
      </c>
      <c r="B108" s="131" t="s">
        <v>158</v>
      </c>
      <c r="C108" s="124"/>
      <c r="D108" s="133"/>
      <c r="E108" s="133"/>
      <c r="F108" s="130"/>
      <c r="G108" s="133"/>
      <c r="H108" s="124"/>
      <c r="I108" s="133"/>
      <c r="J108" s="124"/>
      <c r="K108" s="133"/>
      <c r="L108" s="133"/>
      <c r="M108" s="133"/>
      <c r="N108" s="133"/>
      <c r="O108" s="124"/>
      <c r="P108" s="133"/>
      <c r="Q108" s="124"/>
      <c r="R108" s="133"/>
      <c r="S108" s="133"/>
      <c r="T108" s="133"/>
      <c r="U108" s="133"/>
      <c r="V108" s="124"/>
      <c r="W108" s="133"/>
      <c r="X108" s="124"/>
      <c r="Y108" s="133"/>
      <c r="Z108" s="133"/>
      <c r="AA108" s="133"/>
      <c r="AB108" s="133"/>
      <c r="AC108" s="124"/>
      <c r="AD108" s="133"/>
      <c r="AE108" s="124"/>
      <c r="AF108" s="133"/>
      <c r="AG108" s="130"/>
      <c r="AH108" s="77">
        <f t="shared" si="7"/>
        <v>0</v>
      </c>
      <c r="AI108" s="98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79" t="str">
        <f t="shared" si="6"/>
        <v>吉娃</v>
      </c>
      <c r="AK108" s="81"/>
    </row>
    <row r="109" spans="1:37" ht="18" customHeight="1">
      <c r="A109" s="99" t="s">
        <v>58</v>
      </c>
      <c r="B109" s="131" t="s">
        <v>159</v>
      </c>
      <c r="C109" s="124"/>
      <c r="D109" s="133"/>
      <c r="E109" s="133"/>
      <c r="F109" s="130"/>
      <c r="G109" s="133"/>
      <c r="H109" s="124"/>
      <c r="I109" s="133"/>
      <c r="J109" s="124"/>
      <c r="K109" s="133"/>
      <c r="L109" s="133"/>
      <c r="M109" s="133"/>
      <c r="N109" s="133"/>
      <c r="O109" s="124"/>
      <c r="P109" s="133"/>
      <c r="Q109" s="124"/>
      <c r="R109" s="133"/>
      <c r="S109" s="133"/>
      <c r="T109" s="133"/>
      <c r="U109" s="133"/>
      <c r="V109" s="124"/>
      <c r="W109" s="133"/>
      <c r="X109" s="124"/>
      <c r="Y109" s="133"/>
      <c r="Z109" s="133"/>
      <c r="AA109" s="133"/>
      <c r="AB109" s="133"/>
      <c r="AC109" s="124"/>
      <c r="AD109" s="133"/>
      <c r="AE109" s="124"/>
      <c r="AF109" s="133"/>
      <c r="AG109" s="130"/>
      <c r="AH109" s="77">
        <f t="shared" si="7"/>
        <v>0</v>
      </c>
      <c r="AI109" s="98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79" t="str">
        <f t="shared" si="6"/>
        <v>小寧</v>
      </c>
      <c r="AK109" s="81"/>
    </row>
    <row r="110" spans="1:37" ht="18" customHeight="1">
      <c r="A110" s="99" t="s">
        <v>58</v>
      </c>
      <c r="B110" s="131" t="s">
        <v>160</v>
      </c>
      <c r="C110" s="124"/>
      <c r="D110" s="133"/>
      <c r="E110" s="133"/>
      <c r="F110" s="130"/>
      <c r="G110" s="133"/>
      <c r="H110" s="124"/>
      <c r="I110" s="133"/>
      <c r="J110" s="124"/>
      <c r="K110" s="133"/>
      <c r="L110" s="133"/>
      <c r="M110" s="133"/>
      <c r="N110" s="133"/>
      <c r="O110" s="124"/>
      <c r="P110" s="133"/>
      <c r="Q110" s="124"/>
      <c r="R110" s="133"/>
      <c r="S110" s="133"/>
      <c r="T110" s="133"/>
      <c r="U110" s="133"/>
      <c r="V110" s="124"/>
      <c r="W110" s="133"/>
      <c r="X110" s="124"/>
      <c r="Y110" s="133"/>
      <c r="Z110" s="133"/>
      <c r="AA110" s="133"/>
      <c r="AB110" s="133"/>
      <c r="AC110" s="124"/>
      <c r="AD110" s="133"/>
      <c r="AE110" s="124"/>
      <c r="AF110" s="133"/>
      <c r="AG110" s="130"/>
      <c r="AH110" s="77">
        <f t="shared" si="7"/>
        <v>0</v>
      </c>
      <c r="AI110" s="98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79" t="str">
        <f t="shared" ref="AJ110:AJ135" si="8">B110</f>
        <v>小妹</v>
      </c>
      <c r="AK110" s="81"/>
    </row>
    <row r="111" spans="1:37" ht="18" customHeight="1">
      <c r="A111" s="99" t="s">
        <v>58</v>
      </c>
      <c r="B111" s="131" t="s">
        <v>101</v>
      </c>
      <c r="C111" s="124"/>
      <c r="D111" s="133"/>
      <c r="E111" s="133"/>
      <c r="F111" s="130"/>
      <c r="G111" s="133"/>
      <c r="H111" s="124"/>
      <c r="I111" s="133"/>
      <c r="J111" s="124"/>
      <c r="K111" s="133"/>
      <c r="L111" s="133"/>
      <c r="M111" s="133"/>
      <c r="N111" s="133"/>
      <c r="O111" s="124"/>
      <c r="P111" s="133"/>
      <c r="Q111" s="124"/>
      <c r="R111" s="133"/>
      <c r="S111" s="133"/>
      <c r="T111" s="133"/>
      <c r="U111" s="133"/>
      <c r="V111" s="124"/>
      <c r="W111" s="133"/>
      <c r="X111" s="124"/>
      <c r="Y111" s="133"/>
      <c r="Z111" s="133"/>
      <c r="AA111" s="133"/>
      <c r="AB111" s="133"/>
      <c r="AC111" s="124"/>
      <c r="AD111" s="133"/>
      <c r="AE111" s="124"/>
      <c r="AF111" s="133"/>
      <c r="AG111" s="130"/>
      <c r="AH111" s="77">
        <f t="shared" si="7"/>
        <v>0</v>
      </c>
      <c r="AI111" s="98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79" t="str">
        <f t="shared" si="8"/>
        <v>文媛</v>
      </c>
      <c r="AK111" s="81"/>
    </row>
    <row r="112" spans="1:37" ht="18" customHeight="1">
      <c r="A112" s="99" t="s">
        <v>58</v>
      </c>
      <c r="B112" s="131" t="s">
        <v>161</v>
      </c>
      <c r="C112" s="124"/>
      <c r="D112" s="133"/>
      <c r="E112" s="133"/>
      <c r="F112" s="130"/>
      <c r="G112" s="133"/>
      <c r="H112" s="124"/>
      <c r="I112" s="133"/>
      <c r="J112" s="124"/>
      <c r="K112" s="133"/>
      <c r="L112" s="133"/>
      <c r="M112" s="133"/>
      <c r="N112" s="133"/>
      <c r="O112" s="124"/>
      <c r="P112" s="133"/>
      <c r="Q112" s="124"/>
      <c r="R112" s="133"/>
      <c r="S112" s="133"/>
      <c r="T112" s="133"/>
      <c r="U112" s="133"/>
      <c r="V112" s="124"/>
      <c r="W112" s="133"/>
      <c r="X112" s="124"/>
      <c r="Y112" s="133"/>
      <c r="Z112" s="133"/>
      <c r="AA112" s="133"/>
      <c r="AB112" s="133"/>
      <c r="AC112" s="124"/>
      <c r="AD112" s="133"/>
      <c r="AE112" s="124"/>
      <c r="AF112" s="133"/>
      <c r="AG112" s="130"/>
      <c r="AH112" s="77">
        <f t="shared" si="7"/>
        <v>0</v>
      </c>
      <c r="AI112" s="98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79" t="str">
        <f t="shared" si="8"/>
        <v>佩鈺</v>
      </c>
      <c r="AK112" s="81"/>
    </row>
    <row r="113" spans="1:37" ht="18" customHeight="1">
      <c r="A113" s="99" t="s">
        <v>58</v>
      </c>
      <c r="B113" s="131" t="s">
        <v>162</v>
      </c>
      <c r="C113" s="124"/>
      <c r="D113" s="133"/>
      <c r="E113" s="133"/>
      <c r="F113" s="130"/>
      <c r="G113" s="133"/>
      <c r="H113" s="124"/>
      <c r="I113" s="133"/>
      <c r="J113" s="124"/>
      <c r="K113" s="133"/>
      <c r="L113" s="133"/>
      <c r="M113" s="133"/>
      <c r="N113" s="133"/>
      <c r="O113" s="124"/>
      <c r="P113" s="133"/>
      <c r="Q113" s="124"/>
      <c r="R113" s="133"/>
      <c r="S113" s="133"/>
      <c r="T113" s="133"/>
      <c r="U113" s="133"/>
      <c r="V113" s="124"/>
      <c r="W113" s="133"/>
      <c r="X113" s="124"/>
      <c r="Y113" s="133"/>
      <c r="Z113" s="133"/>
      <c r="AA113" s="133"/>
      <c r="AB113" s="133"/>
      <c r="AC113" s="124"/>
      <c r="AD113" s="133"/>
      <c r="AE113" s="124"/>
      <c r="AF113" s="133"/>
      <c r="AG113" s="130"/>
      <c r="AH113" s="77">
        <f t="shared" si="7"/>
        <v>0</v>
      </c>
      <c r="AI113" s="98" t="e">
        <f ca="1">IF(A113="O", (VALUE(_xludf.IFS(AH113=0,"0",AH113=1,"150",AH113=2,"300",AH113=3,"450",AH113=4,"600",AH113=5,"750",AH113&gt;=6,"800"))),(VALUE(_xludf.IFS(AH113=0,"0",AH113=1,"150",AH113=2,"300",AH113=3,"450",AH113=4,"600",AH113=5,"750",AH113=6,"900",AH113&gt;=7,"1,000"))))</f>
        <v>#NAME?</v>
      </c>
      <c r="AJ113" s="79" t="str">
        <f t="shared" si="8"/>
        <v>阿布</v>
      </c>
      <c r="AK113" s="81"/>
    </row>
    <row r="114" spans="1:37" ht="18" customHeight="1">
      <c r="A114" s="99" t="s">
        <v>58</v>
      </c>
      <c r="B114" s="131" t="s">
        <v>163</v>
      </c>
      <c r="C114" s="124"/>
      <c r="D114" s="133"/>
      <c r="E114" s="133"/>
      <c r="F114" s="130"/>
      <c r="G114" s="133"/>
      <c r="H114" s="124"/>
      <c r="I114" s="133"/>
      <c r="J114" s="124"/>
      <c r="K114" s="133"/>
      <c r="L114" s="133"/>
      <c r="M114" s="133"/>
      <c r="N114" s="133"/>
      <c r="O114" s="124"/>
      <c r="P114" s="133"/>
      <c r="Q114" s="124"/>
      <c r="R114" s="133"/>
      <c r="S114" s="133"/>
      <c r="T114" s="133"/>
      <c r="U114" s="133"/>
      <c r="V114" s="124"/>
      <c r="W114" s="133"/>
      <c r="X114" s="124"/>
      <c r="Y114" s="133"/>
      <c r="Z114" s="133"/>
      <c r="AA114" s="133"/>
      <c r="AB114" s="133"/>
      <c r="AC114" s="124"/>
      <c r="AD114" s="133"/>
      <c r="AE114" s="124"/>
      <c r="AF114" s="133"/>
      <c r="AG114" s="130"/>
      <c r="AH114" s="77">
        <f t="shared" si="7"/>
        <v>0</v>
      </c>
      <c r="AI114" s="98" t="e">
        <f ca="1">IF(A114="O", (VALUE(_xludf.IFS(AH114=0,"0",AH114=1,"150",AH114=2,"300",AH114=3,"450",AH114=4,"600",AH114=5,"750",AH114&gt;=6,"800"))),(VALUE(_xludf.IFS(AH114=0,"0",AH114=1,"150",AH114=2,"300",AH114=3,"450",AH114=4,"600",AH114=5,"750",AH114=6,"900",AH114&gt;=7,"1,000"))))</f>
        <v>#NAME?</v>
      </c>
      <c r="AJ114" s="79" t="str">
        <f t="shared" si="8"/>
        <v>小個</v>
      </c>
      <c r="AK114" s="81"/>
    </row>
    <row r="115" spans="1:37" ht="18" customHeight="1">
      <c r="A115" s="99" t="s">
        <v>58</v>
      </c>
      <c r="B115" s="131" t="s">
        <v>164</v>
      </c>
      <c r="C115" s="124"/>
      <c r="D115" s="133"/>
      <c r="E115" s="133"/>
      <c r="F115" s="130"/>
      <c r="G115" s="133"/>
      <c r="H115" s="124"/>
      <c r="I115" s="133"/>
      <c r="J115" s="124"/>
      <c r="K115" s="133"/>
      <c r="L115" s="133"/>
      <c r="M115" s="133"/>
      <c r="N115" s="133"/>
      <c r="O115" s="124"/>
      <c r="P115" s="133"/>
      <c r="Q115" s="124"/>
      <c r="R115" s="133"/>
      <c r="S115" s="133"/>
      <c r="T115" s="133"/>
      <c r="U115" s="133"/>
      <c r="V115" s="124"/>
      <c r="W115" s="133"/>
      <c r="X115" s="124"/>
      <c r="Y115" s="133"/>
      <c r="Z115" s="133"/>
      <c r="AA115" s="133"/>
      <c r="AB115" s="133"/>
      <c r="AC115" s="124"/>
      <c r="AD115" s="133"/>
      <c r="AE115" s="124"/>
      <c r="AF115" s="133"/>
      <c r="AG115" s="130"/>
      <c r="AH115" s="77">
        <f t="shared" si="7"/>
        <v>0</v>
      </c>
      <c r="AI115" s="98" t="e">
        <f ca="1">IF(A115="O", (VALUE(_xludf.IFS(AH115=0,"0",AH115=1,"150",AH115=2,"300",AH115=3,"450",AH115=4,"600",AH115=5,"750",AH115&gt;=6,"800"))),(VALUE(_xludf.IFS(AH115=0,"0",AH115=1,"150",AH115=2,"300",AH115=3,"450",AH115=4,"600",AH115=5,"750",AH115=6,"900",AH115&gt;=7,"1,000"))))</f>
        <v>#NAME?</v>
      </c>
      <c r="AJ115" s="79" t="str">
        <f t="shared" si="8"/>
        <v>小菜</v>
      </c>
      <c r="AK115" s="81"/>
    </row>
    <row r="116" spans="1:37" ht="18" customHeight="1">
      <c r="A116" s="99" t="s">
        <v>58</v>
      </c>
      <c r="B116" s="131" t="s">
        <v>102</v>
      </c>
      <c r="C116" s="124"/>
      <c r="D116" s="133"/>
      <c r="E116" s="133"/>
      <c r="F116" s="130"/>
      <c r="G116" s="133"/>
      <c r="H116" s="124"/>
      <c r="I116" s="133"/>
      <c r="J116" s="124"/>
      <c r="K116" s="133"/>
      <c r="L116" s="133"/>
      <c r="M116" s="133"/>
      <c r="N116" s="133"/>
      <c r="O116" s="124"/>
      <c r="P116" s="133"/>
      <c r="Q116" s="124"/>
      <c r="R116" s="133"/>
      <c r="S116" s="133"/>
      <c r="T116" s="133"/>
      <c r="U116" s="133"/>
      <c r="V116" s="124"/>
      <c r="W116" s="133"/>
      <c r="X116" s="124"/>
      <c r="Y116" s="133"/>
      <c r="Z116" s="133"/>
      <c r="AA116" s="133"/>
      <c r="AB116" s="133"/>
      <c r="AC116" s="124"/>
      <c r="AD116" s="133"/>
      <c r="AE116" s="124"/>
      <c r="AF116" s="133"/>
      <c r="AG116" s="130"/>
      <c r="AH116" s="77">
        <f t="shared" si="7"/>
        <v>0</v>
      </c>
      <c r="AI116" s="98" t="e">
        <f ca="1">IF(A116="O", (VALUE(_xludf.IFS(AH116=0,"0",AH116=1,"150",AH116=2,"300",AH116=3,"450",AH116=4,"600",AH116=5,"750",AH116&gt;=6,"800"))),(VALUE(_xludf.IFS(AH116=0,"0",AH116=1,"150",AH116=2,"300",AH116=3,"450",AH116=4,"600",AH116=5,"750",AH116=6,"900",AH116&gt;=7,"1,000"))))</f>
        <v>#NAME?</v>
      </c>
      <c r="AJ116" s="79" t="str">
        <f t="shared" si="8"/>
        <v>妮妮</v>
      </c>
      <c r="AK116" s="81"/>
    </row>
    <row r="117" spans="1:37" ht="18" customHeight="1">
      <c r="A117" s="99" t="s">
        <v>58</v>
      </c>
      <c r="B117" s="131" t="s">
        <v>166</v>
      </c>
      <c r="C117" s="124"/>
      <c r="D117" s="133"/>
      <c r="E117" s="133"/>
      <c r="F117" s="130"/>
      <c r="G117" s="133"/>
      <c r="H117" s="124"/>
      <c r="I117" s="133"/>
      <c r="J117" s="124"/>
      <c r="K117" s="133"/>
      <c r="L117" s="133"/>
      <c r="M117" s="133"/>
      <c r="N117" s="133"/>
      <c r="O117" s="124"/>
      <c r="P117" s="133"/>
      <c r="Q117" s="124"/>
      <c r="R117" s="133"/>
      <c r="S117" s="133"/>
      <c r="T117" s="133"/>
      <c r="U117" s="133"/>
      <c r="V117" s="124"/>
      <c r="W117" s="133"/>
      <c r="X117" s="124"/>
      <c r="Y117" s="133"/>
      <c r="Z117" s="133"/>
      <c r="AA117" s="133"/>
      <c r="AB117" s="133"/>
      <c r="AC117" s="124"/>
      <c r="AD117" s="133"/>
      <c r="AE117" s="124"/>
      <c r="AF117" s="133"/>
      <c r="AG117" s="130"/>
      <c r="AH117" s="77">
        <f t="shared" si="7"/>
        <v>0</v>
      </c>
      <c r="AI117" s="98" t="e">
        <f ca="1">IF(A117="O", (VALUE(_xludf.IFS(AH117=0,"0",AH117=1,"150",AH117=2,"300",AH117=3,"450",AH117=4,"600",AH117=5,"750",AH117&gt;=6,"800"))),(VALUE(_xludf.IFS(AH117=0,"0",AH117=1,"150",AH117=2,"300",AH117=3,"450",AH117=4,"600",AH117=5,"750",AH117=6,"900",AH117&gt;=7,"1,000"))))</f>
        <v>#NAME?</v>
      </c>
      <c r="AJ117" s="79" t="str">
        <f t="shared" si="8"/>
        <v>哈比</v>
      </c>
      <c r="AK117" s="81"/>
    </row>
    <row r="118" spans="1:37" ht="18" customHeight="1">
      <c r="A118" s="101" t="s">
        <v>58</v>
      </c>
      <c r="B118" s="136" t="s">
        <v>126</v>
      </c>
      <c r="C118" s="124"/>
      <c r="D118" s="135"/>
      <c r="E118" s="135"/>
      <c r="F118" s="130"/>
      <c r="G118" s="135"/>
      <c r="H118" s="124"/>
      <c r="I118" s="135"/>
      <c r="J118" s="124"/>
      <c r="K118" s="135"/>
      <c r="L118" s="135"/>
      <c r="M118" s="135"/>
      <c r="N118" s="135"/>
      <c r="O118" s="124"/>
      <c r="P118" s="135"/>
      <c r="Q118" s="124"/>
      <c r="R118" s="135"/>
      <c r="S118" s="135"/>
      <c r="T118" s="135"/>
      <c r="U118" s="135"/>
      <c r="V118" s="124"/>
      <c r="W118" s="135"/>
      <c r="X118" s="124"/>
      <c r="Y118" s="135"/>
      <c r="Z118" s="135"/>
      <c r="AA118" s="135"/>
      <c r="AB118" s="135"/>
      <c r="AC118" s="124"/>
      <c r="AD118" s="135"/>
      <c r="AE118" s="124"/>
      <c r="AF118" s="135"/>
      <c r="AG118" s="130"/>
      <c r="AH118" s="86">
        <f t="shared" si="7"/>
        <v>0</v>
      </c>
      <c r="AI118" s="103" t="e">
        <f ca="1">IF(A118="O", (VALUE(_xludf.IFS(AH118=0,"0",AH118=1,"150",AH118=2,"300",AH118=3,"450",AH118=4,"600",AH118=5,"750",AH118&gt;=6,"800"))),(VALUE(_xludf.IFS(AH118=0,"0",AH118=1,"150",AH118=2,"300",AH118=3,"450",AH118=4,"600",AH118=5,"750",AH118=6,"900",AH118&gt;=7,"1,000"))))</f>
        <v>#NAME?</v>
      </c>
      <c r="AJ118" s="88" t="str">
        <f t="shared" si="8"/>
        <v>妹妹</v>
      </c>
      <c r="AK118" s="89"/>
    </row>
    <row r="119" spans="1:37" ht="18" customHeight="1">
      <c r="A119" s="101" t="s">
        <v>58</v>
      </c>
      <c r="B119" s="136" t="s">
        <v>128</v>
      </c>
      <c r="C119" s="124"/>
      <c r="D119" s="135"/>
      <c r="E119" s="135"/>
      <c r="F119" s="130"/>
      <c r="G119" s="135"/>
      <c r="H119" s="124"/>
      <c r="I119" s="135"/>
      <c r="J119" s="124"/>
      <c r="K119" s="135"/>
      <c r="L119" s="135"/>
      <c r="M119" s="135"/>
      <c r="N119" s="135"/>
      <c r="O119" s="124"/>
      <c r="P119" s="135"/>
      <c r="Q119" s="124"/>
      <c r="R119" s="135"/>
      <c r="S119" s="135"/>
      <c r="T119" s="135"/>
      <c r="U119" s="135"/>
      <c r="V119" s="124"/>
      <c r="W119" s="135"/>
      <c r="X119" s="124"/>
      <c r="Y119" s="135"/>
      <c r="Z119" s="135"/>
      <c r="AA119" s="135"/>
      <c r="AB119" s="135"/>
      <c r="AC119" s="124"/>
      <c r="AD119" s="135"/>
      <c r="AE119" s="124"/>
      <c r="AF119" s="135"/>
      <c r="AG119" s="130"/>
      <c r="AH119" s="86">
        <f t="shared" si="7"/>
        <v>0</v>
      </c>
      <c r="AI119" s="103" t="e">
        <f ca="1">IF(A119="O", (VALUE(_xludf.IFS(AH119=0,"0",AH119=1,"150",AH119=2,"300",AH119=3,"450",AH119=4,"600",AH119=5,"750",AH119&gt;=6,"800"))),(VALUE(_xludf.IFS(AH119=0,"0",AH119=1,"150",AH119=2,"300",AH119=3,"450",AH119=4,"600",AH119=5,"750",AH119=6,"900",AH119&gt;=7,"1,000"))))</f>
        <v>#NAME?</v>
      </c>
      <c r="AJ119" s="88" t="str">
        <f t="shared" si="8"/>
        <v>雨昕</v>
      </c>
      <c r="AK119" s="89"/>
    </row>
    <row r="120" spans="1:37" ht="18" customHeight="1">
      <c r="A120" s="101" t="s">
        <v>58</v>
      </c>
      <c r="B120" s="136" t="s">
        <v>129</v>
      </c>
      <c r="C120" s="124"/>
      <c r="D120" s="135"/>
      <c r="E120" s="135"/>
      <c r="F120" s="130"/>
      <c r="G120" s="135"/>
      <c r="H120" s="124"/>
      <c r="I120" s="135"/>
      <c r="J120" s="124"/>
      <c r="K120" s="135"/>
      <c r="L120" s="135"/>
      <c r="M120" s="135"/>
      <c r="N120" s="135"/>
      <c r="O120" s="124"/>
      <c r="P120" s="135"/>
      <c r="Q120" s="124"/>
      <c r="R120" s="135"/>
      <c r="S120" s="135"/>
      <c r="T120" s="135"/>
      <c r="U120" s="135"/>
      <c r="V120" s="124"/>
      <c r="W120" s="135"/>
      <c r="X120" s="124"/>
      <c r="Y120" s="135"/>
      <c r="Z120" s="135"/>
      <c r="AA120" s="135"/>
      <c r="AB120" s="135"/>
      <c r="AC120" s="124"/>
      <c r="AD120" s="135"/>
      <c r="AE120" s="124"/>
      <c r="AF120" s="135"/>
      <c r="AG120" s="130"/>
      <c r="AH120" s="86">
        <f t="shared" si="7"/>
        <v>0</v>
      </c>
      <c r="AI120" s="87" t="e">
        <f ca="1">IF(A120="O", (VALUE(_xludf.IFS(AH120=0,"0",AH120=1,"150",AH120=2,"300",AH120=3,"450",AH120=4,"600",AH120=5,"750",AH120&gt;=6,"800"))),(VALUE(_xludf.IFS(AH120=0,"0",AH120=1,"150",AH120=2,"300",AH120=3,"450",AH120=4,"600",AH120=5,"750",AH120=6,"900",AH120&gt;=7,"1,000"))))</f>
        <v>#NAME?</v>
      </c>
      <c r="AJ120" s="88" t="str">
        <f t="shared" si="8"/>
        <v>矮矮</v>
      </c>
      <c r="AK120" s="89"/>
    </row>
    <row r="121" spans="1:37" ht="18" customHeight="1">
      <c r="A121" s="101" t="s">
        <v>58</v>
      </c>
      <c r="B121" s="136" t="s">
        <v>130</v>
      </c>
      <c r="C121" s="124"/>
      <c r="D121" s="135"/>
      <c r="E121" s="135"/>
      <c r="F121" s="130"/>
      <c r="G121" s="135"/>
      <c r="H121" s="124"/>
      <c r="I121" s="135"/>
      <c r="J121" s="124"/>
      <c r="K121" s="135"/>
      <c r="L121" s="135"/>
      <c r="M121" s="135"/>
      <c r="N121" s="135"/>
      <c r="O121" s="124"/>
      <c r="P121" s="135"/>
      <c r="Q121" s="124"/>
      <c r="R121" s="135"/>
      <c r="S121" s="135"/>
      <c r="T121" s="135"/>
      <c r="U121" s="135"/>
      <c r="V121" s="124"/>
      <c r="W121" s="135"/>
      <c r="X121" s="124"/>
      <c r="Y121" s="135"/>
      <c r="Z121" s="135"/>
      <c r="AA121" s="135"/>
      <c r="AB121" s="135"/>
      <c r="AC121" s="124"/>
      <c r="AD121" s="135"/>
      <c r="AE121" s="124"/>
      <c r="AF121" s="135"/>
      <c r="AG121" s="130"/>
      <c r="AH121" s="86">
        <f t="shared" si="7"/>
        <v>0</v>
      </c>
      <c r="AI121" s="87" t="e">
        <f ca="1">IF(A121="O", (VALUE(_xludf.IFS(AH121=0,"0",AH121=1,"150",AH121=2,"300",AH121=3,"450",AH121=4,"600",AH121=5,"750",AH121&gt;=6,"800"))),(VALUE(_xludf.IFS(AH121=0,"0",AH121=1,"150",AH121=2,"300",AH121=3,"450",AH121=4,"600",AH121=5,"750",AH121=6,"900",AH121&gt;=7,"1,000"))))</f>
        <v>#NAME?</v>
      </c>
      <c r="AJ121" s="88" t="str">
        <f t="shared" si="8"/>
        <v>猛女</v>
      </c>
      <c r="AK121" s="89"/>
    </row>
    <row r="122" spans="1:37" ht="18" customHeight="1">
      <c r="A122" s="101" t="s">
        <v>58</v>
      </c>
      <c r="B122" s="136" t="s">
        <v>131</v>
      </c>
      <c r="C122" s="124"/>
      <c r="D122" s="135"/>
      <c r="E122" s="135"/>
      <c r="F122" s="130"/>
      <c r="G122" s="135"/>
      <c r="H122" s="124"/>
      <c r="I122" s="135"/>
      <c r="J122" s="124"/>
      <c r="K122" s="135"/>
      <c r="L122" s="135"/>
      <c r="M122" s="135"/>
      <c r="N122" s="135"/>
      <c r="O122" s="124"/>
      <c r="P122" s="135"/>
      <c r="Q122" s="124"/>
      <c r="R122" s="135"/>
      <c r="S122" s="135"/>
      <c r="T122" s="135"/>
      <c r="U122" s="135"/>
      <c r="V122" s="124"/>
      <c r="W122" s="135"/>
      <c r="X122" s="124"/>
      <c r="Y122" s="135"/>
      <c r="Z122" s="135"/>
      <c r="AA122" s="135"/>
      <c r="AB122" s="135"/>
      <c r="AC122" s="124"/>
      <c r="AD122" s="135"/>
      <c r="AE122" s="124"/>
      <c r="AF122" s="135"/>
      <c r="AG122" s="130"/>
      <c r="AH122" s="86">
        <f t="shared" si="7"/>
        <v>0</v>
      </c>
      <c r="AI122" s="87" t="e">
        <f ca="1">IF(A122="O", (VALUE(_xludf.IFS(AH122=0,"0",AH122=1,"150",AH122=2,"300",AH122=3,"450",AH122=4,"600",AH122=5,"750",AH122&gt;=6,"800"))),(VALUE(_xludf.IFS(AH122=0,"0",AH122=1,"150",AH122=2,"300",AH122=3,"450",AH122=4,"600",AH122=5,"750",AH122=6,"900",AH122&gt;=7,"1,000"))))</f>
        <v>#NAME?</v>
      </c>
      <c r="AJ122" s="88" t="str">
        <f t="shared" si="8"/>
        <v>欣容</v>
      </c>
      <c r="AK122" s="89"/>
    </row>
    <row r="123" spans="1:37" ht="18" customHeight="1">
      <c r="A123" s="101" t="s">
        <v>58</v>
      </c>
      <c r="B123" s="136" t="s">
        <v>132</v>
      </c>
      <c r="C123" s="124"/>
      <c r="D123" s="135"/>
      <c r="E123" s="135"/>
      <c r="F123" s="130"/>
      <c r="G123" s="135"/>
      <c r="H123" s="124"/>
      <c r="I123" s="135"/>
      <c r="J123" s="124"/>
      <c r="K123" s="135"/>
      <c r="L123" s="135"/>
      <c r="M123" s="135"/>
      <c r="N123" s="135"/>
      <c r="O123" s="124"/>
      <c r="P123" s="135"/>
      <c r="Q123" s="124"/>
      <c r="R123" s="135"/>
      <c r="S123" s="135"/>
      <c r="T123" s="135"/>
      <c r="U123" s="135"/>
      <c r="V123" s="124"/>
      <c r="W123" s="135"/>
      <c r="X123" s="124"/>
      <c r="Y123" s="135"/>
      <c r="Z123" s="135"/>
      <c r="AA123" s="135"/>
      <c r="AB123" s="135"/>
      <c r="AC123" s="124"/>
      <c r="AD123" s="135"/>
      <c r="AE123" s="124"/>
      <c r="AF123" s="135"/>
      <c r="AG123" s="130"/>
      <c r="AH123" s="86">
        <f t="shared" si="7"/>
        <v>0</v>
      </c>
      <c r="AI123" s="87" t="e">
        <f ca="1">IF(A123="O", (VALUE(_xludf.IFS(AH123=0,"0",AH123=1,"150",AH123=2,"300",AH123=3,"450",AH123=4,"600",AH123=5,"750",AH123&gt;=6,"800"))),(VALUE(_xludf.IFS(AH123=0,"0",AH123=1,"150",AH123=2,"300",AH123=3,"450",AH123=4,"600",AH123=5,"750",AH123=6,"900",AH123&gt;=7,"1,000"))))</f>
        <v>#NAME?</v>
      </c>
      <c r="AJ123" s="88" t="str">
        <f t="shared" si="8"/>
        <v>萁萁</v>
      </c>
      <c r="AK123" s="89"/>
    </row>
    <row r="124" spans="1:37" ht="18" customHeight="1">
      <c r="A124" s="101" t="s">
        <v>58</v>
      </c>
      <c r="B124" s="136" t="s">
        <v>133</v>
      </c>
      <c r="C124" s="124"/>
      <c r="D124" s="135"/>
      <c r="E124" s="135"/>
      <c r="F124" s="130"/>
      <c r="G124" s="135"/>
      <c r="H124" s="124"/>
      <c r="I124" s="135"/>
      <c r="J124" s="124"/>
      <c r="K124" s="135"/>
      <c r="L124" s="135"/>
      <c r="M124" s="135"/>
      <c r="N124" s="135"/>
      <c r="O124" s="124"/>
      <c r="P124" s="135"/>
      <c r="Q124" s="124"/>
      <c r="R124" s="135"/>
      <c r="S124" s="135"/>
      <c r="T124" s="135"/>
      <c r="U124" s="135"/>
      <c r="V124" s="124"/>
      <c r="W124" s="135"/>
      <c r="X124" s="124"/>
      <c r="Y124" s="135"/>
      <c r="Z124" s="135"/>
      <c r="AA124" s="135"/>
      <c r="AB124" s="135"/>
      <c r="AC124" s="124"/>
      <c r="AD124" s="135"/>
      <c r="AE124" s="124"/>
      <c r="AF124" s="135"/>
      <c r="AG124" s="130"/>
      <c r="AH124" s="86">
        <f t="shared" si="7"/>
        <v>0</v>
      </c>
      <c r="AI124" s="87" t="e">
        <f ca="1">IF(A124="O", (VALUE(_xludf.IFS(AH124=0,"0",AH124=1,"150",AH124=2,"300",AH124=3,"450",AH124=4,"600",AH124=5,"750",AH124&gt;=6,"800"))),(VALUE(_xludf.IFS(AH124=0,"0",AH124=1,"150",AH124=2,"300",AH124=3,"450",AH124=4,"600",AH124=5,"750",AH124=6,"900",AH124&gt;=7,"1,000"))))</f>
        <v>#NAME?</v>
      </c>
      <c r="AJ124" s="88" t="str">
        <f t="shared" si="8"/>
        <v>萱</v>
      </c>
      <c r="AK124" s="91"/>
    </row>
    <row r="125" spans="1:37" ht="18" customHeight="1">
      <c r="A125" s="101" t="s">
        <v>58</v>
      </c>
      <c r="B125" s="136" t="s">
        <v>134</v>
      </c>
      <c r="C125" s="124"/>
      <c r="D125" s="135"/>
      <c r="E125" s="135"/>
      <c r="F125" s="130"/>
      <c r="G125" s="135"/>
      <c r="H125" s="124"/>
      <c r="I125" s="135"/>
      <c r="J125" s="124"/>
      <c r="K125" s="135"/>
      <c r="L125" s="135"/>
      <c r="M125" s="135"/>
      <c r="N125" s="135"/>
      <c r="O125" s="124"/>
      <c r="P125" s="135"/>
      <c r="Q125" s="124"/>
      <c r="R125" s="135"/>
      <c r="S125" s="135"/>
      <c r="T125" s="135"/>
      <c r="U125" s="135"/>
      <c r="V125" s="124"/>
      <c r="W125" s="135"/>
      <c r="X125" s="124"/>
      <c r="Y125" s="135"/>
      <c r="Z125" s="135"/>
      <c r="AA125" s="135"/>
      <c r="AB125" s="135"/>
      <c r="AC125" s="124"/>
      <c r="AD125" s="135"/>
      <c r="AE125" s="124"/>
      <c r="AF125" s="135"/>
      <c r="AG125" s="130"/>
      <c r="AH125" s="86">
        <f t="shared" si="7"/>
        <v>0</v>
      </c>
      <c r="AI125" s="87" t="e">
        <f ca="1">IF(A125="O", (VALUE(_xludf.IFS(AH125=0,"0",AH125=1,"150",AH125=2,"300",AH125=3,"450",AH125=4,"600",AH125=5,"750",AH125&gt;=6,"800"))),(VALUE(_xludf.IFS(AH125=0,"0",AH125=1,"150",AH125=2,"300",AH125=3,"450",AH125=4,"600",AH125=5,"750",AH125=6,"900",AH125&gt;=7,"1,000"))))</f>
        <v>#NAME?</v>
      </c>
      <c r="AJ125" s="88" t="str">
        <f t="shared" si="8"/>
        <v>Mei</v>
      </c>
      <c r="AK125" s="91"/>
    </row>
    <row r="126" spans="1:37" ht="18" customHeight="1">
      <c r="A126" s="101" t="s">
        <v>58</v>
      </c>
      <c r="B126" s="136" t="s">
        <v>136</v>
      </c>
      <c r="C126" s="124"/>
      <c r="D126" s="135"/>
      <c r="E126" s="135"/>
      <c r="F126" s="130"/>
      <c r="G126" s="135"/>
      <c r="H126" s="124"/>
      <c r="I126" s="135"/>
      <c r="J126" s="124"/>
      <c r="K126" s="135"/>
      <c r="L126" s="135"/>
      <c r="M126" s="135"/>
      <c r="N126" s="135"/>
      <c r="O126" s="124"/>
      <c r="P126" s="135"/>
      <c r="Q126" s="124"/>
      <c r="R126" s="135"/>
      <c r="S126" s="135"/>
      <c r="T126" s="135"/>
      <c r="U126" s="135"/>
      <c r="V126" s="124"/>
      <c r="W126" s="135"/>
      <c r="X126" s="124"/>
      <c r="Y126" s="135"/>
      <c r="Z126" s="135"/>
      <c r="AA126" s="135"/>
      <c r="AB126" s="135"/>
      <c r="AC126" s="124"/>
      <c r="AD126" s="135"/>
      <c r="AE126" s="124"/>
      <c r="AF126" s="135"/>
      <c r="AG126" s="130"/>
      <c r="AH126" s="86">
        <f t="shared" si="7"/>
        <v>0</v>
      </c>
      <c r="AI126" s="87" t="e">
        <f ca="1">IF(A126="O", (VALUE(_xludf.IFS(AH126=0,"0",AH126=1,"150",AH126=2,"300",AH126=3,"450",AH126=4,"600",AH126=5,"750",AH126&gt;=6,"800"))),(VALUE(_xludf.IFS(AH126=0,"0",AH126=1,"150",AH126=2,"300",AH126=3,"450",AH126=4,"600",AH126=5,"750",AH126=6,"900",AH126&gt;=7,"1,000"))))</f>
        <v>#NAME?</v>
      </c>
      <c r="AJ126" s="88" t="str">
        <f t="shared" si="8"/>
        <v>泡泡</v>
      </c>
      <c r="AK126" s="91"/>
    </row>
    <row r="127" spans="1:37" ht="18" customHeight="1">
      <c r="A127" s="101" t="s">
        <v>58</v>
      </c>
      <c r="B127" s="136" t="s">
        <v>137</v>
      </c>
      <c r="C127" s="124"/>
      <c r="D127" s="135"/>
      <c r="E127" s="135"/>
      <c r="F127" s="130"/>
      <c r="G127" s="135"/>
      <c r="H127" s="124"/>
      <c r="I127" s="135"/>
      <c r="J127" s="124"/>
      <c r="K127" s="135"/>
      <c r="L127" s="135"/>
      <c r="M127" s="135"/>
      <c r="N127" s="135"/>
      <c r="O127" s="124"/>
      <c r="P127" s="135"/>
      <c r="Q127" s="124"/>
      <c r="R127" s="135"/>
      <c r="S127" s="135"/>
      <c r="T127" s="135"/>
      <c r="U127" s="135"/>
      <c r="V127" s="124"/>
      <c r="W127" s="135"/>
      <c r="X127" s="124"/>
      <c r="Y127" s="135"/>
      <c r="Z127" s="135"/>
      <c r="AA127" s="135"/>
      <c r="AB127" s="135"/>
      <c r="AC127" s="124"/>
      <c r="AD127" s="135"/>
      <c r="AE127" s="124"/>
      <c r="AF127" s="135"/>
      <c r="AG127" s="130"/>
      <c r="AH127" s="86">
        <f t="shared" si="7"/>
        <v>0</v>
      </c>
      <c r="AI127" s="87" t="e">
        <f ca="1">IF(A127="O", (VALUE(_xludf.IFS(AH127=0,"0",AH127=1,"150",AH127=2,"300",AH127=3,"450",AH127=4,"600",AH127=5,"750",AH127&gt;=6,"800"))),(VALUE(_xludf.IFS(AH127=0,"0",AH127=1,"150",AH127=2,"300",AH127=3,"450",AH127=4,"600",AH127=5,"750",AH127=6,"900",AH127&gt;=7,"1,000"))))</f>
        <v>#NAME?</v>
      </c>
      <c r="AJ127" s="88" t="str">
        <f t="shared" si="8"/>
        <v>姚</v>
      </c>
      <c r="AK127" s="91"/>
    </row>
    <row r="128" spans="1:37" ht="18" customHeight="1">
      <c r="A128" s="101" t="s">
        <v>58</v>
      </c>
      <c r="B128" s="136" t="s">
        <v>138</v>
      </c>
      <c r="C128" s="124"/>
      <c r="D128" s="135"/>
      <c r="E128" s="135"/>
      <c r="F128" s="130"/>
      <c r="G128" s="135"/>
      <c r="H128" s="124"/>
      <c r="I128" s="135"/>
      <c r="J128" s="124"/>
      <c r="K128" s="135"/>
      <c r="L128" s="135"/>
      <c r="M128" s="135"/>
      <c r="N128" s="135"/>
      <c r="O128" s="124"/>
      <c r="P128" s="135"/>
      <c r="Q128" s="124"/>
      <c r="R128" s="135"/>
      <c r="S128" s="135"/>
      <c r="T128" s="135"/>
      <c r="U128" s="135"/>
      <c r="V128" s="124"/>
      <c r="W128" s="135"/>
      <c r="X128" s="124"/>
      <c r="Y128" s="135"/>
      <c r="Z128" s="135"/>
      <c r="AA128" s="135"/>
      <c r="AB128" s="135"/>
      <c r="AC128" s="124"/>
      <c r="AD128" s="135"/>
      <c r="AE128" s="124"/>
      <c r="AF128" s="135"/>
      <c r="AG128" s="130"/>
      <c r="AH128" s="86">
        <f t="shared" si="7"/>
        <v>0</v>
      </c>
      <c r="AI128" s="87" t="e">
        <f ca="1">IF(A128="O", (VALUE(_xludf.IFS(AH128=0,"0",AH128=1,"150",AH128=2,"300",AH128=3,"450",AH128=4,"600",AH128=5,"750",AH128&gt;=6,"800"))),(VALUE(_xludf.IFS(AH128=0,"0",AH128=1,"150",AH128=2,"300",AH128=3,"450",AH128=4,"600",AH128=5,"750",AH128=6,"900",AH128&gt;=7,"1,000"))))</f>
        <v>#NAME?</v>
      </c>
      <c r="AJ128" s="88" t="str">
        <f t="shared" si="8"/>
        <v>奜茜</v>
      </c>
      <c r="AK128" s="91"/>
    </row>
    <row r="129" spans="1:37" ht="18" customHeight="1">
      <c r="A129" s="101" t="s">
        <v>58</v>
      </c>
      <c r="B129" s="138" t="s">
        <v>140</v>
      </c>
      <c r="C129" s="124"/>
      <c r="D129" s="135"/>
      <c r="E129" s="135"/>
      <c r="F129" s="130"/>
      <c r="G129" s="135"/>
      <c r="H129" s="124"/>
      <c r="I129" s="135"/>
      <c r="J129" s="124"/>
      <c r="K129" s="135"/>
      <c r="L129" s="135"/>
      <c r="M129" s="135"/>
      <c r="N129" s="135"/>
      <c r="O129" s="124"/>
      <c r="P129" s="135"/>
      <c r="Q129" s="124"/>
      <c r="R129" s="135"/>
      <c r="S129" s="135"/>
      <c r="T129" s="135"/>
      <c r="U129" s="135"/>
      <c r="V129" s="124"/>
      <c r="W129" s="135"/>
      <c r="X129" s="124"/>
      <c r="Y129" s="135"/>
      <c r="Z129" s="135"/>
      <c r="AA129" s="135"/>
      <c r="AB129" s="135"/>
      <c r="AC129" s="124"/>
      <c r="AD129" s="135"/>
      <c r="AE129" s="124"/>
      <c r="AF129" s="135"/>
      <c r="AG129" s="130"/>
      <c r="AH129" s="86">
        <f t="shared" si="7"/>
        <v>0</v>
      </c>
      <c r="AI129" s="87" t="e">
        <f ca="1">IF(A129="O", (VALUE(_xludf.IFS(AH129=0,"0",AH129=1,"150",AH129=2,"300",AH129=3,"450",AH129=4,"600",AH129=5,"750",AH129&gt;=6,"800"))),(VALUE(_xludf.IFS(AH129=0,"0",AH129=1,"150",AH129=2,"300",AH129=3,"450",AH129=4,"600",AH129=5,"750",AH129=6,"900",AH129&gt;=7,"1,000"))))</f>
        <v>#NAME?</v>
      </c>
      <c r="AJ129" s="88" t="str">
        <f t="shared" si="8"/>
        <v>芷琦</v>
      </c>
      <c r="AK129" s="91"/>
    </row>
    <row r="130" spans="1:37" ht="18" customHeight="1">
      <c r="A130" s="101" t="s">
        <v>58</v>
      </c>
      <c r="B130" s="138" t="s">
        <v>106</v>
      </c>
      <c r="C130" s="124"/>
      <c r="D130" s="135"/>
      <c r="E130" s="135"/>
      <c r="F130" s="130"/>
      <c r="G130" s="135"/>
      <c r="H130" s="124"/>
      <c r="I130" s="135"/>
      <c r="J130" s="124"/>
      <c r="K130" s="135"/>
      <c r="L130" s="135"/>
      <c r="M130" s="135"/>
      <c r="N130" s="135"/>
      <c r="O130" s="124"/>
      <c r="P130" s="135"/>
      <c r="Q130" s="124"/>
      <c r="R130" s="135"/>
      <c r="S130" s="135"/>
      <c r="T130" s="135"/>
      <c r="U130" s="135"/>
      <c r="V130" s="124"/>
      <c r="W130" s="135"/>
      <c r="X130" s="124"/>
      <c r="Y130" s="135"/>
      <c r="Z130" s="135"/>
      <c r="AA130" s="135"/>
      <c r="AB130" s="135"/>
      <c r="AC130" s="124"/>
      <c r="AD130" s="135"/>
      <c r="AE130" s="124"/>
      <c r="AF130" s="135"/>
      <c r="AG130" s="130"/>
      <c r="AH130" s="86">
        <f t="shared" si="7"/>
        <v>0</v>
      </c>
      <c r="AI130" s="87" t="e">
        <f ca="1">IF(A130="O", (VALUE(_xludf.IFS(AH130=0,"0",AH130=1,"150",AH130=2,"300",AH130=3,"450",AH130=4,"600",AH130=5,"750",AH130&gt;=6,"800"))),(VALUE(_xludf.IFS(AH130=0,"0",AH130=1,"150",AH130=2,"300",AH130=3,"450",AH130=4,"600",AH130=5,"750",AH130=6,"900",AH130&gt;=7,"1,000"))))</f>
        <v>#NAME?</v>
      </c>
      <c r="AJ130" s="88" t="str">
        <f t="shared" si="8"/>
        <v>Nina</v>
      </c>
      <c r="AK130" s="91"/>
    </row>
    <row r="131" spans="1:37" ht="18" customHeight="1">
      <c r="A131" s="101" t="s">
        <v>58</v>
      </c>
      <c r="B131" s="136" t="s">
        <v>141</v>
      </c>
      <c r="C131" s="124"/>
      <c r="D131" s="135"/>
      <c r="E131" s="135"/>
      <c r="F131" s="130"/>
      <c r="G131" s="135"/>
      <c r="H131" s="124"/>
      <c r="I131" s="135"/>
      <c r="J131" s="124"/>
      <c r="K131" s="135"/>
      <c r="L131" s="135"/>
      <c r="M131" s="135"/>
      <c r="N131" s="135"/>
      <c r="O131" s="124"/>
      <c r="P131" s="135"/>
      <c r="Q131" s="124"/>
      <c r="R131" s="135"/>
      <c r="S131" s="135"/>
      <c r="T131" s="135"/>
      <c r="U131" s="135"/>
      <c r="V131" s="124"/>
      <c r="W131" s="135"/>
      <c r="X131" s="124"/>
      <c r="Y131" s="135"/>
      <c r="Z131" s="135"/>
      <c r="AA131" s="135"/>
      <c r="AB131" s="135"/>
      <c r="AC131" s="124"/>
      <c r="AD131" s="135"/>
      <c r="AE131" s="124"/>
      <c r="AF131" s="135"/>
      <c r="AG131" s="130"/>
      <c r="AH131" s="86">
        <f t="shared" si="7"/>
        <v>0</v>
      </c>
      <c r="AI131" s="87" t="e">
        <f ca="1">IF(A131="O", (VALUE(_xludf.IFS(AH131=0,"0",AH131=1,"150",AH131=2,"300",AH131=3,"450",AH131=4,"600",AH131=5,"750",AH131&gt;=6,"800"))),(VALUE(_xludf.IFS(AH131=0,"0",AH131=1,"150",AH131=2,"300",AH131=3,"450",AH131=4,"600",AH131=5,"750",AH131=6,"900",AH131&gt;=7,"1,000"))))</f>
        <v>#NAME?</v>
      </c>
      <c r="AJ131" s="88" t="str">
        <f t="shared" si="8"/>
        <v>Cindy</v>
      </c>
      <c r="AK131" s="91"/>
    </row>
    <row r="132" spans="1:37" ht="18" customHeight="1">
      <c r="A132" s="101" t="s">
        <v>58</v>
      </c>
      <c r="B132" s="136" t="s">
        <v>142</v>
      </c>
      <c r="C132" s="124"/>
      <c r="D132" s="135"/>
      <c r="E132" s="135"/>
      <c r="F132" s="130"/>
      <c r="G132" s="135"/>
      <c r="H132" s="124"/>
      <c r="I132" s="135"/>
      <c r="J132" s="124"/>
      <c r="K132" s="135"/>
      <c r="L132" s="135"/>
      <c r="M132" s="135"/>
      <c r="N132" s="135"/>
      <c r="O132" s="124"/>
      <c r="P132" s="135"/>
      <c r="Q132" s="124"/>
      <c r="R132" s="135"/>
      <c r="S132" s="135"/>
      <c r="T132" s="135"/>
      <c r="U132" s="135"/>
      <c r="V132" s="124"/>
      <c r="W132" s="135"/>
      <c r="X132" s="124"/>
      <c r="Y132" s="135"/>
      <c r="Z132" s="135"/>
      <c r="AA132" s="135"/>
      <c r="AB132" s="135"/>
      <c r="AC132" s="124"/>
      <c r="AD132" s="135"/>
      <c r="AE132" s="124"/>
      <c r="AF132" s="135"/>
      <c r="AG132" s="130"/>
      <c r="AH132" s="86">
        <f t="shared" ref="AH132:AH163" si="9">COUNTA(C132:AG132)</f>
        <v>0</v>
      </c>
      <c r="AI132" s="87" t="e">
        <f ca="1">IF(A132="O", (VALUE(_xludf.IFS(AH132=0,"0",AH132=1,"150",AH132=2,"300",AH132=3,"450",AH132=4,"600",AH132=5,"750",AH132&gt;=6,"800"))),(VALUE(_xludf.IFS(AH132=0,"0",AH132=1,"150",AH132=2,"300",AH132=3,"450",AH132=4,"600",AH132=5,"750",AH132=6,"900",AH132&gt;=7,"1,000"))))</f>
        <v>#NAME?</v>
      </c>
      <c r="AJ132" s="88" t="str">
        <f t="shared" si="8"/>
        <v>如靜</v>
      </c>
      <c r="AK132" s="91"/>
    </row>
    <row r="133" spans="1:37" ht="18" customHeight="1">
      <c r="A133" s="101" t="s">
        <v>58</v>
      </c>
      <c r="B133" s="136" t="s">
        <v>145</v>
      </c>
      <c r="C133" s="124"/>
      <c r="D133" s="135"/>
      <c r="E133" s="135"/>
      <c r="F133" s="130"/>
      <c r="G133" s="135"/>
      <c r="H133" s="124"/>
      <c r="I133" s="135"/>
      <c r="J133" s="124"/>
      <c r="K133" s="135"/>
      <c r="L133" s="135"/>
      <c r="M133" s="135"/>
      <c r="N133" s="135"/>
      <c r="O133" s="124"/>
      <c r="P133" s="135"/>
      <c r="Q133" s="124"/>
      <c r="R133" s="135"/>
      <c r="S133" s="135"/>
      <c r="T133" s="135"/>
      <c r="U133" s="135"/>
      <c r="V133" s="124"/>
      <c r="W133" s="135"/>
      <c r="X133" s="124"/>
      <c r="Y133" s="135"/>
      <c r="Z133" s="135"/>
      <c r="AA133" s="135"/>
      <c r="AB133" s="135"/>
      <c r="AC133" s="124"/>
      <c r="AD133" s="135"/>
      <c r="AE133" s="124"/>
      <c r="AF133" s="135"/>
      <c r="AG133" s="130"/>
      <c r="AH133" s="86">
        <f t="shared" si="9"/>
        <v>0</v>
      </c>
      <c r="AI133" s="87" t="e">
        <f ca="1">IF(A133="O", (VALUE(_xludf.IFS(AH133=0,"0",AH133=1,"150",AH133=2,"300",AH133=3,"450",AH133=4,"600",AH133=5,"750",AH133&gt;=6,"800"))),(VALUE(_xludf.IFS(AH133=0,"0",AH133=1,"150",AH133=2,"300",AH133=3,"450",AH133=4,"600",AH133=5,"750",AH133=6,"900",AH133&gt;=7,"1,000"))))</f>
        <v>#NAME?</v>
      </c>
      <c r="AJ133" s="88" t="str">
        <f t="shared" si="8"/>
        <v>魯魯咪</v>
      </c>
      <c r="AK133" s="91"/>
    </row>
    <row r="134" spans="1:37" ht="18" customHeight="1">
      <c r="A134" s="120" t="s">
        <v>58</v>
      </c>
      <c r="B134" s="140" t="s">
        <v>41</v>
      </c>
      <c r="C134" s="124"/>
      <c r="D134" s="141"/>
      <c r="E134" s="141"/>
      <c r="F134" s="130"/>
      <c r="G134" s="141"/>
      <c r="H134" s="124"/>
      <c r="I134" s="141"/>
      <c r="J134" s="124"/>
      <c r="K134" s="141"/>
      <c r="L134" s="141"/>
      <c r="M134" s="141"/>
      <c r="N134" s="141"/>
      <c r="O134" s="124"/>
      <c r="P134" s="141"/>
      <c r="Q134" s="124"/>
      <c r="R134" s="141"/>
      <c r="S134" s="141"/>
      <c r="T134" s="141"/>
      <c r="U134" s="141"/>
      <c r="V134" s="124"/>
      <c r="W134" s="141"/>
      <c r="X134" s="124"/>
      <c r="Y134" s="141"/>
      <c r="Z134" s="141"/>
      <c r="AA134" s="141"/>
      <c r="AB134" s="141"/>
      <c r="AC134" s="124"/>
      <c r="AD134" s="141"/>
      <c r="AE134" s="124"/>
      <c r="AF134" s="141"/>
      <c r="AG134" s="130"/>
      <c r="AH134" s="107">
        <f t="shared" si="9"/>
        <v>0</v>
      </c>
      <c r="AI134" s="108" t="e">
        <f ca="1">IF(A134="O", (VALUE(_xludf.IFS(AH134=0,"0",AH134=1,"150",AH134=2,"300",AH134=3,"450",AH134=4,"600",AH134=5,"750",AH134&gt;=6,"800"))),(VALUE(_xludf.IFS(AH134=0,"0",AH134=1,"150",AH134=2,"300",AH134=3,"450",AH134=4,"600",AH134=5,"750",AH134=6,"900",AH134&gt;=7,"1,000"))))</f>
        <v>#NAME?</v>
      </c>
      <c r="AJ134" s="109" t="str">
        <f t="shared" si="8"/>
        <v>軟軟</v>
      </c>
      <c r="AK134" s="110"/>
    </row>
    <row r="135" spans="1:37" ht="18" customHeight="1">
      <c r="A135" s="120" t="s">
        <v>58</v>
      </c>
      <c r="B135" s="140" t="s">
        <v>42</v>
      </c>
      <c r="C135" s="124"/>
      <c r="D135" s="141"/>
      <c r="E135" s="141"/>
      <c r="F135" s="130"/>
      <c r="G135" s="141"/>
      <c r="H135" s="124"/>
      <c r="I135" s="141"/>
      <c r="J135" s="124"/>
      <c r="K135" s="141"/>
      <c r="L135" s="141"/>
      <c r="M135" s="141"/>
      <c r="N135" s="141"/>
      <c r="O135" s="124"/>
      <c r="P135" s="141"/>
      <c r="Q135" s="124"/>
      <c r="R135" s="141"/>
      <c r="S135" s="141"/>
      <c r="T135" s="141"/>
      <c r="U135" s="141"/>
      <c r="V135" s="124"/>
      <c r="W135" s="141"/>
      <c r="X135" s="124"/>
      <c r="Y135" s="141"/>
      <c r="Z135" s="141"/>
      <c r="AA135" s="141"/>
      <c r="AB135" s="141"/>
      <c r="AC135" s="124"/>
      <c r="AD135" s="141"/>
      <c r="AE135" s="124"/>
      <c r="AF135" s="141"/>
      <c r="AG135" s="130"/>
      <c r="AH135" s="107">
        <f t="shared" si="9"/>
        <v>0</v>
      </c>
      <c r="AI135" s="108" t="e">
        <f ca="1">IF(A135="O", (VALUE(_xludf.IFS(AH135=0,"0",AH135=1,"150",AH135=2,"300",AH135=3,"450",AH135=4,"600",AH135=5,"750",AH135&gt;=6,"800"))),(VALUE(_xludf.IFS(AH135=0,"0",AH135=1,"150",AH135=2,"300",AH135=3,"450",AH135=4,"600",AH135=5,"750",AH135=6,"900",AH135&gt;=7,"1,000"))))</f>
        <v>#NAME?</v>
      </c>
      <c r="AJ135" s="109" t="str">
        <f t="shared" si="8"/>
        <v>屎蛋</v>
      </c>
      <c r="AK135" s="110"/>
    </row>
  </sheetData>
  <mergeCells count="5">
    <mergeCell ref="AI1:AI3"/>
    <mergeCell ref="AJ1:AJ3"/>
    <mergeCell ref="AH1:AH3"/>
    <mergeCell ref="A1:B1"/>
    <mergeCell ref="AK1:AK2"/>
  </mergeCells>
  <phoneticPr fontId="12" type="noConversion"/>
  <conditionalFormatting sqref="B2:B4 B7:B9 B11 B13:B135">
    <cfRule type="expression" dxfId="18" priority="1">
      <formula>COUNTIF($B:$B,$B2)&gt;1</formula>
    </cfRule>
  </conditionalFormatting>
  <dataValidations count="1">
    <dataValidation type="list" allowBlank="1" showDropDown="1" showErrorMessage="1" sqref="C1:AG1" xr:uid="{00000000-0002-0000-10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A9999"/>
    <outlinePr summaryBelow="0" summaryRight="0"/>
    <pageSetUpPr fitToPage="1"/>
  </sheetPr>
  <dimension ref="A1:AJ1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 t="s">
        <v>22</v>
      </c>
      <c r="D1" s="51" t="s">
        <v>19</v>
      </c>
      <c r="E1" s="126" t="s">
        <v>219</v>
      </c>
      <c r="F1" s="51" t="s">
        <v>13</v>
      </c>
      <c r="G1" s="51" t="s">
        <v>14</v>
      </c>
      <c r="H1" s="126" t="s">
        <v>219</v>
      </c>
      <c r="I1" s="51" t="s">
        <v>14</v>
      </c>
      <c r="J1" s="51" t="s">
        <v>22</v>
      </c>
      <c r="K1" s="51" t="s">
        <v>19</v>
      </c>
      <c r="L1" s="126" t="s">
        <v>219</v>
      </c>
      <c r="M1" s="51" t="s">
        <v>13</v>
      </c>
      <c r="N1" s="126" t="s">
        <v>219</v>
      </c>
      <c r="O1" s="51" t="s">
        <v>184</v>
      </c>
      <c r="P1" s="51" t="s">
        <v>14</v>
      </c>
      <c r="Q1" s="51" t="s">
        <v>22</v>
      </c>
      <c r="R1" s="51" t="s">
        <v>19</v>
      </c>
      <c r="S1" s="126" t="s">
        <v>219</v>
      </c>
      <c r="T1" s="51" t="s">
        <v>13</v>
      </c>
      <c r="U1" s="126" t="s">
        <v>219</v>
      </c>
      <c r="V1" s="51" t="s">
        <v>184</v>
      </c>
      <c r="W1" s="51" t="s">
        <v>13</v>
      </c>
      <c r="X1" s="51" t="s">
        <v>22</v>
      </c>
      <c r="Y1" s="51" t="s">
        <v>19</v>
      </c>
      <c r="Z1" s="126" t="s">
        <v>219</v>
      </c>
      <c r="AA1" s="51" t="s">
        <v>13</v>
      </c>
      <c r="AB1" s="126" t="s">
        <v>219</v>
      </c>
      <c r="AC1" s="51" t="s">
        <v>184</v>
      </c>
      <c r="AD1" s="51" t="s">
        <v>14</v>
      </c>
      <c r="AE1" s="51" t="s">
        <v>22</v>
      </c>
      <c r="AF1" s="51" t="s">
        <v>19</v>
      </c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45536</v>
      </c>
      <c r="D2" s="55">
        <v>45537</v>
      </c>
      <c r="E2" s="127">
        <v>45538</v>
      </c>
      <c r="F2" s="55">
        <v>45539</v>
      </c>
      <c r="G2" s="55">
        <v>45540</v>
      </c>
      <c r="H2" s="127">
        <v>45541</v>
      </c>
      <c r="I2" s="55">
        <v>45542</v>
      </c>
      <c r="J2" s="55">
        <v>45543</v>
      </c>
      <c r="K2" s="55">
        <v>45544</v>
      </c>
      <c r="L2" s="127">
        <v>45545</v>
      </c>
      <c r="M2" s="55">
        <v>45546</v>
      </c>
      <c r="N2" s="127">
        <v>45547</v>
      </c>
      <c r="O2" s="55">
        <v>45548</v>
      </c>
      <c r="P2" s="55">
        <v>45549</v>
      </c>
      <c r="Q2" s="55">
        <v>45550</v>
      </c>
      <c r="R2" s="55">
        <v>45551</v>
      </c>
      <c r="S2" s="127">
        <v>45552</v>
      </c>
      <c r="T2" s="55">
        <v>45553</v>
      </c>
      <c r="U2" s="127">
        <v>45554</v>
      </c>
      <c r="V2" s="55">
        <v>45555</v>
      </c>
      <c r="W2" s="55">
        <v>45556</v>
      </c>
      <c r="X2" s="55">
        <v>45557</v>
      </c>
      <c r="Y2" s="55">
        <v>45558</v>
      </c>
      <c r="Z2" s="127">
        <v>45559</v>
      </c>
      <c r="AA2" s="55">
        <v>45560</v>
      </c>
      <c r="AB2" s="127">
        <v>45561</v>
      </c>
      <c r="AC2" s="55">
        <v>45562</v>
      </c>
      <c r="AD2" s="55">
        <v>45563</v>
      </c>
      <c r="AE2" s="55">
        <v>45564</v>
      </c>
      <c r="AF2" s="55">
        <v>45565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7</v>
      </c>
      <c r="D3" s="114">
        <f t="shared" si="0"/>
        <v>1</v>
      </c>
      <c r="E3" s="126">
        <f t="shared" si="0"/>
        <v>2</v>
      </c>
      <c r="F3" s="51">
        <f t="shared" si="0"/>
        <v>3</v>
      </c>
      <c r="G3" s="51">
        <f t="shared" si="0"/>
        <v>4</v>
      </c>
      <c r="H3" s="126">
        <f t="shared" si="0"/>
        <v>5</v>
      </c>
      <c r="I3" s="51">
        <f t="shared" si="0"/>
        <v>6</v>
      </c>
      <c r="J3" s="51">
        <f t="shared" si="0"/>
        <v>7</v>
      </c>
      <c r="K3" s="51">
        <f t="shared" si="0"/>
        <v>1</v>
      </c>
      <c r="L3" s="126">
        <f t="shared" si="0"/>
        <v>2</v>
      </c>
      <c r="M3" s="51">
        <f t="shared" si="0"/>
        <v>3</v>
      </c>
      <c r="N3" s="126">
        <f t="shared" si="0"/>
        <v>4</v>
      </c>
      <c r="O3" s="51">
        <f t="shared" si="0"/>
        <v>5</v>
      </c>
      <c r="P3" s="51">
        <f t="shared" si="0"/>
        <v>6</v>
      </c>
      <c r="Q3" s="51">
        <f t="shared" si="0"/>
        <v>7</v>
      </c>
      <c r="R3" s="51">
        <f t="shared" si="0"/>
        <v>1</v>
      </c>
      <c r="S3" s="126">
        <f t="shared" si="0"/>
        <v>2</v>
      </c>
      <c r="T3" s="51">
        <f t="shared" si="0"/>
        <v>3</v>
      </c>
      <c r="U3" s="126">
        <f t="shared" si="0"/>
        <v>4</v>
      </c>
      <c r="V3" s="51">
        <f t="shared" si="0"/>
        <v>5</v>
      </c>
      <c r="W3" s="51">
        <f t="shared" si="0"/>
        <v>6</v>
      </c>
      <c r="X3" s="51">
        <f t="shared" si="0"/>
        <v>7</v>
      </c>
      <c r="Y3" s="51">
        <f t="shared" si="0"/>
        <v>1</v>
      </c>
      <c r="Z3" s="126">
        <f t="shared" si="0"/>
        <v>2</v>
      </c>
      <c r="AA3" s="51">
        <f t="shared" si="0"/>
        <v>3</v>
      </c>
      <c r="AB3" s="126">
        <f t="shared" si="0"/>
        <v>4</v>
      </c>
      <c r="AC3" s="51">
        <f t="shared" si="0"/>
        <v>5</v>
      </c>
      <c r="AD3" s="51">
        <f t="shared" si="0"/>
        <v>6</v>
      </c>
      <c r="AE3" s="51">
        <f t="shared" si="0"/>
        <v>7</v>
      </c>
      <c r="AF3" s="51">
        <f t="shared" si="0"/>
        <v>1</v>
      </c>
      <c r="AG3" s="283"/>
      <c r="AH3" s="278"/>
      <c r="AI3" s="273"/>
      <c r="AJ3" s="62" t="e">
        <f ca="1">SUM(AH4:AH137)</f>
        <v>#NAME?</v>
      </c>
    </row>
    <row r="4" spans="1:36" ht="18" customHeight="1">
      <c r="A4" s="92" t="s">
        <v>174</v>
      </c>
      <c r="B4" s="93" t="s">
        <v>10</v>
      </c>
      <c r="C4" s="92"/>
      <c r="D4" s="116">
        <v>1</v>
      </c>
      <c r="E4" s="146"/>
      <c r="F4" s="92">
        <v>1</v>
      </c>
      <c r="G4" s="92">
        <v>1</v>
      </c>
      <c r="H4" s="146"/>
      <c r="I4" s="92">
        <v>1</v>
      </c>
      <c r="J4" s="92"/>
      <c r="K4" s="92">
        <v>1</v>
      </c>
      <c r="L4" s="146"/>
      <c r="M4" s="92">
        <v>1</v>
      </c>
      <c r="N4" s="146"/>
      <c r="O4" s="92">
        <v>1</v>
      </c>
      <c r="P4" s="92">
        <v>1</v>
      </c>
      <c r="Q4" s="92"/>
      <c r="R4" s="92">
        <v>1</v>
      </c>
      <c r="S4" s="146"/>
      <c r="T4" s="92"/>
      <c r="U4" s="146"/>
      <c r="V4" s="92">
        <v>1</v>
      </c>
      <c r="W4" s="92">
        <v>1</v>
      </c>
      <c r="X4" s="92"/>
      <c r="Y4" s="92"/>
      <c r="Z4" s="146"/>
      <c r="AA4" s="92">
        <v>1</v>
      </c>
      <c r="AB4" s="146"/>
      <c r="AC4" s="92">
        <v>1</v>
      </c>
      <c r="AD4" s="92"/>
      <c r="AE4" s="92"/>
      <c r="AF4" s="92"/>
      <c r="AG4" s="66">
        <f t="shared" ref="AG4:AG35" si="1">COUNTA(C4:AD4)</f>
        <v>13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2">B4</f>
        <v>阿發</v>
      </c>
      <c r="AJ4" s="70"/>
    </row>
    <row r="5" spans="1:36" ht="18" customHeight="1">
      <c r="A5" s="95" t="s">
        <v>174</v>
      </c>
      <c r="B5" s="122" t="s">
        <v>11</v>
      </c>
      <c r="C5" s="95"/>
      <c r="D5" s="116">
        <v>1</v>
      </c>
      <c r="E5" s="148"/>
      <c r="F5" s="95">
        <v>1</v>
      </c>
      <c r="G5" s="95"/>
      <c r="H5" s="148"/>
      <c r="I5" s="95"/>
      <c r="J5" s="95"/>
      <c r="K5" s="95">
        <v>1</v>
      </c>
      <c r="L5" s="148"/>
      <c r="M5" s="95">
        <v>1</v>
      </c>
      <c r="N5" s="148"/>
      <c r="O5" s="95">
        <v>1</v>
      </c>
      <c r="P5" s="95"/>
      <c r="Q5" s="95"/>
      <c r="R5" s="95"/>
      <c r="S5" s="148"/>
      <c r="T5" s="95">
        <v>1</v>
      </c>
      <c r="U5" s="148"/>
      <c r="V5" s="95">
        <v>1</v>
      </c>
      <c r="W5" s="95">
        <v>1</v>
      </c>
      <c r="X5" s="95"/>
      <c r="Y5" s="95"/>
      <c r="Z5" s="148"/>
      <c r="AA5" s="95">
        <v>1</v>
      </c>
      <c r="AB5" s="148"/>
      <c r="AC5" s="95">
        <v>1</v>
      </c>
      <c r="AD5" s="95"/>
      <c r="AE5" s="95">
        <v>1</v>
      </c>
      <c r="AF5" s="95"/>
      <c r="AG5" s="66">
        <f t="shared" si="1"/>
        <v>10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2"/>
        <v>捷升</v>
      </c>
      <c r="AJ5" s="70"/>
    </row>
    <row r="6" spans="1:36" ht="18" customHeight="1">
      <c r="A6" s="95" t="s">
        <v>174</v>
      </c>
      <c r="B6" s="122" t="s">
        <v>14</v>
      </c>
      <c r="C6" s="95">
        <v>1</v>
      </c>
      <c r="D6" s="116">
        <v>1</v>
      </c>
      <c r="E6" s="148"/>
      <c r="F6" s="95">
        <v>1</v>
      </c>
      <c r="G6" s="95">
        <v>1</v>
      </c>
      <c r="H6" s="148"/>
      <c r="I6" s="95">
        <v>1</v>
      </c>
      <c r="J6" s="95">
        <v>1</v>
      </c>
      <c r="K6" s="95">
        <v>1</v>
      </c>
      <c r="L6" s="148"/>
      <c r="M6" s="95">
        <v>1</v>
      </c>
      <c r="N6" s="148"/>
      <c r="O6" s="95">
        <v>1</v>
      </c>
      <c r="P6" s="95">
        <v>1</v>
      </c>
      <c r="Q6" s="95"/>
      <c r="R6" s="95">
        <v>1</v>
      </c>
      <c r="S6" s="148"/>
      <c r="T6" s="95">
        <v>1</v>
      </c>
      <c r="U6" s="148"/>
      <c r="V6" s="95"/>
      <c r="W6" s="95"/>
      <c r="X6" s="95"/>
      <c r="Y6" s="95">
        <v>1</v>
      </c>
      <c r="Z6" s="148"/>
      <c r="AA6" s="95">
        <v>1</v>
      </c>
      <c r="AB6" s="148"/>
      <c r="AC6" s="95">
        <v>1</v>
      </c>
      <c r="AD6" s="95">
        <v>1</v>
      </c>
      <c r="AE6" s="95"/>
      <c r="AF6" s="95">
        <v>1</v>
      </c>
      <c r="AG6" s="66">
        <f t="shared" si="1"/>
        <v>16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95"/>
      <c r="D7" s="116">
        <v>1</v>
      </c>
      <c r="E7" s="148"/>
      <c r="F7" s="95">
        <v>1</v>
      </c>
      <c r="G7" s="95">
        <v>1</v>
      </c>
      <c r="H7" s="148"/>
      <c r="I7" s="95"/>
      <c r="J7" s="95"/>
      <c r="K7" s="95">
        <v>1</v>
      </c>
      <c r="L7" s="148"/>
      <c r="M7" s="95"/>
      <c r="N7" s="148"/>
      <c r="O7" s="95">
        <v>1</v>
      </c>
      <c r="P7" s="95"/>
      <c r="Q7" s="95"/>
      <c r="R7" s="95">
        <v>1</v>
      </c>
      <c r="S7" s="148"/>
      <c r="T7" s="95"/>
      <c r="U7" s="148"/>
      <c r="V7" s="95">
        <v>1</v>
      </c>
      <c r="W7" s="95">
        <v>1</v>
      </c>
      <c r="X7" s="95"/>
      <c r="Y7" s="95">
        <v>1</v>
      </c>
      <c r="Z7" s="148"/>
      <c r="AA7" s="95">
        <v>1</v>
      </c>
      <c r="AB7" s="148"/>
      <c r="AC7" s="95">
        <v>1</v>
      </c>
      <c r="AD7" s="95">
        <v>1</v>
      </c>
      <c r="AE7" s="95"/>
      <c r="AF7" s="95">
        <v>1</v>
      </c>
      <c r="AG7" s="66">
        <f t="shared" si="1"/>
        <v>12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95"/>
      <c r="D8" s="116">
        <v>1</v>
      </c>
      <c r="E8" s="148"/>
      <c r="F8" s="95">
        <v>1</v>
      </c>
      <c r="G8" s="95">
        <v>1</v>
      </c>
      <c r="H8" s="148"/>
      <c r="I8" s="95">
        <v>1</v>
      </c>
      <c r="J8" s="95">
        <v>1</v>
      </c>
      <c r="K8" s="95">
        <v>1</v>
      </c>
      <c r="L8" s="148"/>
      <c r="M8" s="95">
        <v>1</v>
      </c>
      <c r="N8" s="148"/>
      <c r="O8" s="95">
        <v>1</v>
      </c>
      <c r="P8" s="95">
        <v>1</v>
      </c>
      <c r="Q8" s="95"/>
      <c r="R8" s="95"/>
      <c r="S8" s="148"/>
      <c r="T8" s="95">
        <v>1</v>
      </c>
      <c r="U8" s="148"/>
      <c r="V8" s="95">
        <v>1</v>
      </c>
      <c r="W8" s="95">
        <v>1</v>
      </c>
      <c r="X8" s="95"/>
      <c r="Y8" s="95">
        <v>1</v>
      </c>
      <c r="Z8" s="148"/>
      <c r="AA8" s="95">
        <v>1</v>
      </c>
      <c r="AB8" s="148"/>
      <c r="AC8" s="95">
        <v>1</v>
      </c>
      <c r="AD8" s="95">
        <v>1</v>
      </c>
      <c r="AE8" s="95"/>
      <c r="AF8" s="95">
        <v>1</v>
      </c>
      <c r="AG8" s="66">
        <f t="shared" si="1"/>
        <v>16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95"/>
      <c r="D9" s="116">
        <v>1</v>
      </c>
      <c r="E9" s="148"/>
      <c r="F9" s="95">
        <v>1</v>
      </c>
      <c r="G9" s="95"/>
      <c r="H9" s="148"/>
      <c r="I9" s="95"/>
      <c r="J9" s="95"/>
      <c r="K9" s="95"/>
      <c r="L9" s="148"/>
      <c r="M9" s="95">
        <v>1</v>
      </c>
      <c r="N9" s="148"/>
      <c r="O9" s="95"/>
      <c r="P9" s="95"/>
      <c r="Q9" s="95"/>
      <c r="R9" s="95">
        <v>1</v>
      </c>
      <c r="S9" s="148"/>
      <c r="T9" s="95"/>
      <c r="U9" s="148"/>
      <c r="V9" s="95"/>
      <c r="W9" s="95">
        <v>1</v>
      </c>
      <c r="X9" s="95"/>
      <c r="Y9" s="95"/>
      <c r="Z9" s="148"/>
      <c r="AA9" s="95"/>
      <c r="AB9" s="148"/>
      <c r="AC9" s="95"/>
      <c r="AD9" s="95"/>
      <c r="AE9" s="95">
        <v>1</v>
      </c>
      <c r="AF9" s="95">
        <v>1</v>
      </c>
      <c r="AG9" s="66">
        <f t="shared" si="1"/>
        <v>5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122" t="s">
        <v>13</v>
      </c>
      <c r="C10" s="95"/>
      <c r="D10" s="116">
        <v>1</v>
      </c>
      <c r="E10" s="148"/>
      <c r="F10" s="95">
        <v>1</v>
      </c>
      <c r="G10" s="95">
        <v>1</v>
      </c>
      <c r="H10" s="148"/>
      <c r="I10" s="95">
        <v>1</v>
      </c>
      <c r="J10" s="95">
        <v>1</v>
      </c>
      <c r="K10" s="95">
        <v>1</v>
      </c>
      <c r="L10" s="148"/>
      <c r="M10" s="95">
        <v>1</v>
      </c>
      <c r="N10" s="148"/>
      <c r="O10" s="95">
        <v>1</v>
      </c>
      <c r="P10" s="95">
        <v>1</v>
      </c>
      <c r="Q10" s="95"/>
      <c r="R10" s="95">
        <v>1</v>
      </c>
      <c r="S10" s="148"/>
      <c r="T10" s="95">
        <v>1</v>
      </c>
      <c r="U10" s="148"/>
      <c r="V10" s="95">
        <v>1</v>
      </c>
      <c r="W10" s="95">
        <v>1</v>
      </c>
      <c r="X10" s="95"/>
      <c r="Y10" s="95">
        <v>1</v>
      </c>
      <c r="Z10" s="148"/>
      <c r="AA10" s="95">
        <v>1</v>
      </c>
      <c r="AB10" s="148"/>
      <c r="AC10" s="95">
        <v>1</v>
      </c>
      <c r="AD10" s="95"/>
      <c r="AE10" s="95"/>
      <c r="AF10" s="95"/>
      <c r="AG10" s="66">
        <f t="shared" si="1"/>
        <v>16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2"/>
        <v>李洋</v>
      </c>
      <c r="AJ10" s="70"/>
    </row>
    <row r="11" spans="1:36" ht="18" customHeight="1">
      <c r="A11" s="95" t="s">
        <v>174</v>
      </c>
      <c r="B11" s="96" t="s">
        <v>18</v>
      </c>
      <c r="C11" s="95"/>
      <c r="D11" s="116">
        <v>1</v>
      </c>
      <c r="E11" s="148"/>
      <c r="F11" s="95"/>
      <c r="G11" s="95">
        <v>1</v>
      </c>
      <c r="H11" s="148"/>
      <c r="I11" s="95"/>
      <c r="J11" s="95"/>
      <c r="K11" s="95">
        <v>1</v>
      </c>
      <c r="L11" s="148"/>
      <c r="M11" s="95">
        <v>1</v>
      </c>
      <c r="N11" s="148"/>
      <c r="O11" s="95"/>
      <c r="P11" s="95"/>
      <c r="Q11" s="95"/>
      <c r="R11" s="95"/>
      <c r="S11" s="148"/>
      <c r="T11" s="95">
        <v>1</v>
      </c>
      <c r="U11" s="148"/>
      <c r="V11" s="95">
        <v>1</v>
      </c>
      <c r="W11" s="95"/>
      <c r="X11" s="95">
        <v>1</v>
      </c>
      <c r="Y11" s="95">
        <v>1</v>
      </c>
      <c r="Z11" s="148"/>
      <c r="AA11" s="95">
        <v>1</v>
      </c>
      <c r="AB11" s="148"/>
      <c r="AC11" s="95">
        <v>1</v>
      </c>
      <c r="AD11" s="95">
        <v>1</v>
      </c>
      <c r="AE11" s="95"/>
      <c r="AF11" s="95">
        <v>1</v>
      </c>
      <c r="AG11" s="66">
        <f t="shared" si="1"/>
        <v>11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122" t="s">
        <v>19</v>
      </c>
      <c r="C12" s="95">
        <v>1</v>
      </c>
      <c r="D12" s="116">
        <v>1</v>
      </c>
      <c r="E12" s="148"/>
      <c r="F12" s="95">
        <v>1</v>
      </c>
      <c r="G12" s="95">
        <v>1</v>
      </c>
      <c r="H12" s="148"/>
      <c r="I12" s="95">
        <v>1</v>
      </c>
      <c r="J12" s="95">
        <v>1</v>
      </c>
      <c r="K12" s="95">
        <v>1</v>
      </c>
      <c r="L12" s="148"/>
      <c r="M12" s="95">
        <v>1</v>
      </c>
      <c r="N12" s="148"/>
      <c r="O12" s="95">
        <v>1</v>
      </c>
      <c r="P12" s="95"/>
      <c r="Q12" s="95"/>
      <c r="R12" s="95">
        <v>1</v>
      </c>
      <c r="S12" s="148"/>
      <c r="T12" s="95">
        <v>1</v>
      </c>
      <c r="U12" s="148"/>
      <c r="V12" s="95">
        <v>1</v>
      </c>
      <c r="W12" s="95">
        <v>1</v>
      </c>
      <c r="X12" s="95"/>
      <c r="Y12" s="95">
        <v>1</v>
      </c>
      <c r="Z12" s="148"/>
      <c r="AA12" s="95">
        <v>1</v>
      </c>
      <c r="AB12" s="148"/>
      <c r="AC12" s="95">
        <v>1</v>
      </c>
      <c r="AD12" s="95"/>
      <c r="AE12" s="95">
        <v>1</v>
      </c>
      <c r="AF12" s="95">
        <v>1</v>
      </c>
      <c r="AG12" s="66">
        <f t="shared" si="1"/>
        <v>16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95"/>
      <c r="D13" s="116"/>
      <c r="E13" s="148"/>
      <c r="F13" s="95"/>
      <c r="G13" s="95"/>
      <c r="H13" s="148"/>
      <c r="I13" s="95"/>
      <c r="J13" s="95"/>
      <c r="K13" s="95">
        <v>1</v>
      </c>
      <c r="L13" s="148"/>
      <c r="M13" s="95">
        <v>1</v>
      </c>
      <c r="N13" s="148"/>
      <c r="O13" s="95">
        <v>1</v>
      </c>
      <c r="P13" s="95"/>
      <c r="Q13" s="95"/>
      <c r="R13" s="95"/>
      <c r="S13" s="148"/>
      <c r="T13" s="95">
        <v>1</v>
      </c>
      <c r="U13" s="148"/>
      <c r="V13" s="95">
        <v>1</v>
      </c>
      <c r="W13" s="95"/>
      <c r="X13" s="95"/>
      <c r="Y13" s="95">
        <v>1</v>
      </c>
      <c r="Z13" s="148"/>
      <c r="AA13" s="95">
        <v>1</v>
      </c>
      <c r="AB13" s="148"/>
      <c r="AC13" s="95"/>
      <c r="AD13" s="95"/>
      <c r="AE13" s="95"/>
      <c r="AF13" s="95"/>
      <c r="AG13" s="66">
        <f t="shared" si="1"/>
        <v>7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95"/>
      <c r="D14" s="116">
        <v>1</v>
      </c>
      <c r="E14" s="148"/>
      <c r="F14" s="95"/>
      <c r="G14" s="95"/>
      <c r="H14" s="148"/>
      <c r="I14" s="95"/>
      <c r="J14" s="95"/>
      <c r="K14" s="95"/>
      <c r="L14" s="148"/>
      <c r="M14" s="95"/>
      <c r="N14" s="148"/>
      <c r="O14" s="95"/>
      <c r="P14" s="95"/>
      <c r="Q14" s="95"/>
      <c r="R14" s="95"/>
      <c r="S14" s="148"/>
      <c r="T14" s="95"/>
      <c r="U14" s="148"/>
      <c r="V14" s="95"/>
      <c r="W14" s="95"/>
      <c r="X14" s="95"/>
      <c r="Y14" s="95"/>
      <c r="Z14" s="148"/>
      <c r="AA14" s="95"/>
      <c r="AB14" s="148"/>
      <c r="AC14" s="95">
        <v>1</v>
      </c>
      <c r="AD14" s="95"/>
      <c r="AE14" s="95"/>
      <c r="AF14" s="95"/>
      <c r="AG14" s="66">
        <f t="shared" si="1"/>
        <v>2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95"/>
      <c r="D15" s="116">
        <v>1</v>
      </c>
      <c r="E15" s="148"/>
      <c r="F15" s="95">
        <v>1</v>
      </c>
      <c r="G15" s="95">
        <v>1</v>
      </c>
      <c r="H15" s="148"/>
      <c r="I15" s="95"/>
      <c r="J15" s="95"/>
      <c r="K15" s="95">
        <v>1</v>
      </c>
      <c r="L15" s="148"/>
      <c r="M15" s="95"/>
      <c r="N15" s="148"/>
      <c r="O15" s="95">
        <v>1</v>
      </c>
      <c r="P15" s="95">
        <v>1</v>
      </c>
      <c r="Q15" s="95"/>
      <c r="R15" s="95">
        <v>1</v>
      </c>
      <c r="S15" s="148"/>
      <c r="T15" s="95"/>
      <c r="U15" s="148"/>
      <c r="V15" s="95">
        <v>1</v>
      </c>
      <c r="W15" s="95">
        <v>1</v>
      </c>
      <c r="X15" s="95"/>
      <c r="Y15" s="95">
        <v>1</v>
      </c>
      <c r="Z15" s="148"/>
      <c r="AA15" s="95"/>
      <c r="AB15" s="148"/>
      <c r="AC15" s="95"/>
      <c r="AD15" s="95">
        <v>1</v>
      </c>
      <c r="AE15" s="95"/>
      <c r="AF15" s="95">
        <v>1</v>
      </c>
      <c r="AG15" s="66">
        <f t="shared" si="1"/>
        <v>11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0"/>
    </row>
    <row r="16" spans="1:36" ht="18" customHeight="1">
      <c r="A16" s="95" t="s">
        <v>174</v>
      </c>
      <c r="B16" s="96" t="s">
        <v>21</v>
      </c>
      <c r="C16" s="95"/>
      <c r="D16" s="116"/>
      <c r="E16" s="148"/>
      <c r="F16" s="95"/>
      <c r="G16" s="95"/>
      <c r="H16" s="148"/>
      <c r="I16" s="95"/>
      <c r="J16" s="95"/>
      <c r="K16" s="95"/>
      <c r="L16" s="148"/>
      <c r="M16" s="95"/>
      <c r="N16" s="148"/>
      <c r="O16" s="95"/>
      <c r="P16" s="95"/>
      <c r="Q16" s="95"/>
      <c r="R16" s="95"/>
      <c r="S16" s="148"/>
      <c r="T16" s="95"/>
      <c r="U16" s="148"/>
      <c r="V16" s="95"/>
      <c r="W16" s="95"/>
      <c r="X16" s="95"/>
      <c r="Y16" s="95"/>
      <c r="Z16" s="148"/>
      <c r="AA16" s="95"/>
      <c r="AB16" s="148"/>
      <c r="AC16" s="95"/>
      <c r="AD16" s="95"/>
      <c r="AE16" s="95"/>
      <c r="AF16" s="95"/>
      <c r="AG16" s="66">
        <f t="shared" si="1"/>
        <v>0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95">
        <v>1</v>
      </c>
      <c r="D17" s="116">
        <v>1</v>
      </c>
      <c r="E17" s="148"/>
      <c r="F17" s="95">
        <v>1</v>
      </c>
      <c r="G17" s="95">
        <v>1</v>
      </c>
      <c r="H17" s="148"/>
      <c r="I17" s="95"/>
      <c r="J17" s="95">
        <v>1</v>
      </c>
      <c r="K17" s="95">
        <v>1</v>
      </c>
      <c r="L17" s="148"/>
      <c r="M17" s="95">
        <v>1</v>
      </c>
      <c r="N17" s="148"/>
      <c r="O17" s="95">
        <v>1</v>
      </c>
      <c r="P17" s="95">
        <v>1</v>
      </c>
      <c r="Q17" s="95">
        <v>1</v>
      </c>
      <c r="R17" s="95">
        <v>1</v>
      </c>
      <c r="S17" s="148"/>
      <c r="T17" s="95">
        <v>1</v>
      </c>
      <c r="U17" s="148"/>
      <c r="V17" s="95">
        <v>1</v>
      </c>
      <c r="W17" s="95">
        <v>1</v>
      </c>
      <c r="X17" s="95">
        <v>1</v>
      </c>
      <c r="Y17" s="95">
        <v>1</v>
      </c>
      <c r="Z17" s="148"/>
      <c r="AA17" s="95">
        <v>1</v>
      </c>
      <c r="AB17" s="148"/>
      <c r="AC17" s="95">
        <v>1</v>
      </c>
      <c r="AD17" s="95"/>
      <c r="AE17" s="95">
        <v>1</v>
      </c>
      <c r="AF17" s="95">
        <v>1</v>
      </c>
      <c r="AG17" s="66">
        <f t="shared" si="1"/>
        <v>18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99"/>
      <c r="D18" s="132">
        <v>1</v>
      </c>
      <c r="E18" s="148"/>
      <c r="F18" s="99">
        <v>1</v>
      </c>
      <c r="G18" s="99">
        <v>1</v>
      </c>
      <c r="H18" s="148"/>
      <c r="I18" s="99"/>
      <c r="J18" s="99"/>
      <c r="K18" s="99">
        <v>1</v>
      </c>
      <c r="L18" s="148"/>
      <c r="M18" s="99"/>
      <c r="N18" s="148"/>
      <c r="O18" s="99"/>
      <c r="P18" s="99">
        <v>1</v>
      </c>
      <c r="Q18" s="99"/>
      <c r="R18" s="99">
        <v>1</v>
      </c>
      <c r="S18" s="148"/>
      <c r="T18" s="99">
        <v>1</v>
      </c>
      <c r="U18" s="148"/>
      <c r="V18" s="99">
        <v>1</v>
      </c>
      <c r="W18" s="99">
        <v>1</v>
      </c>
      <c r="X18" s="99"/>
      <c r="Y18" s="99">
        <v>1</v>
      </c>
      <c r="Z18" s="148"/>
      <c r="AA18" s="99"/>
      <c r="AB18" s="148"/>
      <c r="AC18" s="99">
        <v>1</v>
      </c>
      <c r="AD18" s="99">
        <v>1</v>
      </c>
      <c r="AE18" s="99"/>
      <c r="AF18" s="99">
        <v>1</v>
      </c>
      <c r="AG18" s="77">
        <f t="shared" si="1"/>
        <v>12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99">
        <v>1</v>
      </c>
      <c r="D19" s="132">
        <v>1</v>
      </c>
      <c r="E19" s="148"/>
      <c r="F19" s="99">
        <v>1</v>
      </c>
      <c r="G19" s="99">
        <v>1</v>
      </c>
      <c r="H19" s="148"/>
      <c r="I19" s="99">
        <v>1</v>
      </c>
      <c r="J19" s="99">
        <v>1</v>
      </c>
      <c r="K19" s="99">
        <v>1</v>
      </c>
      <c r="L19" s="148"/>
      <c r="M19" s="99">
        <v>1</v>
      </c>
      <c r="N19" s="148"/>
      <c r="O19" s="99">
        <v>1</v>
      </c>
      <c r="P19" s="99">
        <v>1</v>
      </c>
      <c r="Q19" s="99"/>
      <c r="R19" s="99"/>
      <c r="S19" s="148"/>
      <c r="T19" s="99">
        <v>1</v>
      </c>
      <c r="U19" s="148"/>
      <c r="V19" s="99"/>
      <c r="W19" s="99"/>
      <c r="X19" s="99"/>
      <c r="Y19" s="99">
        <v>1</v>
      </c>
      <c r="Z19" s="148"/>
      <c r="AA19" s="99">
        <v>1</v>
      </c>
      <c r="AB19" s="148"/>
      <c r="AC19" s="99"/>
      <c r="AD19" s="99"/>
      <c r="AE19" s="99"/>
      <c r="AF19" s="99"/>
      <c r="AG19" s="77">
        <f t="shared" si="1"/>
        <v>13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174</v>
      </c>
      <c r="B20" s="100" t="s">
        <v>91</v>
      </c>
      <c r="C20" s="99"/>
      <c r="D20" s="132"/>
      <c r="E20" s="148"/>
      <c r="F20" s="99"/>
      <c r="G20" s="99"/>
      <c r="H20" s="148"/>
      <c r="I20" s="99"/>
      <c r="J20" s="99"/>
      <c r="K20" s="99"/>
      <c r="L20" s="148"/>
      <c r="M20" s="99"/>
      <c r="N20" s="148"/>
      <c r="O20" s="99"/>
      <c r="P20" s="99"/>
      <c r="Q20" s="99"/>
      <c r="R20" s="99"/>
      <c r="S20" s="148"/>
      <c r="T20" s="99"/>
      <c r="U20" s="148"/>
      <c r="V20" s="99"/>
      <c r="W20" s="99"/>
      <c r="X20" s="99"/>
      <c r="Y20" s="99"/>
      <c r="Z20" s="148"/>
      <c r="AA20" s="99"/>
      <c r="AB20" s="148"/>
      <c r="AC20" s="99"/>
      <c r="AD20" s="99"/>
      <c r="AE20" s="99"/>
      <c r="AF20" s="99"/>
      <c r="AG20" s="77">
        <f t="shared" si="1"/>
        <v>0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柔柔</v>
      </c>
      <c r="AJ20" s="80"/>
    </row>
    <row r="21" spans="1:36" ht="18" customHeight="1">
      <c r="A21" s="99" t="s">
        <v>174</v>
      </c>
      <c r="B21" s="100" t="s">
        <v>92</v>
      </c>
      <c r="C21" s="99">
        <v>1</v>
      </c>
      <c r="D21" s="132">
        <v>1</v>
      </c>
      <c r="E21" s="148"/>
      <c r="F21" s="99">
        <v>1</v>
      </c>
      <c r="G21" s="99">
        <v>1</v>
      </c>
      <c r="H21" s="148"/>
      <c r="I21" s="99">
        <v>1</v>
      </c>
      <c r="J21" s="99">
        <v>1</v>
      </c>
      <c r="K21" s="99">
        <v>1</v>
      </c>
      <c r="L21" s="148"/>
      <c r="M21" s="99">
        <v>1</v>
      </c>
      <c r="N21" s="148"/>
      <c r="O21" s="99">
        <v>1</v>
      </c>
      <c r="P21" s="99">
        <v>1</v>
      </c>
      <c r="Q21" s="99"/>
      <c r="R21" s="99"/>
      <c r="S21" s="148"/>
      <c r="T21" s="99">
        <v>1</v>
      </c>
      <c r="U21" s="148"/>
      <c r="V21" s="99"/>
      <c r="W21" s="99"/>
      <c r="X21" s="99"/>
      <c r="Y21" s="99">
        <v>1</v>
      </c>
      <c r="Z21" s="148"/>
      <c r="AA21" s="99">
        <v>1</v>
      </c>
      <c r="AB21" s="148"/>
      <c r="AC21" s="99"/>
      <c r="AD21" s="99"/>
      <c r="AE21" s="99"/>
      <c r="AF21" s="99"/>
      <c r="AG21" s="77">
        <f t="shared" si="1"/>
        <v>13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婉晴</v>
      </c>
      <c r="AJ21" s="80"/>
    </row>
    <row r="22" spans="1:36" ht="18" customHeight="1">
      <c r="A22" s="99" t="s">
        <v>174</v>
      </c>
      <c r="B22" s="100" t="s">
        <v>93</v>
      </c>
      <c r="C22" s="99"/>
      <c r="D22" s="132">
        <v>1</v>
      </c>
      <c r="E22" s="148"/>
      <c r="F22" s="99">
        <v>1</v>
      </c>
      <c r="G22" s="99"/>
      <c r="H22" s="148"/>
      <c r="I22" s="99"/>
      <c r="J22" s="99"/>
      <c r="K22" s="99">
        <v>1</v>
      </c>
      <c r="L22" s="148"/>
      <c r="M22" s="99">
        <v>1</v>
      </c>
      <c r="N22" s="148"/>
      <c r="O22" s="99">
        <v>1</v>
      </c>
      <c r="P22" s="99"/>
      <c r="Q22" s="99"/>
      <c r="R22" s="99">
        <v>1</v>
      </c>
      <c r="S22" s="148"/>
      <c r="T22" s="99">
        <v>1</v>
      </c>
      <c r="U22" s="148"/>
      <c r="V22" s="99">
        <v>1</v>
      </c>
      <c r="W22" s="99"/>
      <c r="X22" s="99"/>
      <c r="Y22" s="99">
        <v>1</v>
      </c>
      <c r="Z22" s="148"/>
      <c r="AA22" s="99"/>
      <c r="AB22" s="148"/>
      <c r="AC22" s="99"/>
      <c r="AD22" s="99"/>
      <c r="AE22" s="99"/>
      <c r="AF22" s="99"/>
      <c r="AG22" s="77">
        <f t="shared" si="1"/>
        <v>9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132"/>
      <c r="E23" s="148"/>
      <c r="F23" s="99"/>
      <c r="G23" s="99"/>
      <c r="H23" s="148"/>
      <c r="I23" s="99"/>
      <c r="J23" s="99"/>
      <c r="K23" s="99"/>
      <c r="L23" s="148"/>
      <c r="M23" s="99"/>
      <c r="N23" s="148"/>
      <c r="O23" s="99"/>
      <c r="P23" s="99"/>
      <c r="Q23" s="99"/>
      <c r="R23" s="99"/>
      <c r="S23" s="148"/>
      <c r="T23" s="99"/>
      <c r="U23" s="148"/>
      <c r="V23" s="99"/>
      <c r="W23" s="99"/>
      <c r="X23" s="99"/>
      <c r="Y23" s="99"/>
      <c r="Z23" s="148"/>
      <c r="AA23" s="99"/>
      <c r="AB23" s="148"/>
      <c r="AC23" s="99"/>
      <c r="AD23" s="99"/>
      <c r="AE23" s="99"/>
      <c r="AF23" s="99"/>
      <c r="AG23" s="77">
        <f t="shared" si="1"/>
        <v>0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132"/>
      <c r="E24" s="148"/>
      <c r="F24" s="99"/>
      <c r="G24" s="99"/>
      <c r="H24" s="148"/>
      <c r="I24" s="99"/>
      <c r="J24" s="99"/>
      <c r="K24" s="99"/>
      <c r="L24" s="148"/>
      <c r="M24" s="99"/>
      <c r="N24" s="148"/>
      <c r="O24" s="99"/>
      <c r="P24" s="99"/>
      <c r="Q24" s="99"/>
      <c r="R24" s="99"/>
      <c r="S24" s="148"/>
      <c r="T24" s="99">
        <v>1</v>
      </c>
      <c r="U24" s="148"/>
      <c r="V24" s="99"/>
      <c r="W24" s="99"/>
      <c r="X24" s="99"/>
      <c r="Y24" s="99"/>
      <c r="Z24" s="148"/>
      <c r="AA24" s="99"/>
      <c r="AB24" s="148"/>
      <c r="AC24" s="99"/>
      <c r="AD24" s="99"/>
      <c r="AE24" s="99"/>
      <c r="AF24" s="99"/>
      <c r="AG24" s="77">
        <f t="shared" si="1"/>
        <v>1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高麗菜</v>
      </c>
      <c r="AJ24" s="80"/>
    </row>
    <row r="25" spans="1:36" ht="18" customHeight="1">
      <c r="A25" s="99" t="s">
        <v>174</v>
      </c>
      <c r="B25" s="100" t="s">
        <v>113</v>
      </c>
      <c r="C25" s="99"/>
      <c r="D25" s="132"/>
      <c r="E25" s="148"/>
      <c r="F25" s="99"/>
      <c r="G25" s="99"/>
      <c r="H25" s="148"/>
      <c r="I25" s="99"/>
      <c r="J25" s="99"/>
      <c r="K25" s="99"/>
      <c r="L25" s="148"/>
      <c r="M25" s="99"/>
      <c r="N25" s="148"/>
      <c r="O25" s="99"/>
      <c r="P25" s="99"/>
      <c r="Q25" s="99"/>
      <c r="R25" s="99"/>
      <c r="S25" s="148"/>
      <c r="T25" s="99"/>
      <c r="U25" s="148"/>
      <c r="V25" s="99"/>
      <c r="W25" s="99"/>
      <c r="X25" s="99"/>
      <c r="Y25" s="99"/>
      <c r="Z25" s="148"/>
      <c r="AA25" s="99">
        <v>1</v>
      </c>
      <c r="AB25" s="148"/>
      <c r="AC25" s="99">
        <v>1</v>
      </c>
      <c r="AD25" s="99"/>
      <c r="AE25" s="99"/>
      <c r="AF25" s="99"/>
      <c r="AG25" s="77">
        <f t="shared" si="1"/>
        <v>2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容容</v>
      </c>
      <c r="AJ25" s="82"/>
    </row>
    <row r="26" spans="1:36" ht="18" customHeight="1">
      <c r="A26" s="99" t="s">
        <v>174</v>
      </c>
      <c r="B26" s="100" t="s">
        <v>94</v>
      </c>
      <c r="C26" s="99"/>
      <c r="D26" s="132"/>
      <c r="E26" s="148"/>
      <c r="F26" s="99"/>
      <c r="G26" s="99"/>
      <c r="H26" s="148"/>
      <c r="I26" s="99"/>
      <c r="J26" s="99"/>
      <c r="K26" s="99"/>
      <c r="L26" s="148"/>
      <c r="M26" s="99"/>
      <c r="N26" s="148"/>
      <c r="O26" s="99"/>
      <c r="P26" s="99"/>
      <c r="Q26" s="99">
        <v>1</v>
      </c>
      <c r="R26" s="99"/>
      <c r="S26" s="148"/>
      <c r="T26" s="99"/>
      <c r="U26" s="148"/>
      <c r="V26" s="99"/>
      <c r="W26" s="99"/>
      <c r="X26" s="99"/>
      <c r="Y26" s="99"/>
      <c r="Z26" s="148"/>
      <c r="AA26" s="99">
        <v>1</v>
      </c>
      <c r="AB26" s="148"/>
      <c r="AC26" s="99">
        <v>1</v>
      </c>
      <c r="AD26" s="99"/>
      <c r="AE26" s="99"/>
      <c r="AF26" s="99">
        <v>1</v>
      </c>
      <c r="AG26" s="77">
        <f t="shared" si="1"/>
        <v>3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小花</v>
      </c>
      <c r="AJ26" s="80"/>
    </row>
    <row r="27" spans="1:36" ht="18" customHeight="1">
      <c r="A27" s="99" t="s">
        <v>174</v>
      </c>
      <c r="B27" s="100" t="s">
        <v>95</v>
      </c>
      <c r="C27" s="99">
        <v>1</v>
      </c>
      <c r="D27" s="132">
        <v>1</v>
      </c>
      <c r="E27" s="148"/>
      <c r="F27" s="99">
        <v>1</v>
      </c>
      <c r="G27" s="99">
        <v>1</v>
      </c>
      <c r="H27" s="148"/>
      <c r="I27" s="99">
        <v>1</v>
      </c>
      <c r="J27" s="99"/>
      <c r="K27" s="99">
        <v>1</v>
      </c>
      <c r="L27" s="148"/>
      <c r="M27" s="99">
        <v>1</v>
      </c>
      <c r="N27" s="148"/>
      <c r="O27" s="99">
        <v>1</v>
      </c>
      <c r="P27" s="99">
        <v>1</v>
      </c>
      <c r="Q27" s="99"/>
      <c r="R27" s="99">
        <v>1</v>
      </c>
      <c r="S27" s="148"/>
      <c r="T27" s="99">
        <v>1</v>
      </c>
      <c r="U27" s="148"/>
      <c r="V27" s="99">
        <v>1</v>
      </c>
      <c r="W27" s="99">
        <v>1</v>
      </c>
      <c r="X27" s="99"/>
      <c r="Y27" s="99">
        <v>1</v>
      </c>
      <c r="Z27" s="148"/>
      <c r="AA27" s="99">
        <v>1</v>
      </c>
      <c r="AB27" s="148"/>
      <c r="AC27" s="99">
        <v>1</v>
      </c>
      <c r="AD27" s="99"/>
      <c r="AE27" s="99">
        <v>1</v>
      </c>
      <c r="AF27" s="99">
        <v>1</v>
      </c>
      <c r="AG27" s="77">
        <f t="shared" si="1"/>
        <v>16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2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148"/>
      <c r="F28" s="99">
        <v>1</v>
      </c>
      <c r="G28" s="99"/>
      <c r="H28" s="148"/>
      <c r="I28" s="99"/>
      <c r="J28" s="99"/>
      <c r="K28" s="99"/>
      <c r="L28" s="148"/>
      <c r="M28" s="99"/>
      <c r="N28" s="148"/>
      <c r="O28" s="99">
        <v>1</v>
      </c>
      <c r="P28" s="99"/>
      <c r="Q28" s="99"/>
      <c r="R28" s="99"/>
      <c r="S28" s="148"/>
      <c r="T28" s="99"/>
      <c r="U28" s="148"/>
      <c r="V28" s="99">
        <v>1</v>
      </c>
      <c r="W28" s="99"/>
      <c r="X28" s="99"/>
      <c r="Y28" s="99"/>
      <c r="Z28" s="148"/>
      <c r="AA28" s="99"/>
      <c r="AB28" s="148"/>
      <c r="AC28" s="99">
        <v>1</v>
      </c>
      <c r="AD28" s="99"/>
      <c r="AE28" s="99"/>
      <c r="AF28" s="99"/>
      <c r="AG28" s="77">
        <f t="shared" si="1"/>
        <v>4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2"/>
        <v>飛飛</v>
      </c>
      <c r="AJ28" s="81"/>
    </row>
    <row r="29" spans="1:36" ht="18" customHeight="1">
      <c r="A29" s="99" t="s">
        <v>174</v>
      </c>
      <c r="B29" s="100" t="s">
        <v>147</v>
      </c>
      <c r="C29" s="99"/>
      <c r="D29" s="132"/>
      <c r="E29" s="148"/>
      <c r="F29" s="99"/>
      <c r="G29" s="99"/>
      <c r="H29" s="148"/>
      <c r="I29" s="99"/>
      <c r="J29" s="99"/>
      <c r="K29" s="99"/>
      <c r="L29" s="148"/>
      <c r="M29" s="99"/>
      <c r="N29" s="148"/>
      <c r="O29" s="99"/>
      <c r="P29" s="99"/>
      <c r="Q29" s="99"/>
      <c r="R29" s="99"/>
      <c r="S29" s="148"/>
      <c r="T29" s="99"/>
      <c r="U29" s="148"/>
      <c r="V29" s="99"/>
      <c r="W29" s="99"/>
      <c r="X29" s="99"/>
      <c r="Y29" s="99"/>
      <c r="Z29" s="148"/>
      <c r="AA29" s="99"/>
      <c r="AB29" s="148"/>
      <c r="AC29" s="99"/>
      <c r="AD29" s="99"/>
      <c r="AE29" s="99"/>
      <c r="AF29" s="99"/>
      <c r="AG29" s="77">
        <f t="shared" si="1"/>
        <v>0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2"/>
        <v>湘苡</v>
      </c>
      <c r="AJ29" s="80"/>
    </row>
    <row r="30" spans="1:36" ht="18" customHeight="1">
      <c r="A30" s="99" t="s">
        <v>174</v>
      </c>
      <c r="B30" s="100" t="s">
        <v>148</v>
      </c>
      <c r="C30" s="99"/>
      <c r="D30" s="132">
        <v>1</v>
      </c>
      <c r="E30" s="148"/>
      <c r="F30" s="99"/>
      <c r="G30" s="99"/>
      <c r="H30" s="148"/>
      <c r="I30" s="99"/>
      <c r="J30" s="99"/>
      <c r="K30" s="99">
        <v>1</v>
      </c>
      <c r="L30" s="148"/>
      <c r="M30" s="99"/>
      <c r="N30" s="148"/>
      <c r="O30" s="99">
        <v>1</v>
      </c>
      <c r="P30" s="99">
        <v>1</v>
      </c>
      <c r="Q30" s="99"/>
      <c r="R30" s="99">
        <v>1</v>
      </c>
      <c r="S30" s="148"/>
      <c r="T30" s="99">
        <v>1</v>
      </c>
      <c r="U30" s="148"/>
      <c r="V30" s="99"/>
      <c r="W30" s="99"/>
      <c r="X30" s="99"/>
      <c r="Y30" s="99">
        <v>1</v>
      </c>
      <c r="Z30" s="148"/>
      <c r="AA30" s="99">
        <v>1</v>
      </c>
      <c r="AB30" s="148"/>
      <c r="AC30" s="99">
        <v>1</v>
      </c>
      <c r="AD30" s="99">
        <v>1</v>
      </c>
      <c r="AE30" s="99">
        <v>1</v>
      </c>
      <c r="AF30" s="99">
        <v>1</v>
      </c>
      <c r="AG30" s="77">
        <f t="shared" si="1"/>
        <v>10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2"/>
        <v>雅雅</v>
      </c>
      <c r="AJ30" s="82"/>
    </row>
    <row r="31" spans="1:36" ht="18" customHeight="1">
      <c r="A31" s="101" t="s">
        <v>174</v>
      </c>
      <c r="B31" s="102" t="s">
        <v>103</v>
      </c>
      <c r="C31" s="101">
        <v>1</v>
      </c>
      <c r="D31" s="137"/>
      <c r="E31" s="148"/>
      <c r="F31" s="101"/>
      <c r="G31" s="101">
        <v>1</v>
      </c>
      <c r="H31" s="148"/>
      <c r="I31" s="101">
        <v>1</v>
      </c>
      <c r="J31" s="101">
        <v>1</v>
      </c>
      <c r="K31" s="101">
        <v>1</v>
      </c>
      <c r="L31" s="148"/>
      <c r="M31" s="101">
        <v>1</v>
      </c>
      <c r="N31" s="148"/>
      <c r="O31" s="101">
        <v>1</v>
      </c>
      <c r="P31" s="101">
        <v>1</v>
      </c>
      <c r="Q31" s="101">
        <v>1</v>
      </c>
      <c r="R31" s="101">
        <v>1</v>
      </c>
      <c r="S31" s="148"/>
      <c r="T31" s="101">
        <v>1</v>
      </c>
      <c r="U31" s="148"/>
      <c r="V31" s="101">
        <v>1</v>
      </c>
      <c r="W31" s="101">
        <v>1</v>
      </c>
      <c r="X31" s="101">
        <v>1</v>
      </c>
      <c r="Y31" s="101">
        <v>1</v>
      </c>
      <c r="Z31" s="148"/>
      <c r="AA31" s="101">
        <v>1</v>
      </c>
      <c r="AB31" s="148"/>
      <c r="AC31" s="101">
        <v>1</v>
      </c>
      <c r="AD31" s="101">
        <v>1</v>
      </c>
      <c r="AE31" s="101">
        <v>1</v>
      </c>
      <c r="AF31" s="101">
        <v>1</v>
      </c>
      <c r="AG31" s="86">
        <f t="shared" si="1"/>
        <v>18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圈圈</v>
      </c>
      <c r="AJ31" s="90"/>
    </row>
    <row r="32" spans="1:36" ht="18" customHeight="1">
      <c r="A32" s="101" t="s">
        <v>174</v>
      </c>
      <c r="B32" s="102" t="s">
        <v>104</v>
      </c>
      <c r="C32" s="101"/>
      <c r="D32" s="137">
        <v>1</v>
      </c>
      <c r="E32" s="148"/>
      <c r="F32" s="101"/>
      <c r="G32" s="101"/>
      <c r="H32" s="148"/>
      <c r="I32" s="101"/>
      <c r="J32" s="101"/>
      <c r="K32" s="101"/>
      <c r="L32" s="148"/>
      <c r="M32" s="101"/>
      <c r="N32" s="148"/>
      <c r="O32" s="101">
        <v>1</v>
      </c>
      <c r="P32" s="101">
        <v>1</v>
      </c>
      <c r="Q32" s="101"/>
      <c r="R32" s="101">
        <v>1</v>
      </c>
      <c r="S32" s="148"/>
      <c r="T32" s="101"/>
      <c r="U32" s="148"/>
      <c r="V32" s="101"/>
      <c r="W32" s="101">
        <v>1</v>
      </c>
      <c r="X32" s="101">
        <v>1</v>
      </c>
      <c r="Y32" s="101">
        <v>1</v>
      </c>
      <c r="Z32" s="148"/>
      <c r="AA32" s="101">
        <v>1</v>
      </c>
      <c r="AB32" s="148"/>
      <c r="AC32" s="101">
        <v>1</v>
      </c>
      <c r="AD32" s="101">
        <v>1</v>
      </c>
      <c r="AE32" s="101">
        <v>1</v>
      </c>
      <c r="AF32" s="101">
        <v>1</v>
      </c>
      <c r="AG32" s="86">
        <f t="shared" si="1"/>
        <v>10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2"/>
        <v>卡丘</v>
      </c>
      <c r="AJ32" s="90"/>
    </row>
    <row r="33" spans="1:36" ht="18" customHeight="1">
      <c r="A33" s="101" t="s">
        <v>174</v>
      </c>
      <c r="B33" s="102" t="s">
        <v>105</v>
      </c>
      <c r="C33" s="101">
        <v>1</v>
      </c>
      <c r="D33" s="137">
        <v>1</v>
      </c>
      <c r="E33" s="148"/>
      <c r="F33" s="101">
        <v>1</v>
      </c>
      <c r="G33" s="101">
        <v>1</v>
      </c>
      <c r="H33" s="148"/>
      <c r="I33" s="101">
        <v>1</v>
      </c>
      <c r="J33" s="101"/>
      <c r="K33" s="101">
        <v>1</v>
      </c>
      <c r="L33" s="148"/>
      <c r="M33" s="101">
        <v>1</v>
      </c>
      <c r="N33" s="148"/>
      <c r="O33" s="101"/>
      <c r="P33" s="101">
        <v>1</v>
      </c>
      <c r="Q33" s="101">
        <v>1</v>
      </c>
      <c r="R33" s="101">
        <v>1</v>
      </c>
      <c r="S33" s="148"/>
      <c r="T33" s="101"/>
      <c r="U33" s="148"/>
      <c r="V33" s="101"/>
      <c r="W33" s="101">
        <v>1</v>
      </c>
      <c r="X33" s="101"/>
      <c r="Y33" s="101">
        <v>1</v>
      </c>
      <c r="Z33" s="148"/>
      <c r="AA33" s="101">
        <v>1</v>
      </c>
      <c r="AB33" s="148"/>
      <c r="AC33" s="101"/>
      <c r="AD33" s="101">
        <v>1</v>
      </c>
      <c r="AE33" s="101">
        <v>1</v>
      </c>
      <c r="AF33" s="101">
        <v>1</v>
      </c>
      <c r="AG33" s="86">
        <f t="shared" si="1"/>
        <v>14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2"/>
        <v>琬蓁</v>
      </c>
      <c r="AJ33" s="90"/>
    </row>
    <row r="34" spans="1:36" ht="18" customHeight="1">
      <c r="A34" s="101" t="s">
        <v>174</v>
      </c>
      <c r="B34" s="102" t="s">
        <v>116</v>
      </c>
      <c r="C34" s="101"/>
      <c r="D34" s="137"/>
      <c r="E34" s="148"/>
      <c r="F34" s="101"/>
      <c r="G34" s="101"/>
      <c r="H34" s="148"/>
      <c r="I34" s="101"/>
      <c r="J34" s="101"/>
      <c r="K34" s="101">
        <v>1</v>
      </c>
      <c r="L34" s="148"/>
      <c r="M34" s="101"/>
      <c r="N34" s="148"/>
      <c r="O34" s="101">
        <v>1</v>
      </c>
      <c r="P34" s="101">
        <v>1</v>
      </c>
      <c r="Q34" s="101"/>
      <c r="R34" s="101">
        <v>1</v>
      </c>
      <c r="S34" s="148"/>
      <c r="T34" s="101"/>
      <c r="U34" s="148"/>
      <c r="V34" s="101">
        <v>1</v>
      </c>
      <c r="W34" s="101"/>
      <c r="X34" s="101"/>
      <c r="Y34" s="101">
        <v>1</v>
      </c>
      <c r="Z34" s="148"/>
      <c r="AA34" s="101"/>
      <c r="AB34" s="148"/>
      <c r="AC34" s="101">
        <v>1</v>
      </c>
      <c r="AD34" s="101"/>
      <c r="AE34" s="101"/>
      <c r="AF34" s="101"/>
      <c r="AG34" s="86">
        <f t="shared" si="1"/>
        <v>7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2"/>
        <v>大汪</v>
      </c>
      <c r="AJ34" s="89"/>
    </row>
    <row r="35" spans="1:36" ht="18" customHeight="1">
      <c r="A35" s="101" t="s">
        <v>174</v>
      </c>
      <c r="B35" s="102" t="s">
        <v>117</v>
      </c>
      <c r="C35" s="101"/>
      <c r="D35" s="137"/>
      <c r="E35" s="148"/>
      <c r="F35" s="101"/>
      <c r="G35" s="101"/>
      <c r="H35" s="148"/>
      <c r="I35" s="101"/>
      <c r="J35" s="101"/>
      <c r="K35" s="101"/>
      <c r="L35" s="148"/>
      <c r="M35" s="101"/>
      <c r="N35" s="148"/>
      <c r="O35" s="101"/>
      <c r="P35" s="101"/>
      <c r="Q35" s="101"/>
      <c r="R35" s="101"/>
      <c r="S35" s="148"/>
      <c r="T35" s="101"/>
      <c r="U35" s="148"/>
      <c r="V35" s="101"/>
      <c r="W35" s="101"/>
      <c r="X35" s="101"/>
      <c r="Y35" s="101"/>
      <c r="Z35" s="148"/>
      <c r="AA35" s="101"/>
      <c r="AB35" s="148"/>
      <c r="AC35" s="101"/>
      <c r="AD35" s="101"/>
      <c r="AE35" s="101"/>
      <c r="AF35" s="101"/>
      <c r="AG35" s="86">
        <f t="shared" si="1"/>
        <v>0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2"/>
        <v>依凡</v>
      </c>
      <c r="AJ35" s="89"/>
    </row>
    <row r="36" spans="1:36" ht="18" customHeight="1">
      <c r="A36" s="101" t="s">
        <v>174</v>
      </c>
      <c r="B36" s="102" t="s">
        <v>118</v>
      </c>
      <c r="C36" s="101"/>
      <c r="D36" s="137"/>
      <c r="E36" s="148"/>
      <c r="F36" s="101"/>
      <c r="G36" s="101"/>
      <c r="H36" s="148"/>
      <c r="I36" s="101"/>
      <c r="J36" s="101"/>
      <c r="K36" s="101"/>
      <c r="L36" s="148"/>
      <c r="M36" s="101"/>
      <c r="N36" s="148"/>
      <c r="O36" s="101"/>
      <c r="P36" s="101"/>
      <c r="Q36" s="101"/>
      <c r="R36" s="101"/>
      <c r="S36" s="148"/>
      <c r="T36" s="101"/>
      <c r="U36" s="148"/>
      <c r="V36" s="101"/>
      <c r="W36" s="101"/>
      <c r="X36" s="101"/>
      <c r="Y36" s="101"/>
      <c r="Z36" s="148"/>
      <c r="AA36" s="101"/>
      <c r="AB36" s="148"/>
      <c r="AC36" s="101"/>
      <c r="AD36" s="101"/>
      <c r="AE36" s="101"/>
      <c r="AF36" s="101"/>
      <c r="AG36" s="86">
        <f t="shared" ref="AG36:AG67" si="3">COUNTA(C36:AD36)</f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4">B36</f>
        <v>雅筑</v>
      </c>
      <c r="AJ36" s="89"/>
    </row>
    <row r="37" spans="1:36" ht="18" customHeight="1">
      <c r="A37" s="101" t="s">
        <v>174</v>
      </c>
      <c r="B37" s="102" t="s">
        <v>119</v>
      </c>
      <c r="C37" s="101"/>
      <c r="D37" s="137"/>
      <c r="E37" s="148"/>
      <c r="F37" s="101"/>
      <c r="G37" s="101"/>
      <c r="H37" s="148"/>
      <c r="I37" s="101"/>
      <c r="J37" s="101"/>
      <c r="K37" s="101"/>
      <c r="L37" s="148"/>
      <c r="M37" s="101"/>
      <c r="N37" s="148"/>
      <c r="O37" s="101"/>
      <c r="P37" s="101"/>
      <c r="Q37" s="101"/>
      <c r="R37" s="101"/>
      <c r="S37" s="148"/>
      <c r="T37" s="101"/>
      <c r="U37" s="148"/>
      <c r="V37" s="101"/>
      <c r="W37" s="101"/>
      <c r="X37" s="101"/>
      <c r="Y37" s="101"/>
      <c r="Z37" s="148"/>
      <c r="AA37" s="101"/>
      <c r="AB37" s="148"/>
      <c r="AC37" s="101"/>
      <c r="AD37" s="101"/>
      <c r="AE37" s="101"/>
      <c r="AF37" s="101"/>
      <c r="AG37" s="86">
        <f t="shared" si="3"/>
        <v>0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4"/>
        <v>ABBY</v>
      </c>
      <c r="AJ37" s="90"/>
    </row>
    <row r="38" spans="1:36" ht="18" customHeight="1">
      <c r="A38" s="101" t="s">
        <v>174</v>
      </c>
      <c r="B38" s="102" t="s">
        <v>120</v>
      </c>
      <c r="C38" s="101"/>
      <c r="D38" s="137"/>
      <c r="E38" s="148"/>
      <c r="F38" s="101"/>
      <c r="G38" s="101"/>
      <c r="H38" s="148"/>
      <c r="I38" s="101"/>
      <c r="J38" s="101"/>
      <c r="K38" s="101"/>
      <c r="L38" s="148"/>
      <c r="M38" s="101"/>
      <c r="N38" s="148"/>
      <c r="O38" s="101"/>
      <c r="P38" s="101"/>
      <c r="Q38" s="101"/>
      <c r="R38" s="101"/>
      <c r="S38" s="148"/>
      <c r="T38" s="101"/>
      <c r="U38" s="148"/>
      <c r="V38" s="101"/>
      <c r="W38" s="101"/>
      <c r="X38" s="101"/>
      <c r="Y38" s="101"/>
      <c r="Z38" s="148"/>
      <c r="AA38" s="101"/>
      <c r="AB38" s="148"/>
      <c r="AC38" s="101"/>
      <c r="AD38" s="101"/>
      <c r="AE38" s="101"/>
      <c r="AF38" s="101"/>
      <c r="AG38" s="86">
        <f t="shared" si="3"/>
        <v>0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4"/>
        <v>品君</v>
      </c>
      <c r="AJ38" s="90"/>
    </row>
    <row r="39" spans="1:36" ht="18" customHeight="1">
      <c r="A39" s="101" t="s">
        <v>174</v>
      </c>
      <c r="B39" s="102" t="s">
        <v>121</v>
      </c>
      <c r="C39" s="101"/>
      <c r="D39" s="137">
        <v>1</v>
      </c>
      <c r="E39" s="148"/>
      <c r="F39" s="101">
        <v>1</v>
      </c>
      <c r="G39" s="101"/>
      <c r="H39" s="148"/>
      <c r="I39" s="101"/>
      <c r="J39" s="101">
        <v>1</v>
      </c>
      <c r="K39" s="101">
        <v>1</v>
      </c>
      <c r="L39" s="148"/>
      <c r="M39" s="101">
        <v>1</v>
      </c>
      <c r="N39" s="148"/>
      <c r="O39" s="101">
        <v>1</v>
      </c>
      <c r="P39" s="101">
        <v>1</v>
      </c>
      <c r="Q39" s="101"/>
      <c r="R39" s="101">
        <v>1</v>
      </c>
      <c r="S39" s="148"/>
      <c r="T39" s="101">
        <v>1</v>
      </c>
      <c r="U39" s="148"/>
      <c r="V39" s="101">
        <v>1</v>
      </c>
      <c r="W39" s="101">
        <v>1</v>
      </c>
      <c r="X39" s="101">
        <v>1</v>
      </c>
      <c r="Y39" s="101">
        <v>1</v>
      </c>
      <c r="Z39" s="148"/>
      <c r="AA39" s="101">
        <v>1</v>
      </c>
      <c r="AB39" s="148"/>
      <c r="AC39" s="101">
        <v>1</v>
      </c>
      <c r="AD39" s="101"/>
      <c r="AE39" s="101">
        <v>1</v>
      </c>
      <c r="AF39" s="101">
        <v>1</v>
      </c>
      <c r="AG39" s="86">
        <f t="shared" si="3"/>
        <v>15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4"/>
        <v>冰沙</v>
      </c>
      <c r="AJ39" s="90"/>
    </row>
    <row r="40" spans="1:36" ht="18" customHeight="1">
      <c r="A40" s="101" t="s">
        <v>174</v>
      </c>
      <c r="B40" s="102" t="s">
        <v>122</v>
      </c>
      <c r="C40" s="101"/>
      <c r="D40" s="137"/>
      <c r="E40" s="148"/>
      <c r="F40" s="101"/>
      <c r="G40" s="101"/>
      <c r="H40" s="148"/>
      <c r="I40" s="101"/>
      <c r="J40" s="101"/>
      <c r="K40" s="101"/>
      <c r="L40" s="148"/>
      <c r="M40" s="101"/>
      <c r="N40" s="148"/>
      <c r="O40" s="101"/>
      <c r="P40" s="101"/>
      <c r="Q40" s="101"/>
      <c r="R40" s="101"/>
      <c r="S40" s="148"/>
      <c r="T40" s="101"/>
      <c r="U40" s="148"/>
      <c r="V40" s="101"/>
      <c r="W40" s="101"/>
      <c r="X40" s="101"/>
      <c r="Y40" s="101"/>
      <c r="Z40" s="148"/>
      <c r="AA40" s="101"/>
      <c r="AB40" s="148"/>
      <c r="AC40" s="101"/>
      <c r="AD40" s="101"/>
      <c r="AE40" s="101"/>
      <c r="AF40" s="101"/>
      <c r="AG40" s="86">
        <f t="shared" si="3"/>
        <v>0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4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48"/>
      <c r="F41" s="101"/>
      <c r="G41" s="101"/>
      <c r="H41" s="148"/>
      <c r="I41" s="101"/>
      <c r="J41" s="101"/>
      <c r="K41" s="101"/>
      <c r="L41" s="148"/>
      <c r="M41" s="101"/>
      <c r="N41" s="148"/>
      <c r="O41" s="101"/>
      <c r="P41" s="101"/>
      <c r="Q41" s="101"/>
      <c r="R41" s="101"/>
      <c r="S41" s="148"/>
      <c r="T41" s="101"/>
      <c r="U41" s="148"/>
      <c r="V41" s="101"/>
      <c r="W41" s="101"/>
      <c r="X41" s="101"/>
      <c r="Y41" s="101"/>
      <c r="Z41" s="148"/>
      <c r="AA41" s="101"/>
      <c r="AB41" s="148"/>
      <c r="AC41" s="101"/>
      <c r="AD41" s="101"/>
      <c r="AE41" s="101"/>
      <c r="AF41" s="101"/>
      <c r="AG41" s="86">
        <f t="shared" si="3"/>
        <v>0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4"/>
        <v>瑤瑤</v>
      </c>
      <c r="AJ41" s="89"/>
    </row>
    <row r="42" spans="1:36" ht="18" customHeight="1">
      <c r="A42" s="95" t="s">
        <v>58</v>
      </c>
      <c r="B42" s="96" t="s">
        <v>23</v>
      </c>
      <c r="C42" s="95"/>
      <c r="D42" s="116"/>
      <c r="E42" s="148"/>
      <c r="F42" s="95">
        <v>1</v>
      </c>
      <c r="G42" s="95">
        <v>1</v>
      </c>
      <c r="H42" s="148"/>
      <c r="I42" s="95"/>
      <c r="J42" s="95"/>
      <c r="K42" s="95">
        <v>1</v>
      </c>
      <c r="L42" s="148"/>
      <c r="M42" s="95"/>
      <c r="N42" s="148"/>
      <c r="O42" s="95"/>
      <c r="P42" s="95"/>
      <c r="Q42" s="95"/>
      <c r="R42" s="95">
        <v>1</v>
      </c>
      <c r="S42" s="148"/>
      <c r="T42" s="95">
        <v>1</v>
      </c>
      <c r="U42" s="148"/>
      <c r="V42" s="95"/>
      <c r="W42" s="95">
        <v>1</v>
      </c>
      <c r="X42" s="95"/>
      <c r="Y42" s="95"/>
      <c r="Z42" s="148"/>
      <c r="AA42" s="95">
        <v>1</v>
      </c>
      <c r="AB42" s="148"/>
      <c r="AC42" s="95">
        <v>1</v>
      </c>
      <c r="AD42" s="95"/>
      <c r="AE42" s="95">
        <v>1</v>
      </c>
      <c r="AF42" s="95"/>
      <c r="AG42" s="66">
        <f t="shared" si="3"/>
        <v>8</v>
      </c>
      <c r="AH42" s="68" t="e">
        <f ca="1">(IF(A42="O", (VALUE(_xludf.IFS(AG42=0,"0",AG42=1,"150",AG42=2,"300",AG42=3,"450",AG42=4,"600",AG42=5,"750",AG42&gt;=6,"800"))),(VALUE(_xludf.IFS(AG42=0,"0",AG42=1,"150",AG42=2,"300",AG42=3,"450",AG42=4,"600",AG42=5,"750",AG42=6,"900",AG42&gt;=7,"1,000")))))</f>
        <v>#NAME?</v>
      </c>
      <c r="AI42" s="69" t="str">
        <f t="shared" si="4"/>
        <v>ㄈㄈ</v>
      </c>
      <c r="AJ42" s="73"/>
    </row>
    <row r="43" spans="1:36" ht="18" customHeight="1">
      <c r="A43" s="95" t="s">
        <v>58</v>
      </c>
      <c r="B43" s="96" t="s">
        <v>24</v>
      </c>
      <c r="C43" s="95">
        <v>1</v>
      </c>
      <c r="D43" s="116"/>
      <c r="E43" s="148"/>
      <c r="F43" s="95"/>
      <c r="G43" s="95">
        <v>1</v>
      </c>
      <c r="H43" s="148"/>
      <c r="I43" s="95"/>
      <c r="J43" s="95">
        <v>1</v>
      </c>
      <c r="K43" s="95"/>
      <c r="L43" s="148"/>
      <c r="M43" s="95">
        <v>1</v>
      </c>
      <c r="N43" s="148"/>
      <c r="O43" s="95"/>
      <c r="P43" s="95"/>
      <c r="Q43" s="95">
        <v>1</v>
      </c>
      <c r="R43" s="95"/>
      <c r="S43" s="148"/>
      <c r="T43" s="95">
        <v>1</v>
      </c>
      <c r="U43" s="148"/>
      <c r="V43" s="95"/>
      <c r="W43" s="95">
        <v>1</v>
      </c>
      <c r="X43" s="95"/>
      <c r="Y43" s="95">
        <v>1</v>
      </c>
      <c r="Z43" s="148"/>
      <c r="AA43" s="95"/>
      <c r="AB43" s="148"/>
      <c r="AC43" s="95"/>
      <c r="AD43" s="95"/>
      <c r="AE43" s="95"/>
      <c r="AF43" s="95"/>
      <c r="AG43" s="66">
        <f t="shared" si="3"/>
        <v>8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4"/>
        <v>大熊</v>
      </c>
      <c r="AJ43" s="73"/>
    </row>
    <row r="44" spans="1:36" ht="18" customHeight="1">
      <c r="A44" s="95" t="s">
        <v>58</v>
      </c>
      <c r="B44" s="96" t="s">
        <v>64</v>
      </c>
      <c r="C44" s="95">
        <v>1</v>
      </c>
      <c r="D44" s="116"/>
      <c r="E44" s="148"/>
      <c r="F44" s="95"/>
      <c r="G44" s="95"/>
      <c r="H44" s="148"/>
      <c r="I44" s="95"/>
      <c r="J44" s="95">
        <v>1</v>
      </c>
      <c r="K44" s="95"/>
      <c r="L44" s="148"/>
      <c r="M44" s="95">
        <v>1</v>
      </c>
      <c r="N44" s="148"/>
      <c r="O44" s="95">
        <v>1</v>
      </c>
      <c r="P44" s="95"/>
      <c r="Q44" s="95"/>
      <c r="R44" s="95"/>
      <c r="S44" s="148"/>
      <c r="T44" s="95">
        <v>1</v>
      </c>
      <c r="U44" s="148"/>
      <c r="V44" s="95"/>
      <c r="W44" s="95"/>
      <c r="X44" s="95"/>
      <c r="Y44" s="95">
        <v>1</v>
      </c>
      <c r="Z44" s="148"/>
      <c r="AA44" s="95">
        <v>1</v>
      </c>
      <c r="AB44" s="148"/>
      <c r="AC44" s="95">
        <v>1</v>
      </c>
      <c r="AD44" s="95"/>
      <c r="AE44" s="95">
        <v>1</v>
      </c>
      <c r="AF44" s="95"/>
      <c r="AG44" s="66">
        <f t="shared" si="3"/>
        <v>8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4"/>
        <v>園棠</v>
      </c>
      <c r="AJ44" s="73"/>
    </row>
    <row r="45" spans="1:36" ht="18" customHeight="1">
      <c r="A45" s="95" t="s">
        <v>58</v>
      </c>
      <c r="B45" s="96" t="s">
        <v>178</v>
      </c>
      <c r="C45" s="95">
        <v>1</v>
      </c>
      <c r="D45" s="116"/>
      <c r="E45" s="148"/>
      <c r="F45" s="95"/>
      <c r="G45" s="95">
        <v>1</v>
      </c>
      <c r="H45" s="148"/>
      <c r="I45" s="95"/>
      <c r="J45" s="95">
        <v>1</v>
      </c>
      <c r="K45" s="95">
        <v>1</v>
      </c>
      <c r="L45" s="148"/>
      <c r="M45" s="95"/>
      <c r="N45" s="148"/>
      <c r="O45" s="95">
        <v>1</v>
      </c>
      <c r="P45" s="95"/>
      <c r="Q45" s="95"/>
      <c r="R45" s="95"/>
      <c r="S45" s="148"/>
      <c r="T45" s="95">
        <v>1</v>
      </c>
      <c r="U45" s="148"/>
      <c r="V45" s="95">
        <v>1</v>
      </c>
      <c r="W45" s="95"/>
      <c r="X45" s="95"/>
      <c r="Y45" s="95">
        <v>1</v>
      </c>
      <c r="Z45" s="148"/>
      <c r="AA45" s="95"/>
      <c r="AB45" s="148"/>
      <c r="AC45" s="95">
        <v>1</v>
      </c>
      <c r="AD45" s="95"/>
      <c r="AE45" s="95"/>
      <c r="AF45" s="95"/>
      <c r="AG45" s="66">
        <f t="shared" si="3"/>
        <v>9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4"/>
        <v>Fish</v>
      </c>
      <c r="AJ45" s="73"/>
    </row>
    <row r="46" spans="1:36" ht="18" customHeight="1">
      <c r="A46" s="95" t="s">
        <v>58</v>
      </c>
      <c r="B46" s="96" t="s">
        <v>25</v>
      </c>
      <c r="C46" s="95">
        <v>1</v>
      </c>
      <c r="D46" s="116"/>
      <c r="E46" s="148"/>
      <c r="F46" s="95"/>
      <c r="G46" s="95"/>
      <c r="H46" s="148"/>
      <c r="I46" s="95"/>
      <c r="J46" s="95">
        <v>1</v>
      </c>
      <c r="K46" s="95"/>
      <c r="L46" s="148"/>
      <c r="M46" s="95">
        <v>1</v>
      </c>
      <c r="N46" s="148"/>
      <c r="O46" s="95">
        <v>1</v>
      </c>
      <c r="P46" s="95"/>
      <c r="Q46" s="95"/>
      <c r="R46" s="95"/>
      <c r="S46" s="148"/>
      <c r="T46" s="95">
        <v>1</v>
      </c>
      <c r="U46" s="148"/>
      <c r="V46" s="95">
        <v>1</v>
      </c>
      <c r="W46" s="95"/>
      <c r="X46" s="95"/>
      <c r="Y46" s="95">
        <v>1</v>
      </c>
      <c r="Z46" s="148"/>
      <c r="AA46" s="95">
        <v>1</v>
      </c>
      <c r="AB46" s="148"/>
      <c r="AC46" s="95">
        <v>1</v>
      </c>
      <c r="AD46" s="95"/>
      <c r="AE46" s="95"/>
      <c r="AF46" s="95"/>
      <c r="AG46" s="66">
        <f t="shared" si="3"/>
        <v>9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4"/>
        <v>潘潘</v>
      </c>
      <c r="AJ46" s="73"/>
    </row>
    <row r="47" spans="1:36" ht="18" customHeight="1">
      <c r="A47" s="95" t="s">
        <v>58</v>
      </c>
      <c r="B47" s="96" t="s">
        <v>63</v>
      </c>
      <c r="C47" s="95"/>
      <c r="D47" s="116"/>
      <c r="E47" s="148"/>
      <c r="F47" s="95"/>
      <c r="G47" s="95"/>
      <c r="H47" s="148"/>
      <c r="I47" s="95"/>
      <c r="J47" s="95"/>
      <c r="K47" s="95"/>
      <c r="L47" s="148"/>
      <c r="M47" s="95"/>
      <c r="N47" s="148"/>
      <c r="O47" s="95"/>
      <c r="P47" s="95"/>
      <c r="Q47" s="95"/>
      <c r="R47" s="95"/>
      <c r="S47" s="148"/>
      <c r="T47" s="95"/>
      <c r="U47" s="148"/>
      <c r="V47" s="95"/>
      <c r="W47" s="95"/>
      <c r="X47" s="95"/>
      <c r="Y47" s="95"/>
      <c r="Z47" s="148"/>
      <c r="AA47" s="95"/>
      <c r="AB47" s="148"/>
      <c r="AC47" s="95"/>
      <c r="AD47" s="95"/>
      <c r="AE47" s="95"/>
      <c r="AF47" s="95"/>
      <c r="AG47" s="66">
        <f t="shared" si="3"/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4"/>
        <v>芒果</v>
      </c>
      <c r="AJ47" s="73"/>
    </row>
    <row r="48" spans="1:36" ht="18" customHeight="1">
      <c r="A48" s="95" t="s">
        <v>58</v>
      </c>
      <c r="B48" s="96" t="s">
        <v>62</v>
      </c>
      <c r="C48" s="95"/>
      <c r="D48" s="116"/>
      <c r="E48" s="148"/>
      <c r="F48" s="95"/>
      <c r="G48" s="95"/>
      <c r="H48" s="148"/>
      <c r="I48" s="95"/>
      <c r="J48" s="95">
        <v>1</v>
      </c>
      <c r="K48" s="95"/>
      <c r="L48" s="148"/>
      <c r="M48" s="95"/>
      <c r="N48" s="148"/>
      <c r="O48" s="95"/>
      <c r="P48" s="95">
        <v>1</v>
      </c>
      <c r="Q48" s="95"/>
      <c r="R48" s="95">
        <v>1</v>
      </c>
      <c r="S48" s="148"/>
      <c r="T48" s="95"/>
      <c r="U48" s="148"/>
      <c r="V48" s="95"/>
      <c r="W48" s="95">
        <v>1</v>
      </c>
      <c r="X48" s="95"/>
      <c r="Y48" s="95">
        <v>1</v>
      </c>
      <c r="Z48" s="148"/>
      <c r="AA48" s="95"/>
      <c r="AB48" s="148"/>
      <c r="AC48" s="95"/>
      <c r="AD48" s="95">
        <v>1</v>
      </c>
      <c r="AE48" s="95"/>
      <c r="AF48" s="95">
        <v>1</v>
      </c>
      <c r="AG48" s="66">
        <f t="shared" si="3"/>
        <v>6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4"/>
        <v>國源</v>
      </c>
      <c r="AJ48" s="73"/>
    </row>
    <row r="49" spans="1:36" ht="18" customHeight="1">
      <c r="A49" s="95" t="s">
        <v>58</v>
      </c>
      <c r="B49" s="96" t="s">
        <v>26</v>
      </c>
      <c r="C49" s="95"/>
      <c r="D49" s="116">
        <v>1</v>
      </c>
      <c r="E49" s="148"/>
      <c r="F49" s="95"/>
      <c r="G49" s="95"/>
      <c r="H49" s="148"/>
      <c r="I49" s="95"/>
      <c r="J49" s="95"/>
      <c r="K49" s="95">
        <v>1</v>
      </c>
      <c r="L49" s="148"/>
      <c r="M49" s="95"/>
      <c r="N49" s="148"/>
      <c r="O49" s="95">
        <v>1</v>
      </c>
      <c r="P49" s="95"/>
      <c r="Q49" s="95"/>
      <c r="R49" s="95"/>
      <c r="S49" s="148"/>
      <c r="T49" s="95"/>
      <c r="U49" s="148"/>
      <c r="V49" s="95"/>
      <c r="W49" s="95"/>
      <c r="X49" s="95"/>
      <c r="Y49" s="95"/>
      <c r="Z49" s="148"/>
      <c r="AA49" s="95">
        <v>1</v>
      </c>
      <c r="AB49" s="148"/>
      <c r="AC49" s="95">
        <v>1</v>
      </c>
      <c r="AD49" s="95"/>
      <c r="AE49" s="95"/>
      <c r="AF49" s="95"/>
      <c r="AG49" s="66">
        <f t="shared" si="3"/>
        <v>5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4"/>
        <v>曉強</v>
      </c>
      <c r="AJ49" s="73"/>
    </row>
    <row r="50" spans="1:36" ht="18" customHeight="1">
      <c r="A50" s="95" t="s">
        <v>58</v>
      </c>
      <c r="B50" s="96" t="s">
        <v>59</v>
      </c>
      <c r="C50" s="95"/>
      <c r="D50" s="116"/>
      <c r="E50" s="148"/>
      <c r="F50" s="95"/>
      <c r="G50" s="95"/>
      <c r="H50" s="148"/>
      <c r="I50" s="95"/>
      <c r="J50" s="95"/>
      <c r="K50" s="95"/>
      <c r="L50" s="148"/>
      <c r="M50" s="95"/>
      <c r="N50" s="148"/>
      <c r="O50" s="95"/>
      <c r="P50" s="95"/>
      <c r="Q50" s="95"/>
      <c r="R50" s="95"/>
      <c r="S50" s="148"/>
      <c r="T50" s="95"/>
      <c r="U50" s="148"/>
      <c r="V50" s="95"/>
      <c r="W50" s="95"/>
      <c r="X50" s="95"/>
      <c r="Y50" s="95"/>
      <c r="Z50" s="148"/>
      <c r="AA50" s="95"/>
      <c r="AB50" s="148"/>
      <c r="AC50" s="95"/>
      <c r="AD50" s="95"/>
      <c r="AE50" s="95"/>
      <c r="AF50" s="95"/>
      <c r="AG50" s="66">
        <f t="shared" si="3"/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4"/>
        <v>阿幹</v>
      </c>
      <c r="AJ50" s="73"/>
    </row>
    <row r="51" spans="1:36" ht="18" customHeight="1">
      <c r="A51" s="95" t="s">
        <v>58</v>
      </c>
      <c r="B51" s="96" t="s">
        <v>27</v>
      </c>
      <c r="C51" s="95"/>
      <c r="D51" s="116"/>
      <c r="E51" s="148"/>
      <c r="F51" s="95"/>
      <c r="G51" s="95"/>
      <c r="H51" s="148"/>
      <c r="I51" s="95"/>
      <c r="J51" s="95"/>
      <c r="K51" s="95"/>
      <c r="L51" s="148"/>
      <c r="M51" s="95"/>
      <c r="N51" s="148"/>
      <c r="O51" s="95"/>
      <c r="P51" s="95"/>
      <c r="Q51" s="95"/>
      <c r="R51" s="95"/>
      <c r="S51" s="148"/>
      <c r="T51" s="95"/>
      <c r="U51" s="148"/>
      <c r="V51" s="95"/>
      <c r="W51" s="95"/>
      <c r="X51" s="95"/>
      <c r="Y51" s="95"/>
      <c r="Z51" s="148"/>
      <c r="AA51" s="95"/>
      <c r="AB51" s="148"/>
      <c r="AC51" s="95">
        <v>1</v>
      </c>
      <c r="AD51" s="95"/>
      <c r="AE51" s="95"/>
      <c r="AF51" s="95"/>
      <c r="AG51" s="66">
        <f t="shared" si="3"/>
        <v>1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4"/>
        <v>芋圓</v>
      </c>
      <c r="AJ51" s="73"/>
    </row>
    <row r="52" spans="1:36" ht="18" customHeight="1">
      <c r="A52" s="95" t="s">
        <v>58</v>
      </c>
      <c r="B52" s="96" t="s">
        <v>28</v>
      </c>
      <c r="C52" s="95"/>
      <c r="D52" s="116"/>
      <c r="E52" s="148"/>
      <c r="F52" s="95"/>
      <c r="G52" s="95"/>
      <c r="H52" s="148"/>
      <c r="I52" s="95"/>
      <c r="J52" s="95"/>
      <c r="K52" s="95"/>
      <c r="L52" s="148"/>
      <c r="M52" s="95"/>
      <c r="N52" s="148"/>
      <c r="O52" s="95"/>
      <c r="P52" s="95"/>
      <c r="Q52" s="95"/>
      <c r="R52" s="95"/>
      <c r="S52" s="148"/>
      <c r="T52" s="95"/>
      <c r="U52" s="148"/>
      <c r="V52" s="95"/>
      <c r="W52" s="95"/>
      <c r="X52" s="95"/>
      <c r="Y52" s="95"/>
      <c r="Z52" s="148"/>
      <c r="AA52" s="95"/>
      <c r="AB52" s="148"/>
      <c r="AC52" s="95"/>
      <c r="AD52" s="95"/>
      <c r="AE52" s="95"/>
      <c r="AF52" s="95"/>
      <c r="AG52" s="66">
        <f t="shared" si="3"/>
        <v>0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4"/>
        <v>克勤</v>
      </c>
      <c r="AJ52" s="73"/>
    </row>
    <row r="53" spans="1:36" ht="18" customHeight="1">
      <c r="A53" s="95" t="s">
        <v>58</v>
      </c>
      <c r="B53" s="96" t="s">
        <v>29</v>
      </c>
      <c r="C53" s="95"/>
      <c r="D53" s="116">
        <v>1</v>
      </c>
      <c r="E53" s="148"/>
      <c r="F53" s="95">
        <v>1</v>
      </c>
      <c r="G53" s="95"/>
      <c r="H53" s="148"/>
      <c r="I53" s="95"/>
      <c r="J53" s="95"/>
      <c r="K53" s="95"/>
      <c r="L53" s="148"/>
      <c r="M53" s="95"/>
      <c r="N53" s="148"/>
      <c r="O53" s="95">
        <v>1</v>
      </c>
      <c r="P53" s="95"/>
      <c r="Q53" s="95"/>
      <c r="R53" s="95"/>
      <c r="S53" s="148"/>
      <c r="T53" s="95"/>
      <c r="U53" s="148"/>
      <c r="V53" s="95"/>
      <c r="W53" s="95"/>
      <c r="X53" s="95"/>
      <c r="Y53" s="95"/>
      <c r="Z53" s="148"/>
      <c r="AA53" s="95"/>
      <c r="AB53" s="148"/>
      <c r="AC53" s="95"/>
      <c r="AD53" s="95"/>
      <c r="AE53" s="95"/>
      <c r="AF53" s="95">
        <v>1</v>
      </c>
      <c r="AG53" s="66">
        <f t="shared" si="3"/>
        <v>3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4"/>
        <v>大頭</v>
      </c>
      <c r="AJ53" s="73"/>
    </row>
    <row r="54" spans="1:36" ht="18" customHeight="1">
      <c r="A54" s="95" t="s">
        <v>58</v>
      </c>
      <c r="B54" s="96" t="s">
        <v>65</v>
      </c>
      <c r="C54" s="95"/>
      <c r="D54" s="116"/>
      <c r="E54" s="148"/>
      <c r="F54" s="95"/>
      <c r="G54" s="95"/>
      <c r="H54" s="148"/>
      <c r="I54" s="95"/>
      <c r="J54" s="95"/>
      <c r="K54" s="95"/>
      <c r="L54" s="148"/>
      <c r="M54" s="95"/>
      <c r="N54" s="148"/>
      <c r="O54" s="95"/>
      <c r="P54" s="95"/>
      <c r="Q54" s="95"/>
      <c r="R54" s="95"/>
      <c r="S54" s="148"/>
      <c r="T54" s="95">
        <v>1</v>
      </c>
      <c r="U54" s="148"/>
      <c r="V54" s="95"/>
      <c r="W54" s="95"/>
      <c r="X54" s="95"/>
      <c r="Y54" s="95"/>
      <c r="Z54" s="148"/>
      <c r="AA54" s="95"/>
      <c r="AB54" s="148"/>
      <c r="AC54" s="95"/>
      <c r="AD54" s="95"/>
      <c r="AE54" s="95"/>
      <c r="AF54" s="95"/>
      <c r="AG54" s="66">
        <f t="shared" si="3"/>
        <v>1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4"/>
        <v>文淵</v>
      </c>
      <c r="AJ54" s="73"/>
    </row>
    <row r="55" spans="1:36" ht="18" customHeight="1">
      <c r="A55" s="95" t="s">
        <v>58</v>
      </c>
      <c r="B55" s="96" t="s">
        <v>72</v>
      </c>
      <c r="C55" s="95"/>
      <c r="D55" s="116"/>
      <c r="E55" s="148"/>
      <c r="F55" s="95"/>
      <c r="G55" s="95"/>
      <c r="H55" s="148"/>
      <c r="I55" s="95"/>
      <c r="J55" s="95"/>
      <c r="K55" s="95"/>
      <c r="L55" s="148"/>
      <c r="M55" s="95"/>
      <c r="N55" s="148"/>
      <c r="O55" s="95">
        <v>1</v>
      </c>
      <c r="P55" s="95"/>
      <c r="Q55" s="95"/>
      <c r="R55" s="95"/>
      <c r="S55" s="148"/>
      <c r="T55" s="95"/>
      <c r="U55" s="148"/>
      <c r="V55" s="95"/>
      <c r="W55" s="95"/>
      <c r="X55" s="95"/>
      <c r="Y55" s="95"/>
      <c r="Z55" s="148"/>
      <c r="AA55" s="95"/>
      <c r="AB55" s="148"/>
      <c r="AC55" s="95"/>
      <c r="AD55" s="95"/>
      <c r="AE55" s="95"/>
      <c r="AF55" s="95"/>
      <c r="AG55" s="66">
        <f t="shared" si="3"/>
        <v>1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4"/>
        <v>八卦</v>
      </c>
      <c r="AJ55" s="73"/>
    </row>
    <row r="56" spans="1:36" ht="18" customHeight="1">
      <c r="A56" s="95" t="s">
        <v>58</v>
      </c>
      <c r="B56" s="96" t="s">
        <v>66</v>
      </c>
      <c r="C56" s="95"/>
      <c r="D56" s="116"/>
      <c r="E56" s="148"/>
      <c r="F56" s="95"/>
      <c r="G56" s="95"/>
      <c r="H56" s="148"/>
      <c r="I56" s="95"/>
      <c r="J56" s="95"/>
      <c r="K56" s="95"/>
      <c r="L56" s="148"/>
      <c r="M56" s="95"/>
      <c r="N56" s="148"/>
      <c r="O56" s="95"/>
      <c r="P56" s="95"/>
      <c r="Q56" s="95"/>
      <c r="R56" s="95"/>
      <c r="S56" s="148"/>
      <c r="T56" s="95"/>
      <c r="U56" s="148"/>
      <c r="V56" s="95"/>
      <c r="W56" s="95"/>
      <c r="X56" s="95"/>
      <c r="Y56" s="95"/>
      <c r="Z56" s="148"/>
      <c r="AA56" s="95"/>
      <c r="AB56" s="148"/>
      <c r="AC56" s="95"/>
      <c r="AD56" s="95"/>
      <c r="AE56" s="95"/>
      <c r="AF56" s="95"/>
      <c r="AG56" s="66">
        <f t="shared" si="3"/>
        <v>0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4"/>
        <v>昆佑</v>
      </c>
      <c r="AJ56" s="73"/>
    </row>
    <row r="57" spans="1:36" ht="18" customHeight="1">
      <c r="A57" s="95" t="s">
        <v>58</v>
      </c>
      <c r="B57" s="96" t="s">
        <v>68</v>
      </c>
      <c r="C57" s="95"/>
      <c r="D57" s="116"/>
      <c r="E57" s="148"/>
      <c r="F57" s="95"/>
      <c r="G57" s="95"/>
      <c r="H57" s="148"/>
      <c r="I57" s="95"/>
      <c r="J57" s="95"/>
      <c r="K57" s="95"/>
      <c r="L57" s="148"/>
      <c r="M57" s="95"/>
      <c r="N57" s="148"/>
      <c r="O57" s="95"/>
      <c r="P57" s="95"/>
      <c r="Q57" s="95"/>
      <c r="R57" s="95"/>
      <c r="S57" s="148"/>
      <c r="T57" s="95"/>
      <c r="U57" s="148"/>
      <c r="V57" s="95"/>
      <c r="W57" s="95"/>
      <c r="X57" s="95"/>
      <c r="Y57" s="95"/>
      <c r="Z57" s="148"/>
      <c r="AA57" s="95"/>
      <c r="AB57" s="148"/>
      <c r="AC57" s="95"/>
      <c r="AD57" s="95"/>
      <c r="AE57" s="95"/>
      <c r="AF57" s="95"/>
      <c r="AG57" s="66">
        <f t="shared" si="3"/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4"/>
        <v>兔子</v>
      </c>
      <c r="AJ57" s="73"/>
    </row>
    <row r="58" spans="1:36" ht="18" customHeight="1">
      <c r="A58" s="95" t="s">
        <v>58</v>
      </c>
      <c r="B58" s="96" t="s">
        <v>69</v>
      </c>
      <c r="C58" s="95"/>
      <c r="D58" s="116"/>
      <c r="E58" s="148"/>
      <c r="F58" s="95"/>
      <c r="G58" s="95"/>
      <c r="H58" s="148"/>
      <c r="I58" s="95"/>
      <c r="J58" s="95"/>
      <c r="K58" s="95"/>
      <c r="L58" s="148"/>
      <c r="M58" s="95"/>
      <c r="N58" s="148"/>
      <c r="O58" s="95"/>
      <c r="P58" s="95"/>
      <c r="Q58" s="95"/>
      <c r="R58" s="95"/>
      <c r="S58" s="148"/>
      <c r="T58" s="95"/>
      <c r="U58" s="148"/>
      <c r="V58" s="95"/>
      <c r="W58" s="95"/>
      <c r="X58" s="95"/>
      <c r="Y58" s="95"/>
      <c r="Z58" s="148"/>
      <c r="AA58" s="95"/>
      <c r="AB58" s="148"/>
      <c r="AC58" s="95"/>
      <c r="AD58" s="95"/>
      <c r="AE58" s="95"/>
      <c r="AF58" s="95"/>
      <c r="AG58" s="66">
        <f t="shared" si="3"/>
        <v>0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4"/>
        <v>小馬</v>
      </c>
      <c r="AJ58" s="73"/>
    </row>
    <row r="59" spans="1:36" ht="18" customHeight="1">
      <c r="A59" s="95" t="s">
        <v>58</v>
      </c>
      <c r="B59" s="96" t="s">
        <v>70</v>
      </c>
      <c r="C59" s="95"/>
      <c r="D59" s="116"/>
      <c r="E59" s="148"/>
      <c r="F59" s="95"/>
      <c r="G59" s="95"/>
      <c r="H59" s="148"/>
      <c r="I59" s="95"/>
      <c r="J59" s="95"/>
      <c r="K59" s="95"/>
      <c r="L59" s="148"/>
      <c r="M59" s="95"/>
      <c r="N59" s="148"/>
      <c r="O59" s="95"/>
      <c r="P59" s="95"/>
      <c r="Q59" s="95"/>
      <c r="R59" s="95"/>
      <c r="S59" s="148"/>
      <c r="T59" s="95"/>
      <c r="U59" s="148"/>
      <c r="V59" s="95"/>
      <c r="W59" s="95"/>
      <c r="X59" s="95"/>
      <c r="Y59" s="95"/>
      <c r="Z59" s="148"/>
      <c r="AA59" s="95"/>
      <c r="AB59" s="148"/>
      <c r="AC59" s="95"/>
      <c r="AD59" s="95"/>
      <c r="AE59" s="95"/>
      <c r="AF59" s="95"/>
      <c r="AG59" s="66">
        <f t="shared" si="3"/>
        <v>0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4"/>
        <v>Allen</v>
      </c>
      <c r="AJ59" s="73"/>
    </row>
    <row r="60" spans="1:36" ht="18" customHeight="1">
      <c r="A60" s="95" t="s">
        <v>58</v>
      </c>
      <c r="B60" s="96" t="s">
        <v>71</v>
      </c>
      <c r="C60" s="95"/>
      <c r="D60" s="116"/>
      <c r="E60" s="148"/>
      <c r="F60" s="95"/>
      <c r="G60" s="95"/>
      <c r="H60" s="148"/>
      <c r="I60" s="95"/>
      <c r="J60" s="95"/>
      <c r="K60" s="95"/>
      <c r="L60" s="148"/>
      <c r="M60" s="95"/>
      <c r="N60" s="148"/>
      <c r="O60" s="95"/>
      <c r="P60" s="95"/>
      <c r="Q60" s="95"/>
      <c r="R60" s="95"/>
      <c r="S60" s="148"/>
      <c r="T60" s="95"/>
      <c r="U60" s="148"/>
      <c r="V60" s="95"/>
      <c r="W60" s="95"/>
      <c r="X60" s="95"/>
      <c r="Y60" s="95"/>
      <c r="Z60" s="148"/>
      <c r="AA60" s="95"/>
      <c r="AB60" s="148"/>
      <c r="AC60" s="95"/>
      <c r="AD60" s="95"/>
      <c r="AE60" s="95"/>
      <c r="AF60" s="95"/>
      <c r="AG60" s="66">
        <f t="shared" si="3"/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4"/>
        <v>嘴嘴</v>
      </c>
      <c r="AJ60" s="73"/>
    </row>
    <row r="61" spans="1:36" ht="18" customHeight="1">
      <c r="A61" s="95" t="s">
        <v>58</v>
      </c>
      <c r="B61" s="96" t="s">
        <v>74</v>
      </c>
      <c r="C61" s="95"/>
      <c r="D61" s="116"/>
      <c r="E61" s="148"/>
      <c r="F61" s="95"/>
      <c r="G61" s="95"/>
      <c r="H61" s="148"/>
      <c r="I61" s="95"/>
      <c r="J61" s="95"/>
      <c r="K61" s="95"/>
      <c r="L61" s="148"/>
      <c r="M61" s="95">
        <v>1</v>
      </c>
      <c r="N61" s="148"/>
      <c r="O61" s="95"/>
      <c r="P61" s="95"/>
      <c r="Q61" s="95"/>
      <c r="R61" s="95"/>
      <c r="S61" s="148"/>
      <c r="T61" s="95">
        <v>1</v>
      </c>
      <c r="U61" s="148"/>
      <c r="V61" s="95"/>
      <c r="W61" s="95"/>
      <c r="X61" s="95"/>
      <c r="Y61" s="95"/>
      <c r="Z61" s="148"/>
      <c r="AA61" s="95"/>
      <c r="AB61" s="148"/>
      <c r="AC61" s="95"/>
      <c r="AD61" s="95"/>
      <c r="AE61" s="95"/>
      <c r="AF61" s="95"/>
      <c r="AG61" s="66">
        <f t="shared" si="3"/>
        <v>2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4"/>
        <v>蘆葦</v>
      </c>
      <c r="AJ61" s="73"/>
    </row>
    <row r="62" spans="1:36" ht="18" customHeight="1">
      <c r="A62" s="95" t="s">
        <v>58</v>
      </c>
      <c r="B62" s="96" t="s">
        <v>30</v>
      </c>
      <c r="C62" s="95"/>
      <c r="D62" s="116">
        <v>1</v>
      </c>
      <c r="E62" s="148"/>
      <c r="F62" s="95"/>
      <c r="G62" s="95">
        <v>1</v>
      </c>
      <c r="H62" s="148"/>
      <c r="I62" s="95"/>
      <c r="J62" s="95"/>
      <c r="K62" s="95"/>
      <c r="L62" s="148"/>
      <c r="M62" s="95"/>
      <c r="N62" s="148"/>
      <c r="O62" s="95"/>
      <c r="P62" s="95">
        <v>1</v>
      </c>
      <c r="Q62" s="95"/>
      <c r="R62" s="95">
        <v>1</v>
      </c>
      <c r="S62" s="148"/>
      <c r="T62" s="95">
        <v>1</v>
      </c>
      <c r="U62" s="148"/>
      <c r="V62" s="95"/>
      <c r="W62" s="95"/>
      <c r="X62" s="95"/>
      <c r="Y62" s="95"/>
      <c r="Z62" s="148"/>
      <c r="AA62" s="95"/>
      <c r="AB62" s="148"/>
      <c r="AC62" s="95"/>
      <c r="AD62" s="95"/>
      <c r="AE62" s="95"/>
      <c r="AF62" s="95">
        <v>1</v>
      </c>
      <c r="AG62" s="66">
        <f t="shared" si="3"/>
        <v>5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4"/>
        <v>鯰魚</v>
      </c>
      <c r="AJ62" s="73"/>
    </row>
    <row r="63" spans="1:36" ht="18" customHeight="1">
      <c r="A63" s="95" t="s">
        <v>58</v>
      </c>
      <c r="B63" s="96" t="s">
        <v>31</v>
      </c>
      <c r="C63" s="95"/>
      <c r="D63" s="116"/>
      <c r="E63" s="148"/>
      <c r="F63" s="95"/>
      <c r="G63" s="95"/>
      <c r="H63" s="148"/>
      <c r="I63" s="95"/>
      <c r="J63" s="95"/>
      <c r="K63" s="95"/>
      <c r="L63" s="148"/>
      <c r="M63" s="95"/>
      <c r="N63" s="148"/>
      <c r="O63" s="95"/>
      <c r="P63" s="95"/>
      <c r="Q63" s="95"/>
      <c r="R63" s="95">
        <v>1</v>
      </c>
      <c r="S63" s="148"/>
      <c r="T63" s="95"/>
      <c r="U63" s="148"/>
      <c r="V63" s="95">
        <v>1</v>
      </c>
      <c r="W63" s="95"/>
      <c r="X63" s="95"/>
      <c r="Y63" s="95"/>
      <c r="Z63" s="148"/>
      <c r="AA63" s="95"/>
      <c r="AB63" s="148"/>
      <c r="AC63" s="95">
        <v>1</v>
      </c>
      <c r="AD63" s="95"/>
      <c r="AE63" s="95"/>
      <c r="AF63" s="95"/>
      <c r="AG63" s="66">
        <f t="shared" si="3"/>
        <v>3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4"/>
        <v>阿美</v>
      </c>
      <c r="AJ63" s="73"/>
    </row>
    <row r="64" spans="1:36" ht="18" customHeight="1">
      <c r="A64" s="95" t="s">
        <v>58</v>
      </c>
      <c r="B64" s="96" t="s">
        <v>73</v>
      </c>
      <c r="C64" s="95"/>
      <c r="D64" s="116"/>
      <c r="E64" s="148"/>
      <c r="F64" s="95"/>
      <c r="G64" s="95"/>
      <c r="H64" s="148"/>
      <c r="I64" s="95"/>
      <c r="J64" s="95"/>
      <c r="K64" s="95"/>
      <c r="L64" s="148"/>
      <c r="M64" s="95"/>
      <c r="N64" s="148"/>
      <c r="O64" s="95"/>
      <c r="P64" s="95"/>
      <c r="Q64" s="95"/>
      <c r="R64" s="95"/>
      <c r="S64" s="148"/>
      <c r="T64" s="95"/>
      <c r="U64" s="148"/>
      <c r="V64" s="95"/>
      <c r="W64" s="95"/>
      <c r="X64" s="95"/>
      <c r="Y64" s="95"/>
      <c r="Z64" s="148"/>
      <c r="AA64" s="95"/>
      <c r="AB64" s="148"/>
      <c r="AC64" s="95"/>
      <c r="AD64" s="95"/>
      <c r="AE64" s="95"/>
      <c r="AF64" s="95"/>
      <c r="AG64" s="66">
        <f t="shared" si="3"/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4"/>
        <v>冠軍</v>
      </c>
      <c r="AJ64" s="73"/>
    </row>
    <row r="65" spans="1:36" ht="18" customHeight="1">
      <c r="A65" s="95" t="s">
        <v>58</v>
      </c>
      <c r="B65" s="96" t="s">
        <v>198</v>
      </c>
      <c r="C65" s="95"/>
      <c r="D65" s="116">
        <v>1</v>
      </c>
      <c r="E65" s="148"/>
      <c r="F65" s="95"/>
      <c r="G65" s="95"/>
      <c r="H65" s="148"/>
      <c r="I65" s="95"/>
      <c r="J65" s="95"/>
      <c r="K65" s="95"/>
      <c r="L65" s="148"/>
      <c r="M65" s="95"/>
      <c r="N65" s="148"/>
      <c r="O65" s="95"/>
      <c r="P65" s="95"/>
      <c r="Q65" s="95">
        <v>1</v>
      </c>
      <c r="R65" s="95">
        <v>1</v>
      </c>
      <c r="S65" s="148"/>
      <c r="T65" s="95"/>
      <c r="U65" s="148"/>
      <c r="V65" s="95">
        <v>1</v>
      </c>
      <c r="W65" s="95"/>
      <c r="X65" s="95"/>
      <c r="Y65" s="95">
        <v>1</v>
      </c>
      <c r="Z65" s="148"/>
      <c r="AA65" s="95"/>
      <c r="AB65" s="148"/>
      <c r="AC65" s="95"/>
      <c r="AD65" s="95">
        <v>1</v>
      </c>
      <c r="AE65" s="95">
        <v>1</v>
      </c>
      <c r="AF65" s="95">
        <v>1</v>
      </c>
      <c r="AG65" s="66">
        <f t="shared" si="3"/>
        <v>6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4"/>
        <v>郁翔</v>
      </c>
      <c r="AJ65" s="73"/>
    </row>
    <row r="66" spans="1:36" ht="18" customHeight="1">
      <c r="A66" s="95" t="s">
        <v>58</v>
      </c>
      <c r="B66" s="96" t="s">
        <v>67</v>
      </c>
      <c r="C66" s="95"/>
      <c r="D66" s="116"/>
      <c r="E66" s="148"/>
      <c r="F66" s="95"/>
      <c r="G66" s="95"/>
      <c r="H66" s="148"/>
      <c r="I66" s="95"/>
      <c r="J66" s="95"/>
      <c r="K66" s="95"/>
      <c r="L66" s="148"/>
      <c r="M66" s="95"/>
      <c r="N66" s="148"/>
      <c r="O66" s="95"/>
      <c r="P66" s="95"/>
      <c r="Q66" s="95"/>
      <c r="R66" s="95"/>
      <c r="S66" s="148"/>
      <c r="T66" s="95"/>
      <c r="U66" s="148"/>
      <c r="V66" s="95"/>
      <c r="W66" s="95"/>
      <c r="X66" s="95"/>
      <c r="Y66" s="95"/>
      <c r="Z66" s="148"/>
      <c r="AA66" s="95"/>
      <c r="AB66" s="148"/>
      <c r="AC66" s="95"/>
      <c r="AD66" s="95"/>
      <c r="AE66" s="95"/>
      <c r="AF66" s="95"/>
      <c r="AG66" s="66">
        <f t="shared" si="3"/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4"/>
        <v>歐吉</v>
      </c>
      <c r="AJ66" s="73"/>
    </row>
    <row r="67" spans="1:36" ht="18" customHeight="1">
      <c r="A67" s="95" t="s">
        <v>58</v>
      </c>
      <c r="B67" s="96" t="s">
        <v>75</v>
      </c>
      <c r="C67" s="95"/>
      <c r="D67" s="116"/>
      <c r="E67" s="148"/>
      <c r="F67" s="95"/>
      <c r="G67" s="95"/>
      <c r="H67" s="148"/>
      <c r="I67" s="95"/>
      <c r="J67" s="95"/>
      <c r="K67" s="95"/>
      <c r="L67" s="148"/>
      <c r="M67" s="95"/>
      <c r="N67" s="148"/>
      <c r="O67" s="95"/>
      <c r="P67" s="95"/>
      <c r="Q67" s="95"/>
      <c r="R67" s="95"/>
      <c r="S67" s="148"/>
      <c r="T67" s="95"/>
      <c r="U67" s="148"/>
      <c r="V67" s="95"/>
      <c r="W67" s="95"/>
      <c r="X67" s="95"/>
      <c r="Y67" s="95"/>
      <c r="Z67" s="148"/>
      <c r="AA67" s="95"/>
      <c r="AB67" s="148"/>
      <c r="AC67" s="95"/>
      <c r="AD67" s="95"/>
      <c r="AE67" s="95"/>
      <c r="AF67" s="95"/>
      <c r="AG67" s="66">
        <f t="shared" si="3"/>
        <v>0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4"/>
        <v>叮噹</v>
      </c>
      <c r="AJ67" s="73"/>
    </row>
    <row r="68" spans="1:36" ht="18" customHeight="1">
      <c r="A68" s="95" t="s">
        <v>58</v>
      </c>
      <c r="B68" s="96" t="s">
        <v>76</v>
      </c>
      <c r="C68" s="95"/>
      <c r="D68" s="116"/>
      <c r="E68" s="148"/>
      <c r="F68" s="95"/>
      <c r="G68" s="95"/>
      <c r="H68" s="148"/>
      <c r="I68" s="95"/>
      <c r="J68" s="95"/>
      <c r="K68" s="95"/>
      <c r="L68" s="148"/>
      <c r="M68" s="95"/>
      <c r="N68" s="148"/>
      <c r="O68" s="95"/>
      <c r="P68" s="95"/>
      <c r="Q68" s="95"/>
      <c r="R68" s="95"/>
      <c r="S68" s="148"/>
      <c r="T68" s="95"/>
      <c r="U68" s="148"/>
      <c r="V68" s="95"/>
      <c r="W68" s="95"/>
      <c r="X68" s="95"/>
      <c r="Y68" s="95"/>
      <c r="Z68" s="148"/>
      <c r="AA68" s="95"/>
      <c r="AB68" s="148"/>
      <c r="AC68" s="95"/>
      <c r="AD68" s="95"/>
      <c r="AE68" s="95"/>
      <c r="AF68" s="95"/>
      <c r="AG68" s="66">
        <f t="shared" ref="AG68:AG99" si="5">COUNTA(C68:AD68)</f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88" si="6">B68</f>
        <v>肥肥</v>
      </c>
      <c r="AJ68" s="73"/>
    </row>
    <row r="69" spans="1:36" ht="18" customHeight="1">
      <c r="A69" s="95" t="s">
        <v>58</v>
      </c>
      <c r="B69" s="96" t="s">
        <v>77</v>
      </c>
      <c r="C69" s="95"/>
      <c r="D69" s="116"/>
      <c r="E69" s="148"/>
      <c r="F69" s="95"/>
      <c r="G69" s="95"/>
      <c r="H69" s="148"/>
      <c r="I69" s="95"/>
      <c r="J69" s="95"/>
      <c r="K69" s="95"/>
      <c r="L69" s="148"/>
      <c r="M69" s="95"/>
      <c r="N69" s="148"/>
      <c r="O69" s="95"/>
      <c r="P69" s="95"/>
      <c r="Q69" s="95"/>
      <c r="R69" s="95"/>
      <c r="S69" s="148"/>
      <c r="T69" s="95"/>
      <c r="U69" s="148"/>
      <c r="V69" s="95"/>
      <c r="W69" s="95"/>
      <c r="X69" s="95"/>
      <c r="Y69" s="95"/>
      <c r="Z69" s="148"/>
      <c r="AA69" s="95"/>
      <c r="AB69" s="148"/>
      <c r="AC69" s="95"/>
      <c r="AD69" s="95"/>
      <c r="AE69" s="95"/>
      <c r="AF69" s="95"/>
      <c r="AG69" s="66">
        <f t="shared" si="5"/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6"/>
        <v>小夫</v>
      </c>
      <c r="AJ69" s="73"/>
    </row>
    <row r="70" spans="1:36" ht="18" customHeight="1">
      <c r="A70" s="95" t="s">
        <v>58</v>
      </c>
      <c r="B70" s="96" t="s">
        <v>78</v>
      </c>
      <c r="C70" s="95"/>
      <c r="D70" s="116"/>
      <c r="E70" s="148"/>
      <c r="F70" s="95"/>
      <c r="G70" s="95"/>
      <c r="H70" s="148"/>
      <c r="I70" s="95"/>
      <c r="J70" s="95"/>
      <c r="K70" s="95"/>
      <c r="L70" s="148"/>
      <c r="M70" s="95"/>
      <c r="N70" s="148"/>
      <c r="O70" s="95"/>
      <c r="P70" s="95"/>
      <c r="Q70" s="95"/>
      <c r="R70" s="95"/>
      <c r="S70" s="148"/>
      <c r="T70" s="95"/>
      <c r="U70" s="148"/>
      <c r="V70" s="95"/>
      <c r="W70" s="95"/>
      <c r="X70" s="95"/>
      <c r="Y70" s="95"/>
      <c r="Z70" s="148"/>
      <c r="AA70" s="95"/>
      <c r="AB70" s="148"/>
      <c r="AC70" s="95"/>
      <c r="AD70" s="95"/>
      <c r="AE70" s="95"/>
      <c r="AF70" s="95"/>
      <c r="AG70" s="66">
        <f t="shared" si="5"/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6"/>
        <v>小邱</v>
      </c>
      <c r="AJ70" s="73"/>
    </row>
    <row r="71" spans="1:36" ht="18" customHeight="1">
      <c r="A71" s="95" t="s">
        <v>58</v>
      </c>
      <c r="B71" s="96" t="s">
        <v>79</v>
      </c>
      <c r="C71" s="95"/>
      <c r="D71" s="116"/>
      <c r="E71" s="148"/>
      <c r="F71" s="95"/>
      <c r="G71" s="95"/>
      <c r="H71" s="148"/>
      <c r="I71" s="95"/>
      <c r="J71" s="95"/>
      <c r="K71" s="95"/>
      <c r="L71" s="148"/>
      <c r="M71" s="95"/>
      <c r="N71" s="148"/>
      <c r="O71" s="95"/>
      <c r="P71" s="95"/>
      <c r="Q71" s="95"/>
      <c r="R71" s="95"/>
      <c r="S71" s="148"/>
      <c r="T71" s="95"/>
      <c r="U71" s="148"/>
      <c r="V71" s="95"/>
      <c r="W71" s="95"/>
      <c r="X71" s="95"/>
      <c r="Y71" s="95"/>
      <c r="Z71" s="148"/>
      <c r="AA71" s="95"/>
      <c r="AB71" s="148"/>
      <c r="AC71" s="95"/>
      <c r="AD71" s="95"/>
      <c r="AE71" s="95"/>
      <c r="AF71" s="95"/>
      <c r="AG71" s="66">
        <f t="shared" si="5"/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6"/>
        <v>淳淳</v>
      </c>
      <c r="AJ71" s="73"/>
    </row>
    <row r="72" spans="1:36" ht="18" customHeight="1">
      <c r="A72" s="95" t="s">
        <v>58</v>
      </c>
      <c r="B72" s="96" t="s">
        <v>80</v>
      </c>
      <c r="C72" s="95"/>
      <c r="D72" s="116"/>
      <c r="E72" s="148"/>
      <c r="F72" s="95"/>
      <c r="G72" s="95"/>
      <c r="H72" s="148"/>
      <c r="I72" s="95"/>
      <c r="J72" s="95"/>
      <c r="K72" s="95"/>
      <c r="L72" s="148"/>
      <c r="M72" s="95"/>
      <c r="N72" s="148"/>
      <c r="O72" s="95"/>
      <c r="P72" s="95"/>
      <c r="Q72" s="95"/>
      <c r="R72" s="95"/>
      <c r="S72" s="148"/>
      <c r="T72" s="95"/>
      <c r="U72" s="148"/>
      <c r="V72" s="95"/>
      <c r="W72" s="95"/>
      <c r="X72" s="95"/>
      <c r="Y72" s="95"/>
      <c r="Z72" s="148"/>
      <c r="AA72" s="95"/>
      <c r="AB72" s="148"/>
      <c r="AC72" s="95"/>
      <c r="AD72" s="95"/>
      <c r="AE72" s="95"/>
      <c r="AF72" s="95"/>
      <c r="AG72" s="66">
        <f t="shared" si="5"/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6"/>
        <v>禿鷹</v>
      </c>
      <c r="AJ72" s="73"/>
    </row>
    <row r="73" spans="1:36" ht="18" customHeight="1">
      <c r="A73" s="95" t="s">
        <v>58</v>
      </c>
      <c r="B73" s="96" t="s">
        <v>81</v>
      </c>
      <c r="C73" s="95"/>
      <c r="D73" s="116"/>
      <c r="E73" s="148"/>
      <c r="F73" s="95"/>
      <c r="G73" s="95"/>
      <c r="H73" s="148"/>
      <c r="I73" s="95"/>
      <c r="J73" s="95"/>
      <c r="K73" s="95"/>
      <c r="L73" s="148"/>
      <c r="M73" s="95"/>
      <c r="N73" s="148"/>
      <c r="O73" s="95"/>
      <c r="P73" s="95"/>
      <c r="Q73" s="95"/>
      <c r="R73" s="95"/>
      <c r="S73" s="148"/>
      <c r="T73" s="95"/>
      <c r="U73" s="148"/>
      <c r="V73" s="95"/>
      <c r="W73" s="95"/>
      <c r="X73" s="95"/>
      <c r="Y73" s="95"/>
      <c r="Z73" s="148"/>
      <c r="AA73" s="95"/>
      <c r="AB73" s="148"/>
      <c r="AC73" s="95"/>
      <c r="AD73" s="95"/>
      <c r="AE73" s="95"/>
      <c r="AF73" s="95"/>
      <c r="AG73" s="66">
        <f t="shared" si="5"/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6"/>
        <v>王宏</v>
      </c>
      <c r="AJ73" s="73"/>
    </row>
    <row r="74" spans="1:36" ht="18" customHeight="1">
      <c r="A74" s="95" t="s">
        <v>58</v>
      </c>
      <c r="B74" s="96" t="s">
        <v>82</v>
      </c>
      <c r="C74" s="95"/>
      <c r="D74" s="116"/>
      <c r="E74" s="148"/>
      <c r="F74" s="95"/>
      <c r="G74" s="95"/>
      <c r="H74" s="148"/>
      <c r="I74" s="95"/>
      <c r="J74" s="95"/>
      <c r="K74" s="95"/>
      <c r="L74" s="148"/>
      <c r="M74" s="95"/>
      <c r="N74" s="148"/>
      <c r="O74" s="95"/>
      <c r="P74" s="95"/>
      <c r="Q74" s="95"/>
      <c r="R74" s="95"/>
      <c r="S74" s="148"/>
      <c r="T74" s="95"/>
      <c r="U74" s="148"/>
      <c r="V74" s="95"/>
      <c r="W74" s="95"/>
      <c r="X74" s="95"/>
      <c r="Y74" s="95"/>
      <c r="Z74" s="148"/>
      <c r="AA74" s="95"/>
      <c r="AB74" s="148"/>
      <c r="AC74" s="95"/>
      <c r="AD74" s="95"/>
      <c r="AE74" s="95"/>
      <c r="AF74" s="95"/>
      <c r="AG74" s="66">
        <f t="shared" si="5"/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6"/>
        <v>犀牛</v>
      </c>
      <c r="AJ74" s="73"/>
    </row>
    <row r="75" spans="1:36" ht="18" customHeight="1">
      <c r="A75" s="95" t="s">
        <v>58</v>
      </c>
      <c r="B75" s="96" t="s">
        <v>83</v>
      </c>
      <c r="C75" s="95"/>
      <c r="D75" s="116"/>
      <c r="E75" s="148"/>
      <c r="F75" s="95"/>
      <c r="G75" s="95"/>
      <c r="H75" s="148"/>
      <c r="I75" s="95"/>
      <c r="J75" s="95"/>
      <c r="K75" s="95"/>
      <c r="L75" s="148"/>
      <c r="M75" s="95"/>
      <c r="N75" s="148"/>
      <c r="O75" s="95"/>
      <c r="P75" s="95"/>
      <c r="Q75" s="95"/>
      <c r="R75" s="95"/>
      <c r="S75" s="148"/>
      <c r="T75" s="95"/>
      <c r="U75" s="148"/>
      <c r="V75" s="95"/>
      <c r="W75" s="95"/>
      <c r="X75" s="95"/>
      <c r="Y75" s="95"/>
      <c r="Z75" s="148"/>
      <c r="AA75" s="95"/>
      <c r="AB75" s="148"/>
      <c r="AC75" s="95"/>
      <c r="AD75" s="95"/>
      <c r="AE75" s="95"/>
      <c r="AF75" s="95"/>
      <c r="AG75" s="66">
        <f t="shared" si="5"/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6"/>
        <v>來福</v>
      </c>
      <c r="AJ75" s="73"/>
    </row>
    <row r="76" spans="1:36" ht="18" customHeight="1">
      <c r="A76" s="95" t="s">
        <v>58</v>
      </c>
      <c r="B76" s="96" t="s">
        <v>84</v>
      </c>
      <c r="C76" s="95"/>
      <c r="D76" s="116"/>
      <c r="E76" s="148"/>
      <c r="F76" s="95"/>
      <c r="G76" s="95"/>
      <c r="H76" s="148"/>
      <c r="I76" s="95"/>
      <c r="J76" s="95"/>
      <c r="K76" s="95"/>
      <c r="L76" s="148"/>
      <c r="M76" s="95"/>
      <c r="N76" s="148"/>
      <c r="O76" s="95"/>
      <c r="P76" s="95"/>
      <c r="Q76" s="95"/>
      <c r="R76" s="95"/>
      <c r="S76" s="148"/>
      <c r="T76" s="95"/>
      <c r="U76" s="148"/>
      <c r="V76" s="95"/>
      <c r="W76" s="95"/>
      <c r="X76" s="95"/>
      <c r="Y76" s="95"/>
      <c r="Z76" s="148"/>
      <c r="AA76" s="95"/>
      <c r="AB76" s="148"/>
      <c r="AC76" s="95"/>
      <c r="AD76" s="95"/>
      <c r="AE76" s="95"/>
      <c r="AF76" s="95"/>
      <c r="AG76" s="66">
        <f t="shared" si="5"/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6"/>
        <v>誌誌</v>
      </c>
      <c r="AJ76" s="73"/>
    </row>
    <row r="77" spans="1:36" ht="18" customHeight="1">
      <c r="A77" s="95" t="s">
        <v>58</v>
      </c>
      <c r="B77" s="96" t="s">
        <v>86</v>
      </c>
      <c r="C77" s="95"/>
      <c r="D77" s="116"/>
      <c r="E77" s="148"/>
      <c r="F77" s="95"/>
      <c r="G77" s="95"/>
      <c r="H77" s="148"/>
      <c r="I77" s="95"/>
      <c r="J77" s="95"/>
      <c r="K77" s="95"/>
      <c r="L77" s="148"/>
      <c r="M77" s="95"/>
      <c r="N77" s="148"/>
      <c r="O77" s="95"/>
      <c r="P77" s="95"/>
      <c r="Q77" s="95"/>
      <c r="R77" s="95"/>
      <c r="S77" s="148"/>
      <c r="T77" s="95"/>
      <c r="U77" s="148"/>
      <c r="V77" s="95"/>
      <c r="W77" s="95"/>
      <c r="X77" s="95"/>
      <c r="Y77" s="95"/>
      <c r="Z77" s="148"/>
      <c r="AA77" s="95"/>
      <c r="AB77" s="148"/>
      <c r="AC77" s="95"/>
      <c r="AD77" s="95"/>
      <c r="AE77" s="95"/>
      <c r="AF77" s="95"/>
      <c r="AG77" s="66">
        <f t="shared" si="5"/>
        <v>0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6"/>
        <v>正誼</v>
      </c>
      <c r="AJ77" s="73"/>
    </row>
    <row r="78" spans="1:36" ht="18" customHeight="1">
      <c r="A78" s="95" t="s">
        <v>58</v>
      </c>
      <c r="B78" s="96" t="s">
        <v>32</v>
      </c>
      <c r="C78" s="95"/>
      <c r="D78" s="116"/>
      <c r="E78" s="148"/>
      <c r="F78" s="95"/>
      <c r="G78" s="95"/>
      <c r="H78" s="148"/>
      <c r="I78" s="95"/>
      <c r="J78" s="95"/>
      <c r="K78" s="95"/>
      <c r="L78" s="148"/>
      <c r="M78" s="95"/>
      <c r="N78" s="148"/>
      <c r="O78" s="95"/>
      <c r="P78" s="95"/>
      <c r="Q78" s="95"/>
      <c r="R78" s="95"/>
      <c r="S78" s="148"/>
      <c r="T78" s="95"/>
      <c r="U78" s="148"/>
      <c r="V78" s="95">
        <v>1</v>
      </c>
      <c r="W78" s="95"/>
      <c r="X78" s="95"/>
      <c r="Y78" s="95"/>
      <c r="Z78" s="148"/>
      <c r="AA78" s="95"/>
      <c r="AB78" s="148"/>
      <c r="AC78" s="95"/>
      <c r="AD78" s="95">
        <v>1</v>
      </c>
      <c r="AE78" s="95"/>
      <c r="AF78" s="95">
        <v>1</v>
      </c>
      <c r="AG78" s="66">
        <f t="shared" si="5"/>
        <v>2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6"/>
        <v>小翔</v>
      </c>
      <c r="AJ78" s="73"/>
    </row>
    <row r="79" spans="1:36" ht="18" customHeight="1">
      <c r="A79" s="95" t="s">
        <v>58</v>
      </c>
      <c r="B79" s="96" t="s">
        <v>179</v>
      </c>
      <c r="C79" s="95"/>
      <c r="D79" s="116"/>
      <c r="E79" s="148"/>
      <c r="F79" s="95"/>
      <c r="G79" s="95"/>
      <c r="H79" s="148"/>
      <c r="I79" s="95"/>
      <c r="J79" s="95"/>
      <c r="K79" s="95"/>
      <c r="L79" s="148"/>
      <c r="M79" s="95"/>
      <c r="N79" s="148"/>
      <c r="O79" s="95"/>
      <c r="P79" s="95"/>
      <c r="Q79" s="95"/>
      <c r="R79" s="95"/>
      <c r="S79" s="148"/>
      <c r="T79" s="95"/>
      <c r="U79" s="148"/>
      <c r="V79" s="95"/>
      <c r="W79" s="95"/>
      <c r="X79" s="95"/>
      <c r="Y79" s="95"/>
      <c r="Z79" s="148"/>
      <c r="AA79" s="95"/>
      <c r="AB79" s="148"/>
      <c r="AC79" s="95"/>
      <c r="AD79" s="95"/>
      <c r="AE79" s="95"/>
      <c r="AF79" s="95"/>
      <c r="AG79" s="66">
        <f t="shared" si="5"/>
        <v>0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6"/>
        <v>玹玹</v>
      </c>
      <c r="AJ79" s="73"/>
    </row>
    <row r="80" spans="1:36" ht="18" customHeight="1">
      <c r="A80" s="95" t="s">
        <v>58</v>
      </c>
      <c r="B80" s="96" t="s">
        <v>85</v>
      </c>
      <c r="C80" s="95"/>
      <c r="D80" s="116"/>
      <c r="E80" s="148"/>
      <c r="F80" s="95"/>
      <c r="G80" s="95"/>
      <c r="H80" s="148"/>
      <c r="I80" s="95"/>
      <c r="J80" s="95"/>
      <c r="K80" s="95"/>
      <c r="L80" s="148"/>
      <c r="M80" s="95"/>
      <c r="N80" s="148"/>
      <c r="O80" s="95"/>
      <c r="P80" s="95"/>
      <c r="Q80" s="95"/>
      <c r="R80" s="95"/>
      <c r="S80" s="148"/>
      <c r="T80" s="95"/>
      <c r="U80" s="148"/>
      <c r="V80" s="95"/>
      <c r="W80" s="95"/>
      <c r="X80" s="95"/>
      <c r="Y80" s="95"/>
      <c r="Z80" s="148"/>
      <c r="AA80" s="95"/>
      <c r="AB80" s="148"/>
      <c r="AC80" s="95"/>
      <c r="AD80" s="95"/>
      <c r="AE80" s="95"/>
      <c r="AF80" s="95"/>
      <c r="AG80" s="66">
        <f t="shared" si="5"/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6"/>
        <v>阿璽</v>
      </c>
      <c r="AJ80" s="73"/>
    </row>
    <row r="81" spans="1:36" ht="18" customHeight="1">
      <c r="A81" s="95" t="s">
        <v>58</v>
      </c>
      <c r="B81" s="96" t="s">
        <v>33</v>
      </c>
      <c r="C81" s="95"/>
      <c r="D81" s="116"/>
      <c r="E81" s="148"/>
      <c r="F81" s="95"/>
      <c r="G81" s="95"/>
      <c r="H81" s="148"/>
      <c r="I81" s="95"/>
      <c r="J81" s="95"/>
      <c r="K81" s="95"/>
      <c r="L81" s="148"/>
      <c r="M81" s="95"/>
      <c r="N81" s="148"/>
      <c r="O81" s="95"/>
      <c r="P81" s="95"/>
      <c r="Q81" s="95"/>
      <c r="R81" s="95"/>
      <c r="S81" s="148"/>
      <c r="T81" s="95"/>
      <c r="U81" s="148"/>
      <c r="V81" s="95"/>
      <c r="W81" s="95"/>
      <c r="X81" s="95"/>
      <c r="Y81" s="95"/>
      <c r="Z81" s="148"/>
      <c r="AA81" s="95"/>
      <c r="AB81" s="148"/>
      <c r="AC81" s="95"/>
      <c r="AD81" s="95"/>
      <c r="AE81" s="95"/>
      <c r="AF81" s="95"/>
      <c r="AG81" s="66">
        <f t="shared" si="5"/>
        <v>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6"/>
        <v>一飛</v>
      </c>
      <c r="AJ81" s="73"/>
    </row>
    <row r="82" spans="1:36" ht="18" customHeight="1">
      <c r="A82" s="95" t="s">
        <v>58</v>
      </c>
      <c r="B82" s="96" t="s">
        <v>34</v>
      </c>
      <c r="C82" s="95"/>
      <c r="D82" s="116"/>
      <c r="E82" s="148"/>
      <c r="F82" s="95"/>
      <c r="G82" s="95"/>
      <c r="H82" s="148"/>
      <c r="I82" s="95"/>
      <c r="J82" s="95"/>
      <c r="K82" s="95"/>
      <c r="L82" s="148"/>
      <c r="M82" s="95"/>
      <c r="N82" s="148"/>
      <c r="O82" s="95"/>
      <c r="P82" s="95"/>
      <c r="Q82" s="95"/>
      <c r="R82" s="95"/>
      <c r="S82" s="148"/>
      <c r="T82" s="95"/>
      <c r="U82" s="148"/>
      <c r="V82" s="95"/>
      <c r="W82" s="95"/>
      <c r="X82" s="95"/>
      <c r="Y82" s="95"/>
      <c r="Z82" s="148"/>
      <c r="AA82" s="95"/>
      <c r="AB82" s="148"/>
      <c r="AC82" s="95"/>
      <c r="AD82" s="95"/>
      <c r="AE82" s="95"/>
      <c r="AF82" s="95"/>
      <c r="AG82" s="66">
        <f t="shared" si="5"/>
        <v>0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6"/>
        <v>雲翔</v>
      </c>
      <c r="AJ82" s="70"/>
    </row>
    <row r="83" spans="1:36" ht="18" customHeight="1">
      <c r="A83" s="95" t="s">
        <v>58</v>
      </c>
      <c r="B83" s="96" t="s">
        <v>88</v>
      </c>
      <c r="C83" s="95"/>
      <c r="D83" s="116"/>
      <c r="E83" s="148"/>
      <c r="F83" s="95"/>
      <c r="G83" s="95"/>
      <c r="H83" s="148"/>
      <c r="I83" s="95"/>
      <c r="J83" s="95"/>
      <c r="K83" s="95"/>
      <c r="L83" s="148"/>
      <c r="M83" s="95"/>
      <c r="N83" s="148"/>
      <c r="O83" s="95"/>
      <c r="P83" s="95"/>
      <c r="Q83" s="95"/>
      <c r="R83" s="95"/>
      <c r="S83" s="148"/>
      <c r="T83" s="95"/>
      <c r="U83" s="148"/>
      <c r="V83" s="95"/>
      <c r="W83" s="95"/>
      <c r="X83" s="95"/>
      <c r="Y83" s="95"/>
      <c r="Z83" s="148"/>
      <c r="AA83" s="95"/>
      <c r="AB83" s="148"/>
      <c r="AC83" s="95"/>
      <c r="AD83" s="95"/>
      <c r="AE83" s="95"/>
      <c r="AF83" s="95"/>
      <c r="AG83" s="66">
        <f t="shared" si="5"/>
        <v>0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6"/>
        <v>皓皓</v>
      </c>
      <c r="AJ83" s="70"/>
    </row>
    <row r="84" spans="1:36" ht="18" customHeight="1">
      <c r="A84" s="95" t="s">
        <v>58</v>
      </c>
      <c r="B84" s="96" t="s">
        <v>35</v>
      </c>
      <c r="C84" s="95"/>
      <c r="D84" s="116"/>
      <c r="E84" s="148"/>
      <c r="F84" s="95"/>
      <c r="G84" s="95"/>
      <c r="H84" s="148"/>
      <c r="I84" s="95"/>
      <c r="J84" s="95"/>
      <c r="K84" s="95"/>
      <c r="L84" s="148"/>
      <c r="M84" s="95"/>
      <c r="N84" s="148"/>
      <c r="O84" s="95"/>
      <c r="P84" s="95"/>
      <c r="Q84" s="95"/>
      <c r="R84" s="95"/>
      <c r="S84" s="148"/>
      <c r="T84" s="95"/>
      <c r="U84" s="148"/>
      <c r="V84" s="95"/>
      <c r="W84" s="95"/>
      <c r="X84" s="95"/>
      <c r="Y84" s="95"/>
      <c r="Z84" s="148"/>
      <c r="AA84" s="95"/>
      <c r="AB84" s="148"/>
      <c r="AC84" s="95"/>
      <c r="AD84" s="95"/>
      <c r="AE84" s="95"/>
      <c r="AF84" s="95"/>
      <c r="AG84" s="66">
        <f t="shared" si="5"/>
        <v>0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6"/>
        <v>阿戴</v>
      </c>
      <c r="AJ84" s="70"/>
    </row>
    <row r="85" spans="1:36" ht="18" customHeight="1">
      <c r="A85" s="95" t="s">
        <v>58</v>
      </c>
      <c r="B85" s="96" t="s">
        <v>36</v>
      </c>
      <c r="C85" s="95"/>
      <c r="D85" s="116"/>
      <c r="E85" s="148"/>
      <c r="F85" s="95"/>
      <c r="G85" s="95"/>
      <c r="H85" s="148"/>
      <c r="I85" s="95"/>
      <c r="J85" s="95"/>
      <c r="K85" s="95"/>
      <c r="L85" s="148"/>
      <c r="M85" s="95"/>
      <c r="N85" s="148"/>
      <c r="O85" s="95"/>
      <c r="P85" s="95"/>
      <c r="Q85" s="95"/>
      <c r="R85" s="95"/>
      <c r="S85" s="148"/>
      <c r="T85" s="95"/>
      <c r="U85" s="148"/>
      <c r="V85" s="95"/>
      <c r="W85" s="95"/>
      <c r="X85" s="95"/>
      <c r="Y85" s="95"/>
      <c r="Z85" s="148"/>
      <c r="AA85" s="95"/>
      <c r="AB85" s="148"/>
      <c r="AC85" s="95"/>
      <c r="AD85" s="95"/>
      <c r="AE85" s="95"/>
      <c r="AF85" s="95"/>
      <c r="AG85" s="66">
        <f t="shared" si="5"/>
        <v>0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6"/>
        <v>子澔</v>
      </c>
      <c r="AJ85" s="70"/>
    </row>
    <row r="86" spans="1:36" ht="18" customHeight="1">
      <c r="A86" s="95" t="s">
        <v>58</v>
      </c>
      <c r="B86" s="96" t="s">
        <v>37</v>
      </c>
      <c r="C86" s="95"/>
      <c r="D86" s="116">
        <v>1</v>
      </c>
      <c r="E86" s="148"/>
      <c r="F86" s="95"/>
      <c r="G86" s="95"/>
      <c r="H86" s="148"/>
      <c r="I86" s="95"/>
      <c r="J86" s="95"/>
      <c r="K86" s="95">
        <v>1</v>
      </c>
      <c r="L86" s="148"/>
      <c r="M86" s="95">
        <v>1</v>
      </c>
      <c r="N86" s="148"/>
      <c r="O86" s="95">
        <v>1</v>
      </c>
      <c r="P86" s="95"/>
      <c r="Q86" s="95"/>
      <c r="R86" s="95"/>
      <c r="S86" s="148"/>
      <c r="T86" s="95">
        <v>1</v>
      </c>
      <c r="U86" s="148"/>
      <c r="V86" s="95">
        <v>1</v>
      </c>
      <c r="W86" s="95"/>
      <c r="X86" s="95"/>
      <c r="Y86" s="95"/>
      <c r="Z86" s="148"/>
      <c r="AA86" s="95">
        <v>1</v>
      </c>
      <c r="AB86" s="148"/>
      <c r="AC86" s="95">
        <v>1</v>
      </c>
      <c r="AD86" s="95">
        <v>1</v>
      </c>
      <c r="AE86" s="95"/>
      <c r="AF86" s="95">
        <v>1</v>
      </c>
      <c r="AG86" s="66">
        <f t="shared" si="5"/>
        <v>9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6"/>
        <v>魚仔</v>
      </c>
      <c r="AJ86" s="70"/>
    </row>
    <row r="87" spans="1:36" ht="18" customHeight="1">
      <c r="A87" s="95" t="s">
        <v>58</v>
      </c>
      <c r="B87" s="96" t="s">
        <v>87</v>
      </c>
      <c r="C87" s="95"/>
      <c r="D87" s="116"/>
      <c r="E87" s="148"/>
      <c r="F87" s="95"/>
      <c r="G87" s="95"/>
      <c r="H87" s="148"/>
      <c r="I87" s="95"/>
      <c r="J87" s="95"/>
      <c r="K87" s="95">
        <v>1</v>
      </c>
      <c r="L87" s="148"/>
      <c r="M87" s="95"/>
      <c r="N87" s="148"/>
      <c r="O87" s="95"/>
      <c r="P87" s="95"/>
      <c r="Q87" s="95"/>
      <c r="R87" s="95"/>
      <c r="S87" s="148"/>
      <c r="T87" s="95"/>
      <c r="U87" s="148"/>
      <c r="V87" s="95"/>
      <c r="W87" s="95"/>
      <c r="X87" s="95"/>
      <c r="Y87" s="95">
        <v>1</v>
      </c>
      <c r="Z87" s="148"/>
      <c r="AA87" s="95">
        <v>1</v>
      </c>
      <c r="AB87" s="148"/>
      <c r="AC87" s="95"/>
      <c r="AD87" s="95">
        <v>1</v>
      </c>
      <c r="AE87" s="95"/>
      <c r="AF87" s="95">
        <v>1</v>
      </c>
      <c r="AG87" s="66">
        <f t="shared" si="5"/>
        <v>4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6"/>
        <v>Mango</v>
      </c>
      <c r="AJ87" s="70"/>
    </row>
    <row r="88" spans="1:36" ht="18" customHeight="1">
      <c r="A88" s="95" t="s">
        <v>58</v>
      </c>
      <c r="B88" s="96" t="s">
        <v>38</v>
      </c>
      <c r="C88" s="95"/>
      <c r="D88" s="116"/>
      <c r="E88" s="148"/>
      <c r="F88" s="95"/>
      <c r="G88" s="95"/>
      <c r="H88" s="148"/>
      <c r="I88" s="95"/>
      <c r="J88" s="95"/>
      <c r="K88" s="95"/>
      <c r="L88" s="148"/>
      <c r="M88" s="95"/>
      <c r="N88" s="148"/>
      <c r="O88" s="95">
        <v>1</v>
      </c>
      <c r="P88" s="95"/>
      <c r="Q88" s="95"/>
      <c r="R88" s="95"/>
      <c r="S88" s="148"/>
      <c r="T88" s="95"/>
      <c r="U88" s="148"/>
      <c r="V88" s="95"/>
      <c r="W88" s="95">
        <v>1</v>
      </c>
      <c r="X88" s="95"/>
      <c r="Y88" s="95"/>
      <c r="Z88" s="148"/>
      <c r="AA88" s="95">
        <v>1</v>
      </c>
      <c r="AB88" s="148"/>
      <c r="AC88" s="95">
        <v>1</v>
      </c>
      <c r="AD88" s="95"/>
      <c r="AE88" s="95">
        <v>1</v>
      </c>
      <c r="AF88" s="95"/>
      <c r="AG88" s="66">
        <f t="shared" si="5"/>
        <v>4</v>
      </c>
      <c r="AH88" s="6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69" t="str">
        <f t="shared" si="6"/>
        <v>阿龍</v>
      </c>
      <c r="AJ88" s="70"/>
    </row>
    <row r="89" spans="1:36" ht="18" customHeight="1">
      <c r="A89" s="95" t="s">
        <v>58</v>
      </c>
      <c r="B89" s="96" t="s">
        <v>220</v>
      </c>
      <c r="C89" s="95"/>
      <c r="D89" s="116"/>
      <c r="E89" s="148"/>
      <c r="F89" s="95"/>
      <c r="G89" s="95"/>
      <c r="H89" s="148"/>
      <c r="I89" s="95"/>
      <c r="J89" s="95"/>
      <c r="K89" s="95"/>
      <c r="L89" s="148"/>
      <c r="M89" s="95"/>
      <c r="N89" s="148"/>
      <c r="O89" s="95">
        <v>1</v>
      </c>
      <c r="P89" s="95"/>
      <c r="Q89" s="95"/>
      <c r="R89" s="95"/>
      <c r="S89" s="148"/>
      <c r="T89" s="95"/>
      <c r="U89" s="148"/>
      <c r="V89" s="95">
        <v>1</v>
      </c>
      <c r="W89" s="95"/>
      <c r="X89" s="95"/>
      <c r="Y89" s="95"/>
      <c r="Z89" s="148"/>
      <c r="AA89" s="95"/>
      <c r="AB89" s="148"/>
      <c r="AC89" s="95"/>
      <c r="AD89" s="95"/>
      <c r="AE89" s="95"/>
      <c r="AF89" s="95"/>
      <c r="AG89" s="66">
        <f t="shared" si="5"/>
        <v>2</v>
      </c>
      <c r="AH89" s="6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69" t="s">
        <v>220</v>
      </c>
      <c r="AJ89" s="70"/>
    </row>
    <row r="90" spans="1:36" ht="18" customHeight="1">
      <c r="A90" s="95" t="s">
        <v>58</v>
      </c>
      <c r="B90" s="96" t="s">
        <v>45</v>
      </c>
      <c r="C90" s="95"/>
      <c r="D90" s="116"/>
      <c r="E90" s="148"/>
      <c r="F90" s="95"/>
      <c r="G90" s="95"/>
      <c r="H90" s="148"/>
      <c r="I90" s="95"/>
      <c r="J90" s="95"/>
      <c r="K90" s="95"/>
      <c r="L90" s="148"/>
      <c r="M90" s="95"/>
      <c r="N90" s="148"/>
      <c r="O90" s="95">
        <v>1</v>
      </c>
      <c r="P90" s="95">
        <v>1</v>
      </c>
      <c r="Q90" s="95"/>
      <c r="R90" s="95"/>
      <c r="S90" s="148"/>
      <c r="T90" s="95"/>
      <c r="U90" s="148"/>
      <c r="V90" s="95">
        <v>1</v>
      </c>
      <c r="W90" s="95"/>
      <c r="X90" s="95"/>
      <c r="Y90" s="95"/>
      <c r="Z90" s="148"/>
      <c r="AA90" s="95"/>
      <c r="AB90" s="148"/>
      <c r="AC90" s="95"/>
      <c r="AD90" s="95"/>
      <c r="AE90" s="95"/>
      <c r="AF90" s="95"/>
      <c r="AG90" s="66">
        <f t="shared" si="5"/>
        <v>3</v>
      </c>
      <c r="AH90" s="6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69" t="s">
        <v>45</v>
      </c>
      <c r="AJ90" s="70"/>
    </row>
    <row r="91" spans="1:36" ht="18" customHeight="1">
      <c r="A91" s="99" t="s">
        <v>58</v>
      </c>
      <c r="B91" s="100" t="s">
        <v>151</v>
      </c>
      <c r="C91" s="99">
        <v>1</v>
      </c>
      <c r="D91" s="132"/>
      <c r="E91" s="148"/>
      <c r="F91" s="99"/>
      <c r="G91" s="99"/>
      <c r="H91" s="148"/>
      <c r="I91" s="99"/>
      <c r="J91" s="99">
        <v>1</v>
      </c>
      <c r="K91" s="99"/>
      <c r="L91" s="148"/>
      <c r="M91" s="99">
        <v>1</v>
      </c>
      <c r="N91" s="148"/>
      <c r="O91" s="99"/>
      <c r="P91" s="99"/>
      <c r="Q91" s="99"/>
      <c r="R91" s="99"/>
      <c r="S91" s="148"/>
      <c r="T91" s="99">
        <v>1</v>
      </c>
      <c r="U91" s="148"/>
      <c r="V91" s="99"/>
      <c r="W91" s="99"/>
      <c r="X91" s="99"/>
      <c r="Y91" s="99">
        <v>1</v>
      </c>
      <c r="Z91" s="148"/>
      <c r="AA91" s="99">
        <v>1</v>
      </c>
      <c r="AB91" s="148"/>
      <c r="AC91" s="99">
        <v>1</v>
      </c>
      <c r="AD91" s="99"/>
      <c r="AE91" s="99"/>
      <c r="AF91" s="99"/>
      <c r="AG91" s="77">
        <f t="shared" si="5"/>
        <v>7</v>
      </c>
      <c r="AH91" s="98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79" t="str">
        <f t="shared" ref="AI91:AI135" si="7">B91</f>
        <v>宇嬅</v>
      </c>
      <c r="AJ91" s="82"/>
    </row>
    <row r="92" spans="1:36" ht="18" customHeight="1">
      <c r="A92" s="99" t="s">
        <v>58</v>
      </c>
      <c r="B92" s="100" t="s">
        <v>152</v>
      </c>
      <c r="C92" s="99"/>
      <c r="D92" s="132">
        <v>1</v>
      </c>
      <c r="E92" s="148"/>
      <c r="F92" s="99"/>
      <c r="G92" s="99"/>
      <c r="H92" s="148"/>
      <c r="I92" s="99"/>
      <c r="J92" s="99"/>
      <c r="K92" s="99">
        <v>1</v>
      </c>
      <c r="L92" s="148"/>
      <c r="M92" s="99"/>
      <c r="N92" s="148"/>
      <c r="O92" s="99"/>
      <c r="P92" s="99"/>
      <c r="Q92" s="99"/>
      <c r="R92" s="99"/>
      <c r="S92" s="148"/>
      <c r="T92" s="99"/>
      <c r="U92" s="148"/>
      <c r="V92" s="99"/>
      <c r="W92" s="99"/>
      <c r="X92" s="99"/>
      <c r="Y92" s="99"/>
      <c r="Z92" s="148"/>
      <c r="AA92" s="99"/>
      <c r="AB92" s="148"/>
      <c r="AC92" s="99"/>
      <c r="AD92" s="99"/>
      <c r="AE92" s="99"/>
      <c r="AF92" s="99"/>
      <c r="AG92" s="77">
        <f t="shared" si="5"/>
        <v>2</v>
      </c>
      <c r="AH92" s="98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79" t="str">
        <f t="shared" si="7"/>
        <v>阿俗</v>
      </c>
      <c r="AJ92" s="81"/>
    </row>
    <row r="93" spans="1:36" ht="18" customHeight="1">
      <c r="A93" s="99" t="s">
        <v>58</v>
      </c>
      <c r="B93" s="100" t="s">
        <v>153</v>
      </c>
      <c r="C93" s="99"/>
      <c r="D93" s="132"/>
      <c r="E93" s="148"/>
      <c r="F93" s="99"/>
      <c r="G93" s="99"/>
      <c r="H93" s="148"/>
      <c r="I93" s="99"/>
      <c r="J93" s="99"/>
      <c r="K93" s="99"/>
      <c r="L93" s="148"/>
      <c r="M93" s="99"/>
      <c r="N93" s="148"/>
      <c r="O93" s="99"/>
      <c r="P93" s="99"/>
      <c r="Q93" s="99"/>
      <c r="R93" s="99"/>
      <c r="S93" s="148"/>
      <c r="T93" s="99"/>
      <c r="U93" s="148"/>
      <c r="V93" s="99"/>
      <c r="W93" s="99"/>
      <c r="X93" s="99"/>
      <c r="Y93" s="99"/>
      <c r="Z93" s="148"/>
      <c r="AA93" s="99"/>
      <c r="AB93" s="148"/>
      <c r="AC93" s="99"/>
      <c r="AD93" s="99"/>
      <c r="AE93" s="99"/>
      <c r="AF93" s="99"/>
      <c r="AG93" s="77">
        <f t="shared" si="5"/>
        <v>0</v>
      </c>
      <c r="AH93" s="9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79" t="str">
        <f t="shared" si="7"/>
        <v>傻妹</v>
      </c>
      <c r="AJ93" s="81"/>
    </row>
    <row r="94" spans="1:36" ht="18" customHeight="1">
      <c r="A94" s="99" t="s">
        <v>58</v>
      </c>
      <c r="B94" s="100" t="s">
        <v>96</v>
      </c>
      <c r="C94" s="99"/>
      <c r="D94" s="132"/>
      <c r="E94" s="148"/>
      <c r="F94" s="99"/>
      <c r="G94" s="99"/>
      <c r="H94" s="148"/>
      <c r="I94" s="99"/>
      <c r="J94" s="99"/>
      <c r="K94" s="99">
        <v>1</v>
      </c>
      <c r="L94" s="148"/>
      <c r="M94" s="99">
        <v>1</v>
      </c>
      <c r="N94" s="148"/>
      <c r="O94" s="99"/>
      <c r="P94" s="99"/>
      <c r="Q94" s="99"/>
      <c r="R94" s="99"/>
      <c r="S94" s="148"/>
      <c r="T94" s="99">
        <v>1</v>
      </c>
      <c r="U94" s="148"/>
      <c r="V94" s="99"/>
      <c r="W94" s="99"/>
      <c r="X94" s="99"/>
      <c r="Y94" s="99"/>
      <c r="Z94" s="148"/>
      <c r="AA94" s="99">
        <v>1</v>
      </c>
      <c r="AB94" s="148"/>
      <c r="AC94" s="99">
        <v>1</v>
      </c>
      <c r="AD94" s="99"/>
      <c r="AE94" s="99"/>
      <c r="AF94" s="99"/>
      <c r="AG94" s="77">
        <f t="shared" si="5"/>
        <v>5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si="7"/>
        <v>靜婷</v>
      </c>
      <c r="AJ94" s="81"/>
    </row>
    <row r="95" spans="1:36" ht="18" customHeight="1">
      <c r="A95" s="99" t="s">
        <v>58</v>
      </c>
      <c r="B95" s="100" t="s">
        <v>154</v>
      </c>
      <c r="C95" s="99"/>
      <c r="D95" s="132"/>
      <c r="E95" s="148"/>
      <c r="F95" s="99"/>
      <c r="G95" s="99"/>
      <c r="H95" s="148"/>
      <c r="I95" s="99"/>
      <c r="J95" s="99"/>
      <c r="K95" s="99"/>
      <c r="L95" s="148"/>
      <c r="M95" s="99"/>
      <c r="N95" s="148"/>
      <c r="O95" s="99"/>
      <c r="P95" s="99"/>
      <c r="Q95" s="99"/>
      <c r="R95" s="99"/>
      <c r="S95" s="148"/>
      <c r="T95" s="99"/>
      <c r="U95" s="148"/>
      <c r="V95" s="99"/>
      <c r="W95" s="99"/>
      <c r="X95" s="99"/>
      <c r="Y95" s="99"/>
      <c r="Z95" s="148"/>
      <c r="AA95" s="99"/>
      <c r="AB95" s="148"/>
      <c r="AC95" s="99"/>
      <c r="AD95" s="99"/>
      <c r="AE95" s="99"/>
      <c r="AF95" s="99"/>
      <c r="AG95" s="77">
        <f t="shared" si="5"/>
        <v>0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7"/>
        <v>筱攸</v>
      </c>
      <c r="AJ95" s="81"/>
    </row>
    <row r="96" spans="1:36" ht="18" customHeight="1">
      <c r="A96" s="99" t="s">
        <v>58</v>
      </c>
      <c r="B96" s="100" t="s">
        <v>155</v>
      </c>
      <c r="C96" s="99"/>
      <c r="D96" s="132"/>
      <c r="E96" s="148"/>
      <c r="F96" s="99"/>
      <c r="G96" s="99"/>
      <c r="H96" s="148"/>
      <c r="I96" s="99"/>
      <c r="J96" s="99"/>
      <c r="K96" s="99"/>
      <c r="L96" s="148"/>
      <c r="M96" s="99"/>
      <c r="N96" s="148"/>
      <c r="O96" s="99"/>
      <c r="P96" s="99"/>
      <c r="Q96" s="99"/>
      <c r="R96" s="99"/>
      <c r="S96" s="148"/>
      <c r="T96" s="99"/>
      <c r="U96" s="148"/>
      <c r="V96" s="99"/>
      <c r="W96" s="99"/>
      <c r="X96" s="99"/>
      <c r="Y96" s="99"/>
      <c r="Z96" s="148"/>
      <c r="AA96" s="99"/>
      <c r="AB96" s="148"/>
      <c r="AC96" s="99"/>
      <c r="AD96" s="99"/>
      <c r="AE96" s="99"/>
      <c r="AF96" s="99"/>
      <c r="AG96" s="77">
        <f t="shared" si="5"/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7"/>
        <v>康康</v>
      </c>
      <c r="AJ96" s="81"/>
    </row>
    <row r="97" spans="1:36" ht="18" customHeight="1">
      <c r="A97" s="99" t="s">
        <v>58</v>
      </c>
      <c r="B97" s="100" t="s">
        <v>156</v>
      </c>
      <c r="C97" s="99"/>
      <c r="D97" s="132"/>
      <c r="E97" s="148"/>
      <c r="F97" s="99"/>
      <c r="G97" s="99"/>
      <c r="H97" s="148"/>
      <c r="I97" s="99"/>
      <c r="J97" s="99"/>
      <c r="K97" s="99"/>
      <c r="L97" s="148"/>
      <c r="M97" s="99"/>
      <c r="N97" s="148"/>
      <c r="O97" s="99"/>
      <c r="P97" s="99"/>
      <c r="Q97" s="99"/>
      <c r="R97" s="99"/>
      <c r="S97" s="148"/>
      <c r="T97" s="99"/>
      <c r="U97" s="148"/>
      <c r="V97" s="99"/>
      <c r="W97" s="99"/>
      <c r="X97" s="99"/>
      <c r="Y97" s="99"/>
      <c r="Z97" s="148"/>
      <c r="AA97" s="99"/>
      <c r="AB97" s="148"/>
      <c r="AC97" s="99"/>
      <c r="AD97" s="99"/>
      <c r="AE97" s="99"/>
      <c r="AF97" s="99"/>
      <c r="AG97" s="77">
        <f t="shared" si="5"/>
        <v>0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7"/>
        <v>阿金</v>
      </c>
      <c r="AJ97" s="81"/>
    </row>
    <row r="98" spans="1:36" ht="18" customHeight="1">
      <c r="A98" s="99" t="s">
        <v>58</v>
      </c>
      <c r="B98" s="100" t="s">
        <v>157</v>
      </c>
      <c r="C98" s="99"/>
      <c r="D98" s="132"/>
      <c r="E98" s="148"/>
      <c r="F98" s="99"/>
      <c r="G98" s="99"/>
      <c r="H98" s="148"/>
      <c r="I98" s="99"/>
      <c r="J98" s="99"/>
      <c r="K98" s="99"/>
      <c r="L98" s="148"/>
      <c r="M98" s="99"/>
      <c r="N98" s="148"/>
      <c r="O98" s="99"/>
      <c r="P98" s="99"/>
      <c r="Q98" s="99"/>
      <c r="R98" s="99"/>
      <c r="S98" s="148"/>
      <c r="T98" s="99"/>
      <c r="U98" s="148"/>
      <c r="V98" s="99"/>
      <c r="W98" s="99"/>
      <c r="X98" s="99"/>
      <c r="Y98" s="99"/>
      <c r="Z98" s="148"/>
      <c r="AA98" s="99"/>
      <c r="AB98" s="148"/>
      <c r="AC98" s="99"/>
      <c r="AD98" s="99"/>
      <c r="AE98" s="99"/>
      <c r="AF98" s="99"/>
      <c r="AG98" s="77">
        <f t="shared" si="5"/>
        <v>0</v>
      </c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7"/>
        <v>派大</v>
      </c>
      <c r="AJ98" s="81"/>
    </row>
    <row r="99" spans="1:36" ht="18" customHeight="1">
      <c r="A99" s="99" t="s">
        <v>58</v>
      </c>
      <c r="B99" s="100" t="s">
        <v>158</v>
      </c>
      <c r="C99" s="99"/>
      <c r="D99" s="132"/>
      <c r="E99" s="148"/>
      <c r="F99" s="99"/>
      <c r="G99" s="99"/>
      <c r="H99" s="148"/>
      <c r="I99" s="99"/>
      <c r="J99" s="99"/>
      <c r="K99" s="99"/>
      <c r="L99" s="148"/>
      <c r="M99" s="99"/>
      <c r="N99" s="148"/>
      <c r="O99" s="99"/>
      <c r="P99" s="99"/>
      <c r="Q99" s="99"/>
      <c r="R99" s="99"/>
      <c r="S99" s="148"/>
      <c r="T99" s="99"/>
      <c r="U99" s="148"/>
      <c r="V99" s="99"/>
      <c r="W99" s="99"/>
      <c r="X99" s="99"/>
      <c r="Y99" s="99"/>
      <c r="Z99" s="148"/>
      <c r="AA99" s="99"/>
      <c r="AB99" s="148"/>
      <c r="AC99" s="99"/>
      <c r="AD99" s="99"/>
      <c r="AE99" s="99"/>
      <c r="AF99" s="99"/>
      <c r="AG99" s="77">
        <f t="shared" si="5"/>
        <v>0</v>
      </c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7"/>
        <v>吉娃</v>
      </c>
      <c r="AJ99" s="81"/>
    </row>
    <row r="100" spans="1:36" ht="18" customHeight="1">
      <c r="A100" s="99" t="s">
        <v>58</v>
      </c>
      <c r="B100" s="100" t="s">
        <v>159</v>
      </c>
      <c r="C100" s="99"/>
      <c r="D100" s="132"/>
      <c r="E100" s="148"/>
      <c r="F100" s="99"/>
      <c r="G100" s="99"/>
      <c r="H100" s="148"/>
      <c r="I100" s="99"/>
      <c r="J100" s="99"/>
      <c r="K100" s="99"/>
      <c r="L100" s="148"/>
      <c r="M100" s="99"/>
      <c r="N100" s="148"/>
      <c r="O100" s="99"/>
      <c r="P100" s="99"/>
      <c r="Q100" s="99"/>
      <c r="R100" s="99"/>
      <c r="S100" s="148"/>
      <c r="T100" s="99"/>
      <c r="U100" s="148"/>
      <c r="V100" s="99"/>
      <c r="W100" s="99"/>
      <c r="X100" s="99"/>
      <c r="Y100" s="99"/>
      <c r="Z100" s="148"/>
      <c r="AA100" s="99"/>
      <c r="AB100" s="148"/>
      <c r="AC100" s="99"/>
      <c r="AD100" s="99"/>
      <c r="AE100" s="99"/>
      <c r="AF100" s="99"/>
      <c r="AG100" s="77">
        <f t="shared" ref="AG100:AG135" si="8">COUNTA(C100:AD100)</f>
        <v>0</v>
      </c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si="7"/>
        <v>小寧</v>
      </c>
      <c r="AJ100" s="81"/>
    </row>
    <row r="101" spans="1:36" ht="18" customHeight="1">
      <c r="A101" s="99" t="s">
        <v>58</v>
      </c>
      <c r="B101" s="100" t="s">
        <v>160</v>
      </c>
      <c r="C101" s="99"/>
      <c r="D101" s="132"/>
      <c r="E101" s="148"/>
      <c r="F101" s="99"/>
      <c r="G101" s="99"/>
      <c r="H101" s="148"/>
      <c r="I101" s="99"/>
      <c r="J101" s="99"/>
      <c r="K101" s="99"/>
      <c r="L101" s="148"/>
      <c r="M101" s="99"/>
      <c r="N101" s="148"/>
      <c r="O101" s="99"/>
      <c r="P101" s="99"/>
      <c r="Q101" s="99"/>
      <c r="R101" s="99"/>
      <c r="S101" s="148"/>
      <c r="T101" s="99"/>
      <c r="U101" s="148"/>
      <c r="V101" s="99"/>
      <c r="W101" s="99"/>
      <c r="X101" s="99"/>
      <c r="Y101" s="99"/>
      <c r="Z101" s="148"/>
      <c r="AA101" s="99"/>
      <c r="AB101" s="148"/>
      <c r="AC101" s="99"/>
      <c r="AD101" s="99"/>
      <c r="AE101" s="99"/>
      <c r="AF101" s="99"/>
      <c r="AG101" s="77">
        <f t="shared" si="8"/>
        <v>0</v>
      </c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7"/>
        <v>小妹</v>
      </c>
      <c r="AJ101" s="81"/>
    </row>
    <row r="102" spans="1:36" ht="18" customHeight="1">
      <c r="A102" s="99" t="s">
        <v>58</v>
      </c>
      <c r="B102" s="100" t="s">
        <v>101</v>
      </c>
      <c r="C102" s="99"/>
      <c r="D102" s="132"/>
      <c r="E102" s="148"/>
      <c r="F102" s="99"/>
      <c r="G102" s="99"/>
      <c r="H102" s="148"/>
      <c r="I102" s="99"/>
      <c r="J102" s="99"/>
      <c r="K102" s="99"/>
      <c r="L102" s="148"/>
      <c r="M102" s="99"/>
      <c r="N102" s="148"/>
      <c r="O102" s="99"/>
      <c r="P102" s="99"/>
      <c r="Q102" s="99"/>
      <c r="R102" s="99"/>
      <c r="S102" s="148"/>
      <c r="T102" s="99"/>
      <c r="U102" s="148"/>
      <c r="V102" s="99"/>
      <c r="W102" s="99"/>
      <c r="X102" s="99"/>
      <c r="Y102" s="99"/>
      <c r="Z102" s="148"/>
      <c r="AA102" s="99"/>
      <c r="AB102" s="148"/>
      <c r="AC102" s="99"/>
      <c r="AD102" s="99"/>
      <c r="AE102" s="99"/>
      <c r="AF102" s="99"/>
      <c r="AG102" s="77">
        <f t="shared" si="8"/>
        <v>0</v>
      </c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7"/>
        <v>文媛</v>
      </c>
      <c r="AJ102" s="81"/>
    </row>
    <row r="103" spans="1:36" ht="18" customHeight="1">
      <c r="A103" s="99" t="s">
        <v>58</v>
      </c>
      <c r="B103" s="100" t="s">
        <v>161</v>
      </c>
      <c r="C103" s="99"/>
      <c r="D103" s="132"/>
      <c r="E103" s="148"/>
      <c r="F103" s="99"/>
      <c r="G103" s="99"/>
      <c r="H103" s="148"/>
      <c r="I103" s="99"/>
      <c r="J103" s="99"/>
      <c r="K103" s="99"/>
      <c r="L103" s="148"/>
      <c r="M103" s="99"/>
      <c r="N103" s="148"/>
      <c r="O103" s="99"/>
      <c r="P103" s="99"/>
      <c r="Q103" s="99"/>
      <c r="R103" s="99"/>
      <c r="S103" s="148"/>
      <c r="T103" s="99"/>
      <c r="U103" s="148"/>
      <c r="V103" s="99"/>
      <c r="W103" s="99"/>
      <c r="X103" s="99"/>
      <c r="Y103" s="99"/>
      <c r="Z103" s="148"/>
      <c r="AA103" s="99"/>
      <c r="AB103" s="148"/>
      <c r="AC103" s="99"/>
      <c r="AD103" s="99"/>
      <c r="AE103" s="99"/>
      <c r="AF103" s="99"/>
      <c r="AG103" s="77">
        <f t="shared" si="8"/>
        <v>0</v>
      </c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7"/>
        <v>佩鈺</v>
      </c>
      <c r="AJ103" s="81"/>
    </row>
    <row r="104" spans="1:36" ht="18" customHeight="1">
      <c r="A104" s="99" t="s">
        <v>58</v>
      </c>
      <c r="B104" s="100" t="s">
        <v>162</v>
      </c>
      <c r="C104" s="99"/>
      <c r="D104" s="132"/>
      <c r="E104" s="148"/>
      <c r="F104" s="99"/>
      <c r="G104" s="99"/>
      <c r="H104" s="148"/>
      <c r="I104" s="99"/>
      <c r="J104" s="99"/>
      <c r="K104" s="99"/>
      <c r="L104" s="148"/>
      <c r="M104" s="99"/>
      <c r="N104" s="148"/>
      <c r="O104" s="99"/>
      <c r="P104" s="99"/>
      <c r="Q104" s="99"/>
      <c r="R104" s="99"/>
      <c r="S104" s="148"/>
      <c r="T104" s="99"/>
      <c r="U104" s="148"/>
      <c r="V104" s="99"/>
      <c r="W104" s="99"/>
      <c r="X104" s="99"/>
      <c r="Y104" s="99"/>
      <c r="Z104" s="148"/>
      <c r="AA104" s="99"/>
      <c r="AB104" s="148"/>
      <c r="AC104" s="99"/>
      <c r="AD104" s="99"/>
      <c r="AE104" s="99"/>
      <c r="AF104" s="99"/>
      <c r="AG104" s="77">
        <f t="shared" si="8"/>
        <v>0</v>
      </c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7"/>
        <v>阿布</v>
      </c>
      <c r="AJ104" s="81"/>
    </row>
    <row r="105" spans="1:36" ht="18" customHeight="1">
      <c r="A105" s="99" t="s">
        <v>58</v>
      </c>
      <c r="B105" s="100" t="s">
        <v>100</v>
      </c>
      <c r="C105" s="99"/>
      <c r="D105" s="132"/>
      <c r="E105" s="148"/>
      <c r="F105" s="99"/>
      <c r="G105" s="99"/>
      <c r="H105" s="148"/>
      <c r="I105" s="99"/>
      <c r="J105" s="99"/>
      <c r="K105" s="99"/>
      <c r="L105" s="148"/>
      <c r="M105" s="99"/>
      <c r="N105" s="148"/>
      <c r="O105" s="99"/>
      <c r="P105" s="99"/>
      <c r="Q105" s="99"/>
      <c r="R105" s="99"/>
      <c r="S105" s="148"/>
      <c r="T105" s="99"/>
      <c r="U105" s="148"/>
      <c r="V105" s="99"/>
      <c r="W105" s="99"/>
      <c r="X105" s="99"/>
      <c r="Y105" s="99"/>
      <c r="Z105" s="148"/>
      <c r="AA105" s="99">
        <v>1</v>
      </c>
      <c r="AB105" s="148"/>
      <c r="AC105" s="99">
        <v>1</v>
      </c>
      <c r="AD105" s="99"/>
      <c r="AE105" s="99">
        <v>1</v>
      </c>
      <c r="AF105" s="99"/>
      <c r="AG105" s="77">
        <f t="shared" si="8"/>
        <v>2</v>
      </c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7"/>
        <v>餅餅</v>
      </c>
      <c r="AJ105" s="81"/>
    </row>
    <row r="106" spans="1:36" ht="18" customHeight="1">
      <c r="A106" s="99" t="s">
        <v>58</v>
      </c>
      <c r="B106" s="100" t="s">
        <v>163</v>
      </c>
      <c r="C106" s="99"/>
      <c r="D106" s="132"/>
      <c r="E106" s="148"/>
      <c r="F106" s="99"/>
      <c r="G106" s="99"/>
      <c r="H106" s="148"/>
      <c r="I106" s="99"/>
      <c r="J106" s="99"/>
      <c r="K106" s="99"/>
      <c r="L106" s="148"/>
      <c r="M106" s="99"/>
      <c r="N106" s="148"/>
      <c r="O106" s="99"/>
      <c r="P106" s="99"/>
      <c r="Q106" s="99"/>
      <c r="R106" s="99"/>
      <c r="S106" s="148"/>
      <c r="T106" s="99"/>
      <c r="U106" s="148"/>
      <c r="V106" s="99"/>
      <c r="W106" s="99"/>
      <c r="X106" s="99"/>
      <c r="Y106" s="99"/>
      <c r="Z106" s="148"/>
      <c r="AA106" s="99"/>
      <c r="AB106" s="148"/>
      <c r="AC106" s="99"/>
      <c r="AD106" s="99"/>
      <c r="AE106" s="99"/>
      <c r="AF106" s="99"/>
      <c r="AG106" s="77">
        <f t="shared" si="8"/>
        <v>0</v>
      </c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7"/>
        <v>小個</v>
      </c>
      <c r="AJ106" s="81"/>
    </row>
    <row r="107" spans="1:36" ht="18" customHeight="1">
      <c r="A107" s="99" t="s">
        <v>58</v>
      </c>
      <c r="B107" s="100" t="s">
        <v>164</v>
      </c>
      <c r="C107" s="99"/>
      <c r="D107" s="132"/>
      <c r="E107" s="148"/>
      <c r="F107" s="99"/>
      <c r="G107" s="99"/>
      <c r="H107" s="148"/>
      <c r="I107" s="99"/>
      <c r="J107" s="99"/>
      <c r="K107" s="99"/>
      <c r="L107" s="148"/>
      <c r="M107" s="99"/>
      <c r="N107" s="148"/>
      <c r="O107" s="99"/>
      <c r="P107" s="99"/>
      <c r="Q107" s="99"/>
      <c r="R107" s="99"/>
      <c r="S107" s="148"/>
      <c r="T107" s="99"/>
      <c r="U107" s="148"/>
      <c r="V107" s="99"/>
      <c r="W107" s="99"/>
      <c r="X107" s="99"/>
      <c r="Y107" s="99"/>
      <c r="Z107" s="148"/>
      <c r="AA107" s="99"/>
      <c r="AB107" s="148"/>
      <c r="AC107" s="99"/>
      <c r="AD107" s="99"/>
      <c r="AE107" s="99"/>
      <c r="AF107" s="99"/>
      <c r="AG107" s="77">
        <f t="shared" si="8"/>
        <v>0</v>
      </c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7"/>
        <v>小菜</v>
      </c>
      <c r="AJ107" s="81"/>
    </row>
    <row r="108" spans="1:36" ht="18" customHeight="1">
      <c r="A108" s="99" t="s">
        <v>58</v>
      </c>
      <c r="B108" s="100" t="s">
        <v>102</v>
      </c>
      <c r="C108" s="99"/>
      <c r="D108" s="132"/>
      <c r="E108" s="148"/>
      <c r="F108" s="99"/>
      <c r="G108" s="99"/>
      <c r="H108" s="148"/>
      <c r="I108" s="99"/>
      <c r="J108" s="99"/>
      <c r="K108" s="99"/>
      <c r="L108" s="148"/>
      <c r="M108" s="99"/>
      <c r="N108" s="148"/>
      <c r="O108" s="99"/>
      <c r="P108" s="99"/>
      <c r="Q108" s="99"/>
      <c r="R108" s="99"/>
      <c r="S108" s="148"/>
      <c r="T108" s="99"/>
      <c r="U108" s="148"/>
      <c r="V108" s="99"/>
      <c r="W108" s="99"/>
      <c r="X108" s="99"/>
      <c r="Y108" s="99"/>
      <c r="Z108" s="148"/>
      <c r="AA108" s="99"/>
      <c r="AB108" s="148"/>
      <c r="AC108" s="99"/>
      <c r="AD108" s="99"/>
      <c r="AE108" s="99"/>
      <c r="AF108" s="99"/>
      <c r="AG108" s="77">
        <f t="shared" si="8"/>
        <v>0</v>
      </c>
      <c r="AH108" s="98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79" t="str">
        <f t="shared" si="7"/>
        <v>妮妮</v>
      </c>
      <c r="AJ108" s="81"/>
    </row>
    <row r="109" spans="1:36" ht="18" customHeight="1">
      <c r="A109" s="99" t="s">
        <v>58</v>
      </c>
      <c r="B109" s="100" t="s">
        <v>165</v>
      </c>
      <c r="C109" s="99"/>
      <c r="D109" s="132"/>
      <c r="E109" s="148"/>
      <c r="F109" s="99"/>
      <c r="G109" s="99"/>
      <c r="H109" s="148"/>
      <c r="I109" s="99"/>
      <c r="J109" s="99"/>
      <c r="K109" s="99"/>
      <c r="L109" s="148"/>
      <c r="M109" s="99"/>
      <c r="N109" s="148"/>
      <c r="O109" s="99">
        <v>1</v>
      </c>
      <c r="P109" s="99"/>
      <c r="Q109" s="99"/>
      <c r="R109" s="99"/>
      <c r="S109" s="148"/>
      <c r="T109" s="99"/>
      <c r="U109" s="148"/>
      <c r="V109" s="99"/>
      <c r="W109" s="99"/>
      <c r="X109" s="99"/>
      <c r="Y109" s="99"/>
      <c r="Z109" s="148"/>
      <c r="AA109" s="99"/>
      <c r="AB109" s="148"/>
      <c r="AC109" s="99"/>
      <c r="AD109" s="99"/>
      <c r="AE109" s="99"/>
      <c r="AF109" s="99"/>
      <c r="AG109" s="77">
        <f t="shared" si="8"/>
        <v>1</v>
      </c>
      <c r="AH109" s="98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79" t="str">
        <f t="shared" si="7"/>
        <v>小貓</v>
      </c>
      <c r="AJ109" s="81"/>
    </row>
    <row r="110" spans="1:36" ht="18" customHeight="1">
      <c r="A110" s="99" t="s">
        <v>58</v>
      </c>
      <c r="B110" s="100" t="s">
        <v>166</v>
      </c>
      <c r="C110" s="99"/>
      <c r="D110" s="132"/>
      <c r="E110" s="148"/>
      <c r="F110" s="99"/>
      <c r="G110" s="99"/>
      <c r="H110" s="148"/>
      <c r="I110" s="99"/>
      <c r="J110" s="99"/>
      <c r="K110" s="99"/>
      <c r="L110" s="148"/>
      <c r="M110" s="99"/>
      <c r="N110" s="148"/>
      <c r="O110" s="99"/>
      <c r="P110" s="99"/>
      <c r="Q110" s="99"/>
      <c r="R110" s="99"/>
      <c r="S110" s="148"/>
      <c r="T110" s="99"/>
      <c r="U110" s="148"/>
      <c r="V110" s="99"/>
      <c r="W110" s="99"/>
      <c r="X110" s="99"/>
      <c r="Y110" s="99"/>
      <c r="Z110" s="148"/>
      <c r="AA110" s="99"/>
      <c r="AB110" s="148"/>
      <c r="AC110" s="99"/>
      <c r="AD110" s="99"/>
      <c r="AE110" s="99"/>
      <c r="AF110" s="99"/>
      <c r="AG110" s="77">
        <f t="shared" si="8"/>
        <v>0</v>
      </c>
      <c r="AH110" s="98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79" t="str">
        <f t="shared" si="7"/>
        <v>哈比</v>
      </c>
      <c r="AJ110" s="81"/>
    </row>
    <row r="111" spans="1:36" ht="18" customHeight="1">
      <c r="A111" s="101" t="s">
        <v>58</v>
      </c>
      <c r="B111" s="102" t="s">
        <v>124</v>
      </c>
      <c r="C111" s="101"/>
      <c r="D111" s="137"/>
      <c r="E111" s="148"/>
      <c r="F111" s="101"/>
      <c r="G111" s="101"/>
      <c r="H111" s="148"/>
      <c r="I111" s="101"/>
      <c r="J111" s="101"/>
      <c r="K111" s="101"/>
      <c r="L111" s="148"/>
      <c r="M111" s="101"/>
      <c r="N111" s="148"/>
      <c r="O111" s="101"/>
      <c r="P111" s="101"/>
      <c r="Q111" s="101"/>
      <c r="R111" s="101"/>
      <c r="S111" s="148"/>
      <c r="T111" s="101"/>
      <c r="U111" s="148"/>
      <c r="V111" s="101"/>
      <c r="W111" s="101"/>
      <c r="X111" s="101"/>
      <c r="Y111" s="101"/>
      <c r="Z111" s="148"/>
      <c r="AA111" s="101"/>
      <c r="AB111" s="148"/>
      <c r="AC111" s="101"/>
      <c r="AD111" s="101"/>
      <c r="AE111" s="101"/>
      <c r="AF111" s="101"/>
      <c r="AG111" s="86">
        <f t="shared" si="8"/>
        <v>0</v>
      </c>
      <c r="AH111" s="103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88" t="str">
        <f t="shared" si="7"/>
        <v>玉蕙</v>
      </c>
      <c r="AJ111" s="89"/>
    </row>
    <row r="112" spans="1:36" ht="18" customHeight="1">
      <c r="A112" s="101" t="s">
        <v>58</v>
      </c>
      <c r="B112" s="102" t="s">
        <v>125</v>
      </c>
      <c r="C112" s="101"/>
      <c r="D112" s="137"/>
      <c r="E112" s="148"/>
      <c r="F112" s="101"/>
      <c r="G112" s="101"/>
      <c r="H112" s="148"/>
      <c r="I112" s="101"/>
      <c r="J112" s="101"/>
      <c r="K112" s="101"/>
      <c r="L112" s="148"/>
      <c r="M112" s="101"/>
      <c r="N112" s="148"/>
      <c r="O112" s="101"/>
      <c r="P112" s="101"/>
      <c r="Q112" s="101"/>
      <c r="R112" s="101"/>
      <c r="S112" s="148"/>
      <c r="T112" s="101"/>
      <c r="U112" s="148"/>
      <c r="V112" s="101"/>
      <c r="W112" s="101"/>
      <c r="X112" s="101"/>
      <c r="Y112" s="101"/>
      <c r="Z112" s="148"/>
      <c r="AA112" s="101"/>
      <c r="AB112" s="148"/>
      <c r="AC112" s="101"/>
      <c r="AD112" s="101"/>
      <c r="AE112" s="101"/>
      <c r="AF112" s="101"/>
      <c r="AG112" s="86">
        <f t="shared" si="8"/>
        <v>0</v>
      </c>
      <c r="AH112" s="103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88" t="str">
        <f t="shared" si="7"/>
        <v>沛緁</v>
      </c>
      <c r="AJ112" s="89"/>
    </row>
    <row r="113" spans="1:36" ht="18" customHeight="1">
      <c r="A113" s="101" t="s">
        <v>58</v>
      </c>
      <c r="B113" s="102" t="s">
        <v>126</v>
      </c>
      <c r="C113" s="101"/>
      <c r="D113" s="137"/>
      <c r="E113" s="148"/>
      <c r="F113" s="101"/>
      <c r="G113" s="101"/>
      <c r="H113" s="148"/>
      <c r="I113" s="101"/>
      <c r="J113" s="101"/>
      <c r="K113" s="101"/>
      <c r="L113" s="148"/>
      <c r="M113" s="101"/>
      <c r="N113" s="148"/>
      <c r="O113" s="101"/>
      <c r="P113" s="101"/>
      <c r="Q113" s="101"/>
      <c r="R113" s="101"/>
      <c r="S113" s="148"/>
      <c r="T113" s="101"/>
      <c r="U113" s="148"/>
      <c r="V113" s="101"/>
      <c r="W113" s="101"/>
      <c r="X113" s="101"/>
      <c r="Y113" s="101"/>
      <c r="Z113" s="148"/>
      <c r="AA113" s="101"/>
      <c r="AB113" s="148"/>
      <c r="AC113" s="101"/>
      <c r="AD113" s="101"/>
      <c r="AE113" s="101"/>
      <c r="AF113" s="101"/>
      <c r="AG113" s="86">
        <f t="shared" si="8"/>
        <v>0</v>
      </c>
      <c r="AH113" s="103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88" t="str">
        <f t="shared" si="7"/>
        <v>妹妹</v>
      </c>
      <c r="AJ113" s="89"/>
    </row>
    <row r="114" spans="1:36" ht="18" customHeight="1">
      <c r="A114" s="101" t="s">
        <v>58</v>
      </c>
      <c r="B114" s="102" t="s">
        <v>127</v>
      </c>
      <c r="C114" s="101"/>
      <c r="D114" s="137">
        <v>1</v>
      </c>
      <c r="E114" s="148"/>
      <c r="F114" s="101"/>
      <c r="G114" s="101">
        <v>1</v>
      </c>
      <c r="H114" s="148"/>
      <c r="I114" s="101"/>
      <c r="J114" s="101"/>
      <c r="K114" s="101">
        <v>1</v>
      </c>
      <c r="L114" s="148"/>
      <c r="M114" s="101">
        <v>1</v>
      </c>
      <c r="N114" s="148"/>
      <c r="O114" s="101">
        <v>1</v>
      </c>
      <c r="P114" s="101"/>
      <c r="Q114" s="101"/>
      <c r="R114" s="101"/>
      <c r="S114" s="148"/>
      <c r="T114" s="101">
        <v>1</v>
      </c>
      <c r="U114" s="148"/>
      <c r="V114" s="101">
        <v>1</v>
      </c>
      <c r="W114" s="101">
        <v>1</v>
      </c>
      <c r="X114" s="101"/>
      <c r="Y114" s="101">
        <v>1</v>
      </c>
      <c r="Z114" s="148"/>
      <c r="AA114" s="101"/>
      <c r="AB114" s="148"/>
      <c r="AC114" s="101">
        <v>1</v>
      </c>
      <c r="AD114" s="101"/>
      <c r="AE114" s="101"/>
      <c r="AF114" s="101"/>
      <c r="AG114" s="86">
        <f t="shared" si="8"/>
        <v>10</v>
      </c>
      <c r="AH114" s="103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88" t="str">
        <f t="shared" si="7"/>
        <v>小雞</v>
      </c>
      <c r="AJ114" s="89"/>
    </row>
    <row r="115" spans="1:36" ht="18" customHeight="1">
      <c r="A115" s="101" t="s">
        <v>58</v>
      </c>
      <c r="B115" s="102" t="s">
        <v>128</v>
      </c>
      <c r="C115" s="101"/>
      <c r="D115" s="137"/>
      <c r="E115" s="148"/>
      <c r="F115" s="101"/>
      <c r="G115" s="101"/>
      <c r="H115" s="148"/>
      <c r="I115" s="101"/>
      <c r="J115" s="101"/>
      <c r="K115" s="101"/>
      <c r="L115" s="148"/>
      <c r="M115" s="101"/>
      <c r="N115" s="148"/>
      <c r="O115" s="101"/>
      <c r="P115" s="101"/>
      <c r="Q115" s="101"/>
      <c r="R115" s="101"/>
      <c r="S115" s="148"/>
      <c r="T115" s="101"/>
      <c r="U115" s="148"/>
      <c r="V115" s="101"/>
      <c r="W115" s="101"/>
      <c r="X115" s="101"/>
      <c r="Y115" s="101"/>
      <c r="Z115" s="148"/>
      <c r="AA115" s="101"/>
      <c r="AB115" s="148"/>
      <c r="AC115" s="101"/>
      <c r="AD115" s="101"/>
      <c r="AE115" s="101"/>
      <c r="AF115" s="101"/>
      <c r="AG115" s="86">
        <f t="shared" si="8"/>
        <v>0</v>
      </c>
      <c r="AH115" s="103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88" t="str">
        <f t="shared" si="7"/>
        <v>雨昕</v>
      </c>
      <c r="AJ115" s="89"/>
    </row>
    <row r="116" spans="1:36" ht="18" customHeight="1">
      <c r="A116" s="101" t="s">
        <v>58</v>
      </c>
      <c r="B116" s="102" t="s">
        <v>129</v>
      </c>
      <c r="C116" s="101"/>
      <c r="D116" s="137"/>
      <c r="E116" s="148"/>
      <c r="F116" s="101"/>
      <c r="G116" s="101"/>
      <c r="H116" s="148"/>
      <c r="I116" s="101"/>
      <c r="J116" s="101"/>
      <c r="K116" s="101"/>
      <c r="L116" s="148"/>
      <c r="M116" s="101"/>
      <c r="N116" s="148"/>
      <c r="O116" s="101"/>
      <c r="P116" s="101"/>
      <c r="Q116" s="101"/>
      <c r="R116" s="101"/>
      <c r="S116" s="148"/>
      <c r="T116" s="101"/>
      <c r="U116" s="148"/>
      <c r="V116" s="101"/>
      <c r="W116" s="101"/>
      <c r="X116" s="101"/>
      <c r="Y116" s="101"/>
      <c r="Z116" s="148"/>
      <c r="AA116" s="101"/>
      <c r="AB116" s="148"/>
      <c r="AC116" s="101"/>
      <c r="AD116" s="101"/>
      <c r="AE116" s="101"/>
      <c r="AF116" s="101"/>
      <c r="AG116" s="86">
        <f t="shared" si="8"/>
        <v>0</v>
      </c>
      <c r="AH116" s="103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88" t="str">
        <f t="shared" si="7"/>
        <v>矮矮</v>
      </c>
      <c r="AJ116" s="89"/>
    </row>
    <row r="117" spans="1:36" ht="18" customHeight="1">
      <c r="A117" s="101" t="s">
        <v>58</v>
      </c>
      <c r="B117" s="102" t="s">
        <v>130</v>
      </c>
      <c r="C117" s="101"/>
      <c r="D117" s="137"/>
      <c r="E117" s="148"/>
      <c r="F117" s="101"/>
      <c r="G117" s="101"/>
      <c r="H117" s="148"/>
      <c r="I117" s="101"/>
      <c r="J117" s="101"/>
      <c r="K117" s="101"/>
      <c r="L117" s="148"/>
      <c r="M117" s="101"/>
      <c r="N117" s="148"/>
      <c r="O117" s="101"/>
      <c r="P117" s="101"/>
      <c r="Q117" s="101"/>
      <c r="R117" s="101"/>
      <c r="S117" s="148"/>
      <c r="T117" s="101"/>
      <c r="U117" s="148"/>
      <c r="V117" s="101"/>
      <c r="W117" s="101"/>
      <c r="X117" s="101"/>
      <c r="Y117" s="101"/>
      <c r="Z117" s="148"/>
      <c r="AA117" s="101"/>
      <c r="AB117" s="148"/>
      <c r="AC117" s="101"/>
      <c r="AD117" s="101"/>
      <c r="AE117" s="101"/>
      <c r="AF117" s="101"/>
      <c r="AG117" s="86">
        <f t="shared" si="8"/>
        <v>0</v>
      </c>
      <c r="AH117" s="103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si="7"/>
        <v>猛女</v>
      </c>
      <c r="AJ117" s="89"/>
    </row>
    <row r="118" spans="1:36" ht="18" customHeight="1">
      <c r="A118" s="101" t="s">
        <v>58</v>
      </c>
      <c r="B118" s="102" t="s">
        <v>131</v>
      </c>
      <c r="C118" s="101"/>
      <c r="D118" s="137"/>
      <c r="E118" s="148"/>
      <c r="F118" s="101"/>
      <c r="G118" s="101"/>
      <c r="H118" s="148"/>
      <c r="I118" s="101"/>
      <c r="J118" s="101"/>
      <c r="K118" s="101"/>
      <c r="L118" s="148"/>
      <c r="M118" s="101"/>
      <c r="N118" s="148"/>
      <c r="O118" s="101"/>
      <c r="P118" s="101"/>
      <c r="Q118" s="101"/>
      <c r="R118" s="101"/>
      <c r="S118" s="148"/>
      <c r="T118" s="101"/>
      <c r="U118" s="148"/>
      <c r="V118" s="101"/>
      <c r="W118" s="101"/>
      <c r="X118" s="101"/>
      <c r="Y118" s="101"/>
      <c r="Z118" s="148"/>
      <c r="AA118" s="101"/>
      <c r="AB118" s="148"/>
      <c r="AC118" s="101"/>
      <c r="AD118" s="101"/>
      <c r="AE118" s="101"/>
      <c r="AF118" s="101"/>
      <c r="AG118" s="86">
        <f t="shared" si="8"/>
        <v>0</v>
      </c>
      <c r="AH118" s="103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7"/>
        <v>欣容</v>
      </c>
      <c r="AJ118" s="89"/>
    </row>
    <row r="119" spans="1:36" ht="18" customHeight="1">
      <c r="A119" s="101" t="s">
        <v>58</v>
      </c>
      <c r="B119" s="102" t="s">
        <v>132</v>
      </c>
      <c r="C119" s="101"/>
      <c r="D119" s="137"/>
      <c r="E119" s="148"/>
      <c r="F119" s="101"/>
      <c r="G119" s="101"/>
      <c r="H119" s="148"/>
      <c r="I119" s="101"/>
      <c r="J119" s="101"/>
      <c r="K119" s="101"/>
      <c r="L119" s="148"/>
      <c r="M119" s="101"/>
      <c r="N119" s="148"/>
      <c r="O119" s="101"/>
      <c r="P119" s="101"/>
      <c r="Q119" s="101"/>
      <c r="R119" s="101"/>
      <c r="S119" s="148"/>
      <c r="T119" s="101"/>
      <c r="U119" s="148"/>
      <c r="V119" s="101"/>
      <c r="W119" s="101"/>
      <c r="X119" s="101"/>
      <c r="Y119" s="101"/>
      <c r="Z119" s="148"/>
      <c r="AA119" s="101"/>
      <c r="AB119" s="148"/>
      <c r="AC119" s="101"/>
      <c r="AD119" s="101"/>
      <c r="AE119" s="101"/>
      <c r="AF119" s="101"/>
      <c r="AG119" s="86">
        <f t="shared" si="8"/>
        <v>0</v>
      </c>
      <c r="AH119" s="103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7"/>
        <v>萁萁</v>
      </c>
      <c r="AJ119" s="89"/>
    </row>
    <row r="120" spans="1:36" ht="18" customHeight="1">
      <c r="A120" s="101" t="s">
        <v>58</v>
      </c>
      <c r="B120" s="102" t="s">
        <v>133</v>
      </c>
      <c r="C120" s="101"/>
      <c r="D120" s="137"/>
      <c r="E120" s="148"/>
      <c r="F120" s="101"/>
      <c r="G120" s="101"/>
      <c r="H120" s="148"/>
      <c r="I120" s="101"/>
      <c r="J120" s="101"/>
      <c r="K120" s="101"/>
      <c r="L120" s="148"/>
      <c r="M120" s="101"/>
      <c r="N120" s="148"/>
      <c r="O120" s="101"/>
      <c r="P120" s="101"/>
      <c r="Q120" s="101"/>
      <c r="R120" s="101"/>
      <c r="S120" s="148"/>
      <c r="T120" s="101"/>
      <c r="U120" s="148"/>
      <c r="V120" s="101"/>
      <c r="W120" s="101"/>
      <c r="X120" s="101"/>
      <c r="Y120" s="101"/>
      <c r="Z120" s="148"/>
      <c r="AA120" s="101"/>
      <c r="AB120" s="148"/>
      <c r="AC120" s="101"/>
      <c r="AD120" s="101"/>
      <c r="AE120" s="101"/>
      <c r="AF120" s="101"/>
      <c r="AG120" s="86">
        <f t="shared" si="8"/>
        <v>0</v>
      </c>
      <c r="AH120" s="87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7"/>
        <v>萱</v>
      </c>
      <c r="AJ120" s="91"/>
    </row>
    <row r="121" spans="1:36" ht="18" customHeight="1">
      <c r="A121" s="101" t="s">
        <v>58</v>
      </c>
      <c r="B121" s="102" t="s">
        <v>134</v>
      </c>
      <c r="C121" s="101"/>
      <c r="D121" s="137"/>
      <c r="E121" s="148"/>
      <c r="F121" s="101"/>
      <c r="G121" s="101"/>
      <c r="H121" s="148"/>
      <c r="I121" s="101"/>
      <c r="J121" s="101"/>
      <c r="K121" s="101"/>
      <c r="L121" s="148"/>
      <c r="M121" s="101"/>
      <c r="N121" s="148"/>
      <c r="O121" s="101"/>
      <c r="P121" s="101"/>
      <c r="Q121" s="101"/>
      <c r="R121" s="101"/>
      <c r="S121" s="148"/>
      <c r="T121" s="101"/>
      <c r="U121" s="148"/>
      <c r="V121" s="101"/>
      <c r="W121" s="101"/>
      <c r="X121" s="101"/>
      <c r="Y121" s="101"/>
      <c r="Z121" s="148"/>
      <c r="AA121" s="101"/>
      <c r="AB121" s="148"/>
      <c r="AC121" s="101"/>
      <c r="AD121" s="101"/>
      <c r="AE121" s="101"/>
      <c r="AF121" s="101"/>
      <c r="AG121" s="86">
        <f t="shared" si="8"/>
        <v>0</v>
      </c>
      <c r="AH121" s="87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7"/>
        <v>Mei</v>
      </c>
      <c r="AJ121" s="91"/>
    </row>
    <row r="122" spans="1:36" ht="18" customHeight="1">
      <c r="A122" s="101" t="s">
        <v>58</v>
      </c>
      <c r="B122" s="102" t="s">
        <v>135</v>
      </c>
      <c r="C122" s="101"/>
      <c r="D122" s="137"/>
      <c r="E122" s="148"/>
      <c r="F122" s="101">
        <v>1</v>
      </c>
      <c r="G122" s="101"/>
      <c r="H122" s="148"/>
      <c r="I122" s="101"/>
      <c r="J122" s="101"/>
      <c r="K122" s="101"/>
      <c r="L122" s="148"/>
      <c r="M122" s="101">
        <v>1</v>
      </c>
      <c r="N122" s="148"/>
      <c r="O122" s="101"/>
      <c r="P122" s="101"/>
      <c r="Q122" s="101"/>
      <c r="R122" s="101"/>
      <c r="S122" s="148"/>
      <c r="T122" s="101"/>
      <c r="U122" s="148"/>
      <c r="V122" s="101"/>
      <c r="W122" s="101"/>
      <c r="X122" s="101"/>
      <c r="Y122" s="101"/>
      <c r="Z122" s="148"/>
      <c r="AA122" s="101"/>
      <c r="AB122" s="148"/>
      <c r="AC122" s="101"/>
      <c r="AD122" s="101"/>
      <c r="AE122" s="101"/>
      <c r="AF122" s="101"/>
      <c r="AG122" s="86">
        <f t="shared" si="8"/>
        <v>2</v>
      </c>
      <c r="AH122" s="87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7"/>
        <v>屁屁</v>
      </c>
      <c r="AJ122" s="91"/>
    </row>
    <row r="123" spans="1:36" ht="18" customHeight="1">
      <c r="A123" s="101" t="s">
        <v>58</v>
      </c>
      <c r="B123" s="102" t="s">
        <v>136</v>
      </c>
      <c r="C123" s="101"/>
      <c r="D123" s="137"/>
      <c r="E123" s="148"/>
      <c r="F123" s="101"/>
      <c r="G123" s="101"/>
      <c r="H123" s="148"/>
      <c r="I123" s="101"/>
      <c r="J123" s="101"/>
      <c r="K123" s="101"/>
      <c r="L123" s="148"/>
      <c r="M123" s="101"/>
      <c r="N123" s="148"/>
      <c r="O123" s="101"/>
      <c r="P123" s="101"/>
      <c r="Q123" s="101"/>
      <c r="R123" s="101"/>
      <c r="S123" s="148"/>
      <c r="T123" s="101"/>
      <c r="U123" s="148"/>
      <c r="V123" s="101"/>
      <c r="W123" s="101"/>
      <c r="X123" s="101"/>
      <c r="Y123" s="101"/>
      <c r="Z123" s="148"/>
      <c r="AA123" s="101"/>
      <c r="AB123" s="148"/>
      <c r="AC123" s="101"/>
      <c r="AD123" s="101"/>
      <c r="AE123" s="101"/>
      <c r="AF123" s="101"/>
      <c r="AG123" s="86">
        <f t="shared" si="8"/>
        <v>0</v>
      </c>
      <c r="AH123" s="87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7"/>
        <v>泡泡</v>
      </c>
      <c r="AJ123" s="91"/>
    </row>
    <row r="124" spans="1:36" ht="18" customHeight="1">
      <c r="A124" s="101" t="s">
        <v>58</v>
      </c>
      <c r="B124" s="102" t="s">
        <v>137</v>
      </c>
      <c r="C124" s="101"/>
      <c r="D124" s="137"/>
      <c r="E124" s="148"/>
      <c r="F124" s="101"/>
      <c r="G124" s="101"/>
      <c r="H124" s="148"/>
      <c r="I124" s="101"/>
      <c r="J124" s="101"/>
      <c r="K124" s="101"/>
      <c r="L124" s="148"/>
      <c r="M124" s="101"/>
      <c r="N124" s="148"/>
      <c r="O124" s="101"/>
      <c r="P124" s="101"/>
      <c r="Q124" s="101"/>
      <c r="R124" s="101"/>
      <c r="S124" s="148"/>
      <c r="T124" s="101"/>
      <c r="U124" s="148"/>
      <c r="V124" s="101"/>
      <c r="W124" s="101"/>
      <c r="X124" s="101"/>
      <c r="Y124" s="101"/>
      <c r="Z124" s="148"/>
      <c r="AA124" s="101"/>
      <c r="AB124" s="148"/>
      <c r="AC124" s="101"/>
      <c r="AD124" s="101"/>
      <c r="AE124" s="101"/>
      <c r="AF124" s="101"/>
      <c r="AG124" s="86">
        <f t="shared" si="8"/>
        <v>0</v>
      </c>
      <c r="AH124" s="87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7"/>
        <v>姚</v>
      </c>
      <c r="AJ124" s="91"/>
    </row>
    <row r="125" spans="1:36" ht="18" customHeight="1">
      <c r="A125" s="101" t="s">
        <v>58</v>
      </c>
      <c r="B125" s="102" t="s">
        <v>138</v>
      </c>
      <c r="C125" s="101"/>
      <c r="D125" s="137"/>
      <c r="E125" s="148"/>
      <c r="F125" s="101"/>
      <c r="G125" s="101"/>
      <c r="H125" s="148"/>
      <c r="I125" s="101"/>
      <c r="J125" s="101"/>
      <c r="K125" s="101"/>
      <c r="L125" s="148"/>
      <c r="M125" s="101"/>
      <c r="N125" s="148"/>
      <c r="O125" s="101"/>
      <c r="P125" s="101"/>
      <c r="Q125" s="101"/>
      <c r="R125" s="101"/>
      <c r="S125" s="148"/>
      <c r="T125" s="101"/>
      <c r="U125" s="148"/>
      <c r="V125" s="101"/>
      <c r="W125" s="101"/>
      <c r="X125" s="101"/>
      <c r="Y125" s="101"/>
      <c r="Z125" s="148"/>
      <c r="AA125" s="101"/>
      <c r="AB125" s="148"/>
      <c r="AC125" s="101"/>
      <c r="AD125" s="101"/>
      <c r="AE125" s="101"/>
      <c r="AF125" s="101"/>
      <c r="AG125" s="86">
        <f t="shared" si="8"/>
        <v>0</v>
      </c>
      <c r="AH125" s="87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7"/>
        <v>奜茜</v>
      </c>
      <c r="AJ125" s="91"/>
    </row>
    <row r="126" spans="1:36" ht="18" customHeight="1">
      <c r="A126" s="101" t="s">
        <v>58</v>
      </c>
      <c r="B126" s="115" t="s">
        <v>139</v>
      </c>
      <c r="C126" s="101"/>
      <c r="D126" s="137"/>
      <c r="E126" s="148"/>
      <c r="F126" s="101"/>
      <c r="G126" s="101"/>
      <c r="H126" s="148"/>
      <c r="I126" s="101"/>
      <c r="J126" s="101"/>
      <c r="K126" s="101"/>
      <c r="L126" s="148"/>
      <c r="M126" s="101"/>
      <c r="N126" s="148"/>
      <c r="O126" s="101"/>
      <c r="P126" s="101"/>
      <c r="Q126" s="101"/>
      <c r="R126" s="101"/>
      <c r="S126" s="148"/>
      <c r="T126" s="101"/>
      <c r="U126" s="148"/>
      <c r="V126" s="101"/>
      <c r="W126" s="101"/>
      <c r="X126" s="101"/>
      <c r="Y126" s="101"/>
      <c r="Z126" s="148"/>
      <c r="AA126" s="101"/>
      <c r="AB126" s="148"/>
      <c r="AC126" s="101"/>
      <c r="AD126" s="101"/>
      <c r="AE126" s="101"/>
      <c r="AF126" s="101"/>
      <c r="AG126" s="86">
        <f t="shared" si="8"/>
        <v>0</v>
      </c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7"/>
        <v>Tina</v>
      </c>
      <c r="AJ126" s="91"/>
    </row>
    <row r="127" spans="1:36" ht="18" customHeight="1">
      <c r="A127" s="101" t="s">
        <v>58</v>
      </c>
      <c r="B127" s="115" t="s">
        <v>140</v>
      </c>
      <c r="C127" s="101"/>
      <c r="D127" s="137"/>
      <c r="E127" s="148"/>
      <c r="F127" s="101"/>
      <c r="G127" s="101"/>
      <c r="H127" s="148"/>
      <c r="I127" s="101"/>
      <c r="J127" s="101"/>
      <c r="K127" s="101"/>
      <c r="L127" s="148"/>
      <c r="M127" s="101"/>
      <c r="N127" s="148"/>
      <c r="O127" s="101"/>
      <c r="P127" s="101"/>
      <c r="Q127" s="101"/>
      <c r="R127" s="101"/>
      <c r="S127" s="148"/>
      <c r="T127" s="101"/>
      <c r="U127" s="148"/>
      <c r="V127" s="101"/>
      <c r="W127" s="101"/>
      <c r="X127" s="101"/>
      <c r="Y127" s="101"/>
      <c r="Z127" s="148"/>
      <c r="AA127" s="101"/>
      <c r="AB127" s="148"/>
      <c r="AC127" s="101"/>
      <c r="AD127" s="101"/>
      <c r="AE127" s="101"/>
      <c r="AF127" s="101"/>
      <c r="AG127" s="86">
        <f t="shared" si="8"/>
        <v>0</v>
      </c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7"/>
        <v>芷琦</v>
      </c>
      <c r="AJ127" s="91"/>
    </row>
    <row r="128" spans="1:36" ht="18" customHeight="1">
      <c r="A128" s="101" t="s">
        <v>58</v>
      </c>
      <c r="B128" s="115" t="s">
        <v>106</v>
      </c>
      <c r="C128" s="101"/>
      <c r="D128" s="137"/>
      <c r="E128" s="148"/>
      <c r="F128" s="101"/>
      <c r="G128" s="101"/>
      <c r="H128" s="148"/>
      <c r="I128" s="101"/>
      <c r="J128" s="101"/>
      <c r="K128" s="101"/>
      <c r="L128" s="148"/>
      <c r="M128" s="101"/>
      <c r="N128" s="148"/>
      <c r="O128" s="101"/>
      <c r="P128" s="101"/>
      <c r="Q128" s="101"/>
      <c r="R128" s="101"/>
      <c r="S128" s="148"/>
      <c r="T128" s="101"/>
      <c r="U128" s="148"/>
      <c r="V128" s="101"/>
      <c r="W128" s="101"/>
      <c r="X128" s="101"/>
      <c r="Y128" s="101"/>
      <c r="Z128" s="148"/>
      <c r="AA128" s="101">
        <v>1</v>
      </c>
      <c r="AB128" s="148"/>
      <c r="AC128" s="101"/>
      <c r="AD128" s="101"/>
      <c r="AE128" s="101"/>
      <c r="AF128" s="101"/>
      <c r="AG128" s="86">
        <f t="shared" si="8"/>
        <v>1</v>
      </c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7"/>
        <v>Nina</v>
      </c>
      <c r="AJ128" s="91"/>
    </row>
    <row r="129" spans="1:36" ht="18" customHeight="1">
      <c r="A129" s="101" t="s">
        <v>58</v>
      </c>
      <c r="B129" s="102" t="s">
        <v>141</v>
      </c>
      <c r="C129" s="101"/>
      <c r="D129" s="137"/>
      <c r="E129" s="148"/>
      <c r="F129" s="101"/>
      <c r="G129" s="101"/>
      <c r="H129" s="148"/>
      <c r="I129" s="101"/>
      <c r="J129" s="101"/>
      <c r="K129" s="101"/>
      <c r="L129" s="148"/>
      <c r="M129" s="101"/>
      <c r="N129" s="148"/>
      <c r="O129" s="101"/>
      <c r="P129" s="101"/>
      <c r="Q129" s="101"/>
      <c r="R129" s="101"/>
      <c r="S129" s="148"/>
      <c r="T129" s="101"/>
      <c r="U129" s="148"/>
      <c r="V129" s="101"/>
      <c r="W129" s="101"/>
      <c r="X129" s="101"/>
      <c r="Y129" s="101"/>
      <c r="Z129" s="148"/>
      <c r="AA129" s="101"/>
      <c r="AB129" s="148"/>
      <c r="AC129" s="101"/>
      <c r="AD129" s="101"/>
      <c r="AE129" s="101"/>
      <c r="AF129" s="101"/>
      <c r="AG129" s="86">
        <f t="shared" si="8"/>
        <v>0</v>
      </c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7"/>
        <v>Cindy</v>
      </c>
      <c r="AJ129" s="91"/>
    </row>
    <row r="130" spans="1:36" ht="18" customHeight="1">
      <c r="A130" s="101" t="s">
        <v>58</v>
      </c>
      <c r="B130" s="102" t="s">
        <v>142</v>
      </c>
      <c r="C130" s="101"/>
      <c r="D130" s="137"/>
      <c r="E130" s="148"/>
      <c r="F130" s="101"/>
      <c r="G130" s="101"/>
      <c r="H130" s="148"/>
      <c r="I130" s="101"/>
      <c r="J130" s="101"/>
      <c r="K130" s="101"/>
      <c r="L130" s="148"/>
      <c r="M130" s="101"/>
      <c r="N130" s="148"/>
      <c r="O130" s="101"/>
      <c r="P130" s="101"/>
      <c r="Q130" s="101"/>
      <c r="R130" s="101"/>
      <c r="S130" s="148"/>
      <c r="T130" s="101"/>
      <c r="U130" s="148"/>
      <c r="V130" s="101"/>
      <c r="W130" s="101"/>
      <c r="X130" s="101"/>
      <c r="Y130" s="101"/>
      <c r="Z130" s="148"/>
      <c r="AA130" s="101"/>
      <c r="AB130" s="148"/>
      <c r="AC130" s="101"/>
      <c r="AD130" s="101"/>
      <c r="AE130" s="101"/>
      <c r="AF130" s="101"/>
      <c r="AG130" s="86">
        <f t="shared" si="8"/>
        <v>0</v>
      </c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7"/>
        <v>如靜</v>
      </c>
      <c r="AJ130" s="91"/>
    </row>
    <row r="131" spans="1:36" ht="18" customHeight="1">
      <c r="A131" s="101" t="s">
        <v>58</v>
      </c>
      <c r="B131" s="102" t="s">
        <v>143</v>
      </c>
      <c r="C131" s="101"/>
      <c r="D131" s="137"/>
      <c r="E131" s="148"/>
      <c r="F131" s="101"/>
      <c r="G131" s="101"/>
      <c r="H131" s="148"/>
      <c r="I131" s="101"/>
      <c r="J131" s="101"/>
      <c r="K131" s="101"/>
      <c r="L131" s="148"/>
      <c r="M131" s="101"/>
      <c r="N131" s="148"/>
      <c r="O131" s="101"/>
      <c r="P131" s="101"/>
      <c r="Q131" s="101"/>
      <c r="R131" s="101"/>
      <c r="S131" s="148"/>
      <c r="T131" s="101"/>
      <c r="U131" s="148"/>
      <c r="V131" s="101"/>
      <c r="W131" s="101"/>
      <c r="X131" s="101"/>
      <c r="Y131" s="101"/>
      <c r="Z131" s="148"/>
      <c r="AA131" s="101"/>
      <c r="AB131" s="148"/>
      <c r="AC131" s="101"/>
      <c r="AD131" s="101"/>
      <c r="AE131" s="101"/>
      <c r="AF131" s="101"/>
      <c r="AG131" s="86">
        <f t="shared" si="8"/>
        <v>0</v>
      </c>
      <c r="AH131" s="87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88" t="str">
        <f t="shared" si="7"/>
        <v>毓玫</v>
      </c>
      <c r="AJ131" s="91"/>
    </row>
    <row r="132" spans="1:36" ht="18" customHeight="1">
      <c r="A132" s="101" t="s">
        <v>58</v>
      </c>
      <c r="B132" s="102" t="s">
        <v>144</v>
      </c>
      <c r="C132" s="101"/>
      <c r="D132" s="137"/>
      <c r="E132" s="148"/>
      <c r="F132" s="101"/>
      <c r="G132" s="101"/>
      <c r="H132" s="148"/>
      <c r="I132" s="101"/>
      <c r="J132" s="101"/>
      <c r="K132" s="101"/>
      <c r="L132" s="148"/>
      <c r="M132" s="101"/>
      <c r="N132" s="148"/>
      <c r="O132" s="101"/>
      <c r="P132" s="101"/>
      <c r="Q132" s="101"/>
      <c r="R132" s="101"/>
      <c r="S132" s="148"/>
      <c r="T132" s="101"/>
      <c r="U132" s="148"/>
      <c r="V132" s="101"/>
      <c r="W132" s="101"/>
      <c r="X132" s="101"/>
      <c r="Y132" s="101"/>
      <c r="Z132" s="148"/>
      <c r="AA132" s="101"/>
      <c r="AB132" s="148"/>
      <c r="AC132" s="101"/>
      <c r="AD132" s="101"/>
      <c r="AE132" s="101"/>
      <c r="AF132" s="101"/>
      <c r="AG132" s="86">
        <f t="shared" si="8"/>
        <v>0</v>
      </c>
      <c r="AH132" s="87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88" t="str">
        <f t="shared" si="7"/>
        <v>美枝</v>
      </c>
      <c r="AJ132" s="91"/>
    </row>
    <row r="133" spans="1:36" ht="18" customHeight="1">
      <c r="A133" s="101" t="s">
        <v>58</v>
      </c>
      <c r="B133" s="102" t="s">
        <v>145</v>
      </c>
      <c r="C133" s="101"/>
      <c r="D133" s="137"/>
      <c r="E133" s="148"/>
      <c r="F133" s="101"/>
      <c r="G133" s="101"/>
      <c r="H133" s="148"/>
      <c r="I133" s="101"/>
      <c r="J133" s="101"/>
      <c r="K133" s="101"/>
      <c r="L133" s="148"/>
      <c r="M133" s="101"/>
      <c r="N133" s="148"/>
      <c r="O133" s="101"/>
      <c r="P133" s="101"/>
      <c r="Q133" s="101"/>
      <c r="R133" s="101"/>
      <c r="S133" s="148"/>
      <c r="T133" s="101"/>
      <c r="U133" s="148"/>
      <c r="V133" s="101"/>
      <c r="W133" s="101"/>
      <c r="X133" s="101"/>
      <c r="Y133" s="101"/>
      <c r="Z133" s="148"/>
      <c r="AA133" s="101"/>
      <c r="AB133" s="148"/>
      <c r="AC133" s="101"/>
      <c r="AD133" s="101"/>
      <c r="AE133" s="101"/>
      <c r="AF133" s="101"/>
      <c r="AG133" s="86">
        <f t="shared" si="8"/>
        <v>0</v>
      </c>
      <c r="AH133" s="87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88" t="str">
        <f t="shared" si="7"/>
        <v>魯魯咪</v>
      </c>
      <c r="AJ133" s="91"/>
    </row>
    <row r="134" spans="1:36" ht="18" customHeight="1">
      <c r="A134" s="120" t="s">
        <v>58</v>
      </c>
      <c r="B134" s="121" t="s">
        <v>41</v>
      </c>
      <c r="C134" s="120"/>
      <c r="D134" s="143"/>
      <c r="E134" s="148"/>
      <c r="F134" s="120"/>
      <c r="G134" s="120"/>
      <c r="H134" s="148"/>
      <c r="I134" s="120"/>
      <c r="J134" s="120"/>
      <c r="K134" s="120"/>
      <c r="L134" s="148"/>
      <c r="M134" s="120"/>
      <c r="N134" s="148"/>
      <c r="O134" s="120"/>
      <c r="P134" s="120"/>
      <c r="Q134" s="120"/>
      <c r="R134" s="120"/>
      <c r="S134" s="148"/>
      <c r="T134" s="120"/>
      <c r="U134" s="148"/>
      <c r="V134" s="120"/>
      <c r="W134" s="120"/>
      <c r="X134" s="120"/>
      <c r="Y134" s="120"/>
      <c r="Z134" s="148"/>
      <c r="AA134" s="120"/>
      <c r="AB134" s="148"/>
      <c r="AC134" s="120"/>
      <c r="AD134" s="120"/>
      <c r="AE134" s="120"/>
      <c r="AF134" s="120"/>
      <c r="AG134" s="107">
        <f t="shared" si="8"/>
        <v>0</v>
      </c>
      <c r="AH134" s="108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109" t="str">
        <f t="shared" si="7"/>
        <v>軟軟</v>
      </c>
      <c r="AJ134" s="110"/>
    </row>
    <row r="135" spans="1:36" ht="18" customHeight="1">
      <c r="A135" s="120" t="s">
        <v>58</v>
      </c>
      <c r="B135" s="121" t="s">
        <v>42</v>
      </c>
      <c r="C135" s="120"/>
      <c r="D135" s="143"/>
      <c r="E135" s="148"/>
      <c r="F135" s="120"/>
      <c r="G135" s="120"/>
      <c r="H135" s="148"/>
      <c r="I135" s="120"/>
      <c r="J135" s="120"/>
      <c r="K135" s="120"/>
      <c r="L135" s="148"/>
      <c r="M135" s="120"/>
      <c r="N135" s="148"/>
      <c r="O135" s="120"/>
      <c r="P135" s="120"/>
      <c r="Q135" s="120"/>
      <c r="R135" s="120"/>
      <c r="S135" s="148"/>
      <c r="T135" s="120"/>
      <c r="U135" s="148"/>
      <c r="V135" s="120"/>
      <c r="W135" s="120"/>
      <c r="X135" s="120"/>
      <c r="Y135" s="120"/>
      <c r="Z135" s="148"/>
      <c r="AA135" s="120"/>
      <c r="AB135" s="148"/>
      <c r="AC135" s="120"/>
      <c r="AD135" s="120"/>
      <c r="AE135" s="120"/>
      <c r="AF135" s="120"/>
      <c r="AG135" s="107">
        <f t="shared" si="8"/>
        <v>0</v>
      </c>
      <c r="AH135" s="108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109" t="str">
        <f t="shared" si="7"/>
        <v>屎蛋</v>
      </c>
      <c r="AJ135" s="110"/>
    </row>
    <row r="136" spans="1:36" ht="18" customHeight="1">
      <c r="A136" s="154"/>
      <c r="B136" s="154"/>
      <c r="C136" s="154"/>
      <c r="D136" s="162"/>
      <c r="E136" s="163"/>
      <c r="F136" s="154"/>
      <c r="G136" s="154"/>
      <c r="H136" s="163"/>
      <c r="I136" s="154"/>
      <c r="J136" s="154"/>
      <c r="K136" s="154"/>
      <c r="L136" s="163"/>
      <c r="M136" s="154"/>
      <c r="N136" s="163"/>
      <c r="O136" s="154"/>
      <c r="P136" s="154"/>
      <c r="Q136" s="154"/>
      <c r="R136" s="154"/>
      <c r="S136" s="163"/>
      <c r="T136" s="154"/>
      <c r="U136" s="163"/>
      <c r="V136" s="154"/>
      <c r="W136" s="154"/>
      <c r="X136" s="154"/>
      <c r="Y136" s="154"/>
      <c r="Z136" s="163"/>
      <c r="AA136" s="154"/>
      <c r="AB136" s="163"/>
      <c r="AC136" s="154"/>
      <c r="AD136" s="154"/>
      <c r="AE136" s="154"/>
      <c r="AF136" s="154"/>
      <c r="AG136" s="157"/>
      <c r="AH136" s="158" t="e">
        <f ca="1">SUM(AH2:AH135)</f>
        <v>#NAME?</v>
      </c>
      <c r="AI136" s="159"/>
      <c r="AJ136" s="110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36">
    <cfRule type="expression" dxfId="17" priority="1">
      <formula>COUNTIF($B:$B,$B2)&gt;1</formula>
    </cfRule>
  </conditionalFormatting>
  <dataValidations count="1">
    <dataValidation type="list" allowBlank="1" showDropDown="1" showErrorMessage="1" sqref="C1:AF1" xr:uid="{00000000-0002-0000-11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A9999"/>
    <outlinePr summaryBelow="0" summaryRight="0"/>
    <pageSetUpPr fitToPage="1"/>
  </sheetPr>
  <dimension ref="A1:AJ62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 t="s">
        <v>219</v>
      </c>
      <c r="D1" s="51" t="s">
        <v>219</v>
      </c>
      <c r="E1" s="51" t="s">
        <v>219</v>
      </c>
      <c r="F1" s="51" t="s">
        <v>184</v>
      </c>
      <c r="G1" s="51" t="s">
        <v>14</v>
      </c>
      <c r="H1" s="126" t="s">
        <v>22</v>
      </c>
      <c r="I1" s="51" t="s">
        <v>19</v>
      </c>
      <c r="J1" s="51" t="s">
        <v>219</v>
      </c>
      <c r="K1" s="51" t="s">
        <v>13</v>
      </c>
      <c r="L1" s="51" t="s">
        <v>219</v>
      </c>
      <c r="M1" s="51" t="s">
        <v>184</v>
      </c>
      <c r="N1" s="126" t="s">
        <v>14</v>
      </c>
      <c r="O1" s="51" t="s">
        <v>22</v>
      </c>
      <c r="P1" s="51" t="s">
        <v>19</v>
      </c>
      <c r="Q1" s="51" t="s">
        <v>219</v>
      </c>
      <c r="R1" s="51" t="s">
        <v>13</v>
      </c>
      <c r="S1" s="51" t="s">
        <v>219</v>
      </c>
      <c r="T1" s="51" t="s">
        <v>22</v>
      </c>
      <c r="U1" s="126" t="s">
        <v>22</v>
      </c>
      <c r="V1" s="51" t="s">
        <v>14</v>
      </c>
      <c r="W1" s="51" t="s">
        <v>19</v>
      </c>
      <c r="X1" s="51" t="s">
        <v>219</v>
      </c>
      <c r="Y1" s="51" t="s">
        <v>13</v>
      </c>
      <c r="Z1" s="51" t="s">
        <v>219</v>
      </c>
      <c r="AA1" s="51" t="s">
        <v>184</v>
      </c>
      <c r="AB1" s="126" t="s">
        <v>14</v>
      </c>
      <c r="AC1" s="51" t="s">
        <v>22</v>
      </c>
      <c r="AD1" s="51" t="s">
        <v>19</v>
      </c>
      <c r="AE1" s="51" t="s">
        <v>219</v>
      </c>
      <c r="AF1" s="51" t="s">
        <v>19</v>
      </c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45566</v>
      </c>
      <c r="D2" s="55">
        <v>45567</v>
      </c>
      <c r="E2" s="55">
        <v>45568</v>
      </c>
      <c r="F2" s="55">
        <v>45569</v>
      </c>
      <c r="G2" s="55">
        <v>45570</v>
      </c>
      <c r="H2" s="55">
        <v>45571</v>
      </c>
      <c r="I2" s="55">
        <v>45572</v>
      </c>
      <c r="J2" s="55">
        <v>45573</v>
      </c>
      <c r="K2" s="55">
        <v>45574</v>
      </c>
      <c r="L2" s="55">
        <v>45575</v>
      </c>
      <c r="M2" s="55">
        <v>45576</v>
      </c>
      <c r="N2" s="55">
        <v>45577</v>
      </c>
      <c r="O2" s="55">
        <v>45578</v>
      </c>
      <c r="P2" s="55">
        <v>45579</v>
      </c>
      <c r="Q2" s="55">
        <v>45580</v>
      </c>
      <c r="R2" s="55">
        <v>45581</v>
      </c>
      <c r="S2" s="55">
        <v>45582</v>
      </c>
      <c r="T2" s="55">
        <v>45583</v>
      </c>
      <c r="U2" s="55">
        <v>45584</v>
      </c>
      <c r="V2" s="55">
        <v>45585</v>
      </c>
      <c r="W2" s="55">
        <v>45586</v>
      </c>
      <c r="X2" s="55">
        <v>45587</v>
      </c>
      <c r="Y2" s="55">
        <v>45588</v>
      </c>
      <c r="Z2" s="55">
        <v>45589</v>
      </c>
      <c r="AA2" s="55">
        <v>45590</v>
      </c>
      <c r="AB2" s="127">
        <v>45591</v>
      </c>
      <c r="AC2" s="55">
        <v>45592</v>
      </c>
      <c r="AD2" s="55">
        <v>45593</v>
      </c>
      <c r="AE2" s="55">
        <v>45594</v>
      </c>
      <c r="AF2" s="55">
        <v>45595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2</v>
      </c>
      <c r="D3" s="114">
        <f t="shared" si="0"/>
        <v>3</v>
      </c>
      <c r="E3" s="51">
        <f t="shared" si="0"/>
        <v>4</v>
      </c>
      <c r="F3" s="51">
        <f t="shared" si="0"/>
        <v>5</v>
      </c>
      <c r="G3" s="51">
        <f t="shared" si="0"/>
        <v>6</v>
      </c>
      <c r="H3" s="126">
        <f t="shared" si="0"/>
        <v>7</v>
      </c>
      <c r="I3" s="51">
        <f t="shared" si="0"/>
        <v>1</v>
      </c>
      <c r="J3" s="51">
        <f t="shared" si="0"/>
        <v>2</v>
      </c>
      <c r="K3" s="51">
        <f t="shared" si="0"/>
        <v>3</v>
      </c>
      <c r="L3" s="51">
        <f t="shared" si="0"/>
        <v>4</v>
      </c>
      <c r="M3" s="51">
        <f t="shared" si="0"/>
        <v>5</v>
      </c>
      <c r="N3" s="126">
        <f t="shared" si="0"/>
        <v>6</v>
      </c>
      <c r="O3" s="51">
        <f t="shared" si="0"/>
        <v>7</v>
      </c>
      <c r="P3" s="51">
        <f t="shared" si="0"/>
        <v>1</v>
      </c>
      <c r="Q3" s="51">
        <f t="shared" si="0"/>
        <v>2</v>
      </c>
      <c r="R3" s="51">
        <f t="shared" si="0"/>
        <v>3</v>
      </c>
      <c r="S3" s="51">
        <f t="shared" si="0"/>
        <v>4</v>
      </c>
      <c r="T3" s="51">
        <f t="shared" si="0"/>
        <v>5</v>
      </c>
      <c r="U3" s="126">
        <f t="shared" si="0"/>
        <v>6</v>
      </c>
      <c r="V3" s="51">
        <f t="shared" si="0"/>
        <v>7</v>
      </c>
      <c r="W3" s="51">
        <f t="shared" si="0"/>
        <v>1</v>
      </c>
      <c r="X3" s="51">
        <f t="shared" si="0"/>
        <v>2</v>
      </c>
      <c r="Y3" s="51">
        <f t="shared" si="0"/>
        <v>3</v>
      </c>
      <c r="Z3" s="51">
        <f t="shared" si="0"/>
        <v>4</v>
      </c>
      <c r="AA3" s="51">
        <f t="shared" si="0"/>
        <v>5</v>
      </c>
      <c r="AB3" s="126">
        <f t="shared" si="0"/>
        <v>6</v>
      </c>
      <c r="AC3" s="51">
        <f t="shared" si="0"/>
        <v>7</v>
      </c>
      <c r="AD3" s="51">
        <f t="shared" si="0"/>
        <v>1</v>
      </c>
      <c r="AE3" s="51">
        <f t="shared" si="0"/>
        <v>2</v>
      </c>
      <c r="AF3" s="51">
        <f t="shared" si="0"/>
        <v>3</v>
      </c>
      <c r="AG3" s="283"/>
      <c r="AH3" s="278"/>
      <c r="AI3" s="273"/>
      <c r="AJ3" s="62" t="e">
        <f ca="1">SUM(AH4:AH63)</f>
        <v>#NAME?</v>
      </c>
    </row>
    <row r="4" spans="1:36" ht="18" customHeight="1">
      <c r="A4" s="92" t="s">
        <v>174</v>
      </c>
      <c r="B4" s="93" t="s">
        <v>10</v>
      </c>
      <c r="C4" s="144"/>
      <c r="D4" s="145"/>
      <c r="E4" s="144"/>
      <c r="F4" s="92">
        <v>1</v>
      </c>
      <c r="G4" s="92"/>
      <c r="H4" s="92">
        <v>1</v>
      </c>
      <c r="I4" s="92">
        <v>1</v>
      </c>
      <c r="J4" s="144"/>
      <c r="K4" s="92">
        <v>1</v>
      </c>
      <c r="L4" s="144"/>
      <c r="M4" s="92">
        <v>1</v>
      </c>
      <c r="N4" s="92"/>
      <c r="O4" s="92">
        <v>1</v>
      </c>
      <c r="P4" s="92">
        <v>1</v>
      </c>
      <c r="Q4" s="144"/>
      <c r="R4" s="92"/>
      <c r="S4" s="144"/>
      <c r="T4" s="92">
        <v>1</v>
      </c>
      <c r="U4" s="92"/>
      <c r="V4" s="92">
        <v>1</v>
      </c>
      <c r="W4" s="92"/>
      <c r="X4" s="144"/>
      <c r="Y4" s="92">
        <v>1</v>
      </c>
      <c r="Z4" s="144"/>
      <c r="AA4" s="92">
        <v>1</v>
      </c>
      <c r="AB4" s="92"/>
      <c r="AC4" s="92">
        <v>1</v>
      </c>
      <c r="AD4" s="92"/>
      <c r="AE4" s="144"/>
      <c r="AF4" s="92">
        <v>1</v>
      </c>
      <c r="AG4" s="66">
        <f t="shared" ref="AG4:AG35" si="1">COUNTA(C4:AD4)</f>
        <v>12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50" si="2">B4</f>
        <v>阿發</v>
      </c>
      <c r="AJ4" s="70"/>
    </row>
    <row r="5" spans="1:36" ht="18" customHeight="1">
      <c r="A5" s="95" t="s">
        <v>174</v>
      </c>
      <c r="B5" s="122" t="s">
        <v>11</v>
      </c>
      <c r="C5" s="147"/>
      <c r="D5" s="145"/>
      <c r="E5" s="147"/>
      <c r="F5" s="95">
        <v>1</v>
      </c>
      <c r="G5" s="95"/>
      <c r="H5" s="95"/>
      <c r="I5" s="95"/>
      <c r="J5" s="147"/>
      <c r="K5" s="95">
        <v>1</v>
      </c>
      <c r="L5" s="147"/>
      <c r="M5" s="95">
        <v>1</v>
      </c>
      <c r="N5" s="95"/>
      <c r="O5" s="95">
        <v>1</v>
      </c>
      <c r="P5" s="95">
        <v>1</v>
      </c>
      <c r="Q5" s="147"/>
      <c r="R5" s="95">
        <v>1</v>
      </c>
      <c r="S5" s="147"/>
      <c r="T5" s="95"/>
      <c r="U5" s="95"/>
      <c r="V5" s="95">
        <v>1</v>
      </c>
      <c r="W5" s="95">
        <v>1</v>
      </c>
      <c r="X5" s="147"/>
      <c r="Y5" s="95">
        <v>1</v>
      </c>
      <c r="Z5" s="147"/>
      <c r="AA5" s="95">
        <v>1</v>
      </c>
      <c r="AB5" s="95"/>
      <c r="AC5" s="95">
        <v>1</v>
      </c>
      <c r="AD5" s="95"/>
      <c r="AE5" s="147"/>
      <c r="AF5" s="95">
        <v>1</v>
      </c>
      <c r="AG5" s="66">
        <f t="shared" si="1"/>
        <v>11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2"/>
        <v>捷升</v>
      </c>
      <c r="AJ5" s="70"/>
    </row>
    <row r="6" spans="1:36" ht="18" customHeight="1">
      <c r="A6" s="95" t="s">
        <v>174</v>
      </c>
      <c r="B6" s="122" t="s">
        <v>14</v>
      </c>
      <c r="C6" s="147"/>
      <c r="D6" s="145"/>
      <c r="E6" s="147"/>
      <c r="F6" s="95">
        <v>1</v>
      </c>
      <c r="G6" s="95">
        <v>1</v>
      </c>
      <c r="H6" s="95">
        <v>1</v>
      </c>
      <c r="I6" s="95">
        <v>1</v>
      </c>
      <c r="J6" s="147"/>
      <c r="K6" s="95">
        <v>1</v>
      </c>
      <c r="L6" s="147"/>
      <c r="M6" s="95">
        <v>1</v>
      </c>
      <c r="N6" s="95">
        <v>1</v>
      </c>
      <c r="O6" s="95">
        <v>1</v>
      </c>
      <c r="P6" s="95">
        <v>1</v>
      </c>
      <c r="Q6" s="147"/>
      <c r="R6" s="95"/>
      <c r="S6" s="147"/>
      <c r="T6" s="95">
        <v>1</v>
      </c>
      <c r="U6" s="95"/>
      <c r="V6" s="95">
        <v>1</v>
      </c>
      <c r="W6" s="95">
        <v>1</v>
      </c>
      <c r="X6" s="147"/>
      <c r="Y6" s="95">
        <v>1</v>
      </c>
      <c r="Z6" s="147"/>
      <c r="AA6" s="95">
        <v>1</v>
      </c>
      <c r="AB6" s="95">
        <v>1</v>
      </c>
      <c r="AC6" s="95">
        <v>1</v>
      </c>
      <c r="AD6" s="95">
        <v>1</v>
      </c>
      <c r="AE6" s="147"/>
      <c r="AF6" s="95">
        <v>1</v>
      </c>
      <c r="AG6" s="66">
        <f t="shared" si="1"/>
        <v>17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147"/>
      <c r="D7" s="145"/>
      <c r="E7" s="147"/>
      <c r="F7" s="95">
        <v>1</v>
      </c>
      <c r="G7" s="95">
        <v>1</v>
      </c>
      <c r="H7" s="95"/>
      <c r="I7" s="95">
        <v>1</v>
      </c>
      <c r="J7" s="147"/>
      <c r="K7" s="95">
        <v>1</v>
      </c>
      <c r="L7" s="147"/>
      <c r="M7" s="95">
        <v>1</v>
      </c>
      <c r="N7" s="95">
        <v>1</v>
      </c>
      <c r="O7" s="95"/>
      <c r="P7" s="95">
        <v>1</v>
      </c>
      <c r="Q7" s="147"/>
      <c r="R7" s="95"/>
      <c r="S7" s="147"/>
      <c r="T7" s="95">
        <v>1</v>
      </c>
      <c r="U7" s="95">
        <v>1</v>
      </c>
      <c r="V7" s="95"/>
      <c r="W7" s="95">
        <v>1</v>
      </c>
      <c r="X7" s="147"/>
      <c r="Y7" s="95">
        <v>1</v>
      </c>
      <c r="Z7" s="147"/>
      <c r="AA7" s="95">
        <v>1</v>
      </c>
      <c r="AB7" s="95">
        <v>1</v>
      </c>
      <c r="AC7" s="95"/>
      <c r="AD7" s="95">
        <v>1</v>
      </c>
      <c r="AE7" s="147"/>
      <c r="AF7" s="95">
        <v>1</v>
      </c>
      <c r="AG7" s="66">
        <f t="shared" si="1"/>
        <v>14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147"/>
      <c r="D8" s="145"/>
      <c r="E8" s="147"/>
      <c r="F8" s="95">
        <v>1</v>
      </c>
      <c r="G8" s="95">
        <v>1</v>
      </c>
      <c r="H8" s="95">
        <v>1</v>
      </c>
      <c r="I8" s="95">
        <v>1</v>
      </c>
      <c r="J8" s="147"/>
      <c r="K8" s="95">
        <v>1</v>
      </c>
      <c r="L8" s="147"/>
      <c r="M8" s="95">
        <v>1</v>
      </c>
      <c r="N8" s="95">
        <v>1</v>
      </c>
      <c r="O8" s="95">
        <v>1</v>
      </c>
      <c r="P8" s="95">
        <v>1</v>
      </c>
      <c r="Q8" s="147"/>
      <c r="R8" s="95"/>
      <c r="S8" s="147"/>
      <c r="T8" s="95">
        <v>1</v>
      </c>
      <c r="U8" s="95">
        <v>1</v>
      </c>
      <c r="V8" s="95">
        <v>1</v>
      </c>
      <c r="W8" s="95">
        <v>1</v>
      </c>
      <c r="X8" s="147"/>
      <c r="Y8" s="95">
        <v>1</v>
      </c>
      <c r="Z8" s="147"/>
      <c r="AA8" s="95">
        <v>1</v>
      </c>
      <c r="AB8" s="95">
        <v>1</v>
      </c>
      <c r="AC8" s="95">
        <v>1</v>
      </c>
      <c r="AD8" s="95">
        <v>1</v>
      </c>
      <c r="AE8" s="147"/>
      <c r="AF8" s="95">
        <v>1</v>
      </c>
      <c r="AG8" s="66">
        <f t="shared" si="1"/>
        <v>18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147"/>
      <c r="D9" s="145"/>
      <c r="E9" s="147"/>
      <c r="F9" s="95"/>
      <c r="G9" s="95">
        <v>1</v>
      </c>
      <c r="H9" s="95"/>
      <c r="I9" s="95">
        <v>1</v>
      </c>
      <c r="J9" s="147"/>
      <c r="K9" s="95"/>
      <c r="L9" s="147"/>
      <c r="M9" s="95"/>
      <c r="N9" s="95">
        <v>1</v>
      </c>
      <c r="O9" s="95"/>
      <c r="P9" s="95">
        <v>1</v>
      </c>
      <c r="Q9" s="147"/>
      <c r="R9" s="95">
        <v>1</v>
      </c>
      <c r="S9" s="147"/>
      <c r="T9" s="95"/>
      <c r="U9" s="95">
        <v>1</v>
      </c>
      <c r="V9" s="95"/>
      <c r="W9" s="95">
        <v>1</v>
      </c>
      <c r="X9" s="147"/>
      <c r="Y9" s="95"/>
      <c r="Z9" s="147"/>
      <c r="AA9" s="95"/>
      <c r="AB9" s="95">
        <v>1</v>
      </c>
      <c r="AC9" s="95"/>
      <c r="AD9" s="95">
        <v>1</v>
      </c>
      <c r="AE9" s="147"/>
      <c r="AF9" s="95"/>
      <c r="AG9" s="66">
        <f t="shared" si="1"/>
        <v>9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122" t="s">
        <v>13</v>
      </c>
      <c r="C10" s="147"/>
      <c r="D10" s="145"/>
      <c r="E10" s="147"/>
      <c r="F10" s="95">
        <v>1</v>
      </c>
      <c r="G10" s="95"/>
      <c r="H10" s="95">
        <v>1</v>
      </c>
      <c r="I10" s="95">
        <v>1</v>
      </c>
      <c r="J10" s="147"/>
      <c r="K10" s="95">
        <v>1</v>
      </c>
      <c r="L10" s="147"/>
      <c r="M10" s="95">
        <v>1</v>
      </c>
      <c r="N10" s="95"/>
      <c r="O10" s="95">
        <v>1</v>
      </c>
      <c r="P10" s="95">
        <v>1</v>
      </c>
      <c r="Q10" s="147"/>
      <c r="R10" s="95"/>
      <c r="S10" s="147"/>
      <c r="T10" s="95">
        <v>1</v>
      </c>
      <c r="U10" s="95"/>
      <c r="V10" s="95">
        <v>1</v>
      </c>
      <c r="W10" s="95">
        <v>1</v>
      </c>
      <c r="X10" s="147"/>
      <c r="Y10" s="95">
        <v>1</v>
      </c>
      <c r="Z10" s="147"/>
      <c r="AA10" s="95">
        <v>1</v>
      </c>
      <c r="AB10" s="95">
        <v>1</v>
      </c>
      <c r="AC10" s="95">
        <v>1</v>
      </c>
      <c r="AD10" s="95">
        <v>1</v>
      </c>
      <c r="AE10" s="147"/>
      <c r="AF10" s="95">
        <v>1</v>
      </c>
      <c r="AG10" s="66">
        <f t="shared" si="1"/>
        <v>15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2"/>
        <v>李洋</v>
      </c>
      <c r="AJ10" s="70"/>
    </row>
    <row r="11" spans="1:36" ht="18" customHeight="1">
      <c r="A11" s="95" t="s">
        <v>174</v>
      </c>
      <c r="B11" s="96" t="s">
        <v>18</v>
      </c>
      <c r="C11" s="147"/>
      <c r="D11" s="145"/>
      <c r="E11" s="147"/>
      <c r="F11" s="95">
        <v>1</v>
      </c>
      <c r="G11" s="95">
        <v>1</v>
      </c>
      <c r="H11" s="95">
        <v>1</v>
      </c>
      <c r="I11" s="95">
        <v>1</v>
      </c>
      <c r="J11" s="147"/>
      <c r="K11" s="95">
        <v>1</v>
      </c>
      <c r="L11" s="147"/>
      <c r="M11" s="95">
        <v>1</v>
      </c>
      <c r="N11" s="95">
        <v>1</v>
      </c>
      <c r="O11" s="95">
        <v>1</v>
      </c>
      <c r="P11" s="95">
        <v>1</v>
      </c>
      <c r="Q11" s="147"/>
      <c r="R11" s="95"/>
      <c r="S11" s="147"/>
      <c r="T11" s="95">
        <v>1</v>
      </c>
      <c r="U11" s="95"/>
      <c r="V11" s="95">
        <v>1</v>
      </c>
      <c r="W11" s="95">
        <v>1</v>
      </c>
      <c r="X11" s="147"/>
      <c r="Y11" s="95">
        <v>1</v>
      </c>
      <c r="Z11" s="147"/>
      <c r="AA11" s="95"/>
      <c r="AB11" s="95"/>
      <c r="AC11" s="95">
        <v>1</v>
      </c>
      <c r="AD11" s="95">
        <v>1</v>
      </c>
      <c r="AE11" s="147"/>
      <c r="AF11" s="95">
        <v>1</v>
      </c>
      <c r="AG11" s="66">
        <f t="shared" si="1"/>
        <v>15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122" t="s">
        <v>19</v>
      </c>
      <c r="C12" s="147"/>
      <c r="D12" s="145"/>
      <c r="E12" s="147"/>
      <c r="F12" s="95">
        <v>1</v>
      </c>
      <c r="G12" s="95"/>
      <c r="H12" s="95">
        <v>1</v>
      </c>
      <c r="I12" s="95">
        <v>1</v>
      </c>
      <c r="J12" s="147"/>
      <c r="K12" s="95">
        <v>1</v>
      </c>
      <c r="L12" s="147"/>
      <c r="M12" s="95">
        <v>1</v>
      </c>
      <c r="N12" s="95"/>
      <c r="O12" s="95">
        <v>1</v>
      </c>
      <c r="P12" s="95">
        <v>1</v>
      </c>
      <c r="Q12" s="147"/>
      <c r="R12" s="95"/>
      <c r="S12" s="147"/>
      <c r="T12" s="95">
        <v>1</v>
      </c>
      <c r="U12" s="95"/>
      <c r="V12" s="95">
        <v>1</v>
      </c>
      <c r="W12" s="95">
        <v>1</v>
      </c>
      <c r="X12" s="147"/>
      <c r="Y12" s="95">
        <v>1</v>
      </c>
      <c r="Z12" s="147"/>
      <c r="AA12" s="95">
        <v>1</v>
      </c>
      <c r="AB12" s="95"/>
      <c r="AC12" s="95">
        <v>1</v>
      </c>
      <c r="AD12" s="95">
        <v>1</v>
      </c>
      <c r="AE12" s="147"/>
      <c r="AF12" s="95">
        <v>1</v>
      </c>
      <c r="AG12" s="66">
        <f t="shared" si="1"/>
        <v>14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147"/>
      <c r="D13" s="145"/>
      <c r="E13" s="147"/>
      <c r="F13" s="95">
        <v>1</v>
      </c>
      <c r="G13" s="95"/>
      <c r="H13" s="95">
        <v>1</v>
      </c>
      <c r="I13" s="95"/>
      <c r="J13" s="147"/>
      <c r="K13" s="95">
        <v>1</v>
      </c>
      <c r="L13" s="147"/>
      <c r="M13" s="95">
        <v>1</v>
      </c>
      <c r="N13" s="95"/>
      <c r="O13" s="95">
        <v>1</v>
      </c>
      <c r="P13" s="95">
        <v>1</v>
      </c>
      <c r="Q13" s="147"/>
      <c r="R13" s="95">
        <v>1</v>
      </c>
      <c r="S13" s="147"/>
      <c r="T13" s="95">
        <v>1</v>
      </c>
      <c r="U13" s="95"/>
      <c r="V13" s="95">
        <v>1</v>
      </c>
      <c r="W13" s="95">
        <v>1</v>
      </c>
      <c r="X13" s="147"/>
      <c r="Y13" s="95">
        <v>1</v>
      </c>
      <c r="Z13" s="147"/>
      <c r="AA13" s="95">
        <v>1</v>
      </c>
      <c r="AB13" s="95">
        <v>1</v>
      </c>
      <c r="AC13" s="95">
        <v>1</v>
      </c>
      <c r="AD13" s="95">
        <v>1</v>
      </c>
      <c r="AE13" s="147"/>
      <c r="AF13" s="95">
        <v>1</v>
      </c>
      <c r="AG13" s="66">
        <f t="shared" si="1"/>
        <v>15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147"/>
      <c r="D14" s="145"/>
      <c r="E14" s="147"/>
      <c r="F14" s="95">
        <v>1</v>
      </c>
      <c r="G14" s="95"/>
      <c r="H14" s="95">
        <v>1</v>
      </c>
      <c r="I14" s="95"/>
      <c r="J14" s="147"/>
      <c r="K14" s="95">
        <v>1</v>
      </c>
      <c r="L14" s="147"/>
      <c r="M14" s="95">
        <v>1</v>
      </c>
      <c r="N14" s="95"/>
      <c r="O14" s="95">
        <v>1</v>
      </c>
      <c r="P14" s="95"/>
      <c r="Q14" s="147"/>
      <c r="R14" s="95"/>
      <c r="S14" s="147"/>
      <c r="T14" s="95">
        <v>1</v>
      </c>
      <c r="U14" s="95"/>
      <c r="V14" s="95">
        <v>1</v>
      </c>
      <c r="W14" s="95"/>
      <c r="X14" s="147"/>
      <c r="Y14" s="95"/>
      <c r="Z14" s="147"/>
      <c r="AA14" s="95">
        <v>1</v>
      </c>
      <c r="AB14" s="95"/>
      <c r="AC14" s="95">
        <v>1</v>
      </c>
      <c r="AD14" s="95"/>
      <c r="AE14" s="147"/>
      <c r="AF14" s="95">
        <v>1</v>
      </c>
      <c r="AG14" s="66">
        <f t="shared" si="1"/>
        <v>9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147"/>
      <c r="D15" s="145"/>
      <c r="E15" s="147"/>
      <c r="F15" s="95"/>
      <c r="G15" s="95">
        <v>1</v>
      </c>
      <c r="H15" s="95"/>
      <c r="I15" s="95">
        <v>1</v>
      </c>
      <c r="J15" s="147"/>
      <c r="K15" s="95"/>
      <c r="L15" s="147"/>
      <c r="M15" s="95">
        <v>1</v>
      </c>
      <c r="N15" s="95">
        <v>1</v>
      </c>
      <c r="O15" s="95"/>
      <c r="P15" s="95">
        <v>1</v>
      </c>
      <c r="Q15" s="147"/>
      <c r="R15" s="95">
        <v>1</v>
      </c>
      <c r="S15" s="147"/>
      <c r="T15" s="95"/>
      <c r="U15" s="95">
        <v>1</v>
      </c>
      <c r="V15" s="95"/>
      <c r="W15" s="95">
        <v>1</v>
      </c>
      <c r="X15" s="147"/>
      <c r="Y15" s="95">
        <v>1</v>
      </c>
      <c r="Z15" s="147"/>
      <c r="AA15" s="95"/>
      <c r="AB15" s="95">
        <v>1</v>
      </c>
      <c r="AC15" s="95"/>
      <c r="AD15" s="95">
        <v>1</v>
      </c>
      <c r="AE15" s="147"/>
      <c r="AF15" s="95">
        <v>1</v>
      </c>
      <c r="AG15" s="66">
        <f t="shared" si="1"/>
        <v>11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0"/>
    </row>
    <row r="16" spans="1:36" ht="18" customHeight="1">
      <c r="A16" s="95" t="s">
        <v>174</v>
      </c>
      <c r="B16" s="96" t="s">
        <v>21</v>
      </c>
      <c r="C16" s="147"/>
      <c r="D16" s="145"/>
      <c r="E16" s="147"/>
      <c r="F16" s="95"/>
      <c r="G16" s="95"/>
      <c r="H16" s="95"/>
      <c r="I16" s="95"/>
      <c r="J16" s="147"/>
      <c r="K16" s="95">
        <v>1</v>
      </c>
      <c r="L16" s="147"/>
      <c r="M16" s="95">
        <v>1</v>
      </c>
      <c r="N16" s="95"/>
      <c r="O16" s="95">
        <v>1</v>
      </c>
      <c r="P16" s="95"/>
      <c r="Q16" s="147"/>
      <c r="R16" s="95">
        <v>1</v>
      </c>
      <c r="S16" s="147"/>
      <c r="T16" s="95"/>
      <c r="U16" s="95"/>
      <c r="V16" s="95">
        <v>1</v>
      </c>
      <c r="W16" s="95"/>
      <c r="X16" s="147"/>
      <c r="Y16" s="95">
        <v>1</v>
      </c>
      <c r="Z16" s="147"/>
      <c r="AA16" s="95">
        <v>1</v>
      </c>
      <c r="AB16" s="95"/>
      <c r="AC16" s="95">
        <v>1</v>
      </c>
      <c r="AD16" s="95"/>
      <c r="AE16" s="147"/>
      <c r="AF16" s="95">
        <v>1</v>
      </c>
      <c r="AG16" s="66">
        <f t="shared" si="1"/>
        <v>8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147"/>
      <c r="D17" s="145"/>
      <c r="E17" s="147"/>
      <c r="F17" s="95">
        <v>1</v>
      </c>
      <c r="G17" s="95">
        <v>1</v>
      </c>
      <c r="H17" s="95">
        <v>1</v>
      </c>
      <c r="I17" s="95">
        <v>1</v>
      </c>
      <c r="J17" s="147"/>
      <c r="K17" s="95">
        <v>1</v>
      </c>
      <c r="L17" s="147"/>
      <c r="M17" s="95">
        <v>1</v>
      </c>
      <c r="N17" s="95">
        <v>1</v>
      </c>
      <c r="O17" s="95">
        <v>1</v>
      </c>
      <c r="P17" s="95">
        <v>1</v>
      </c>
      <c r="Q17" s="147"/>
      <c r="R17" s="95">
        <v>1</v>
      </c>
      <c r="S17" s="147"/>
      <c r="T17" s="95">
        <v>1</v>
      </c>
      <c r="U17" s="95">
        <v>1</v>
      </c>
      <c r="V17" s="95">
        <v>1</v>
      </c>
      <c r="W17" s="95">
        <v>1</v>
      </c>
      <c r="X17" s="147"/>
      <c r="Y17" s="95">
        <v>1</v>
      </c>
      <c r="Z17" s="147"/>
      <c r="AA17" s="95">
        <v>1</v>
      </c>
      <c r="AB17" s="95"/>
      <c r="AC17" s="95">
        <v>1</v>
      </c>
      <c r="AD17" s="95">
        <v>1</v>
      </c>
      <c r="AE17" s="147"/>
      <c r="AF17" s="95">
        <v>1</v>
      </c>
      <c r="AG17" s="66">
        <f t="shared" si="1"/>
        <v>18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147"/>
      <c r="D18" s="145"/>
      <c r="E18" s="147"/>
      <c r="F18" s="99">
        <v>1</v>
      </c>
      <c r="G18" s="99">
        <v>1</v>
      </c>
      <c r="H18" s="99">
        <v>1</v>
      </c>
      <c r="I18" s="99">
        <v>1</v>
      </c>
      <c r="J18" s="147"/>
      <c r="K18" s="99">
        <v>1</v>
      </c>
      <c r="L18" s="147"/>
      <c r="M18" s="99">
        <v>1</v>
      </c>
      <c r="N18" s="99">
        <v>1</v>
      </c>
      <c r="O18" s="99">
        <v>1</v>
      </c>
      <c r="P18" s="99">
        <v>1</v>
      </c>
      <c r="Q18" s="147"/>
      <c r="R18" s="99"/>
      <c r="S18" s="147"/>
      <c r="T18" s="99">
        <v>1</v>
      </c>
      <c r="U18" s="99">
        <v>1</v>
      </c>
      <c r="V18" s="99">
        <v>1</v>
      </c>
      <c r="W18" s="99">
        <v>1</v>
      </c>
      <c r="X18" s="147"/>
      <c r="Y18" s="99"/>
      <c r="Z18" s="147"/>
      <c r="AA18" s="99"/>
      <c r="AB18" s="99"/>
      <c r="AC18" s="99">
        <v>1</v>
      </c>
      <c r="AD18" s="99">
        <v>1</v>
      </c>
      <c r="AE18" s="147"/>
      <c r="AF18" s="99">
        <v>1</v>
      </c>
      <c r="AG18" s="77">
        <f t="shared" si="1"/>
        <v>15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147"/>
      <c r="D19" s="145"/>
      <c r="E19" s="147"/>
      <c r="F19" s="99">
        <v>1</v>
      </c>
      <c r="G19" s="99"/>
      <c r="H19" s="99"/>
      <c r="I19" s="99">
        <v>1</v>
      </c>
      <c r="J19" s="147"/>
      <c r="K19" s="99">
        <v>1</v>
      </c>
      <c r="L19" s="147"/>
      <c r="M19" s="99">
        <v>1</v>
      </c>
      <c r="N19" s="99"/>
      <c r="O19" s="99"/>
      <c r="P19" s="99">
        <v>1</v>
      </c>
      <c r="Q19" s="147"/>
      <c r="R19" s="99"/>
      <c r="S19" s="147"/>
      <c r="T19" s="99"/>
      <c r="U19" s="99"/>
      <c r="V19" s="99">
        <v>1</v>
      </c>
      <c r="W19" s="99">
        <v>1</v>
      </c>
      <c r="X19" s="147"/>
      <c r="Y19" s="99"/>
      <c r="Z19" s="147"/>
      <c r="AA19" s="99">
        <v>1</v>
      </c>
      <c r="AB19" s="99">
        <v>1</v>
      </c>
      <c r="AC19" s="99">
        <v>1</v>
      </c>
      <c r="AD19" s="99">
        <v>1</v>
      </c>
      <c r="AE19" s="147"/>
      <c r="AF19" s="99">
        <v>1</v>
      </c>
      <c r="AG19" s="77">
        <f t="shared" si="1"/>
        <v>11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174</v>
      </c>
      <c r="B20" s="100" t="s">
        <v>92</v>
      </c>
      <c r="C20" s="147"/>
      <c r="D20" s="145"/>
      <c r="E20" s="147"/>
      <c r="F20" s="99">
        <v>1</v>
      </c>
      <c r="G20" s="99">
        <v>1</v>
      </c>
      <c r="H20" s="99"/>
      <c r="I20" s="99"/>
      <c r="J20" s="147"/>
      <c r="K20" s="99">
        <v>1</v>
      </c>
      <c r="L20" s="147"/>
      <c r="M20" s="99">
        <v>1</v>
      </c>
      <c r="N20" s="99">
        <v>1</v>
      </c>
      <c r="O20" s="99"/>
      <c r="P20" s="99">
        <v>1</v>
      </c>
      <c r="Q20" s="147"/>
      <c r="R20" s="99"/>
      <c r="S20" s="147"/>
      <c r="T20" s="99"/>
      <c r="U20" s="99"/>
      <c r="V20" s="99"/>
      <c r="W20" s="99">
        <v>1</v>
      </c>
      <c r="X20" s="147"/>
      <c r="Y20" s="99">
        <v>1</v>
      </c>
      <c r="Z20" s="147"/>
      <c r="AA20" s="99">
        <v>1</v>
      </c>
      <c r="AB20" s="99"/>
      <c r="AC20" s="99"/>
      <c r="AD20" s="99">
        <v>1</v>
      </c>
      <c r="AE20" s="147"/>
      <c r="AF20" s="99">
        <v>1</v>
      </c>
      <c r="AG20" s="77">
        <f t="shared" si="1"/>
        <v>10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婉晴</v>
      </c>
      <c r="AJ20" s="80"/>
    </row>
    <row r="21" spans="1:36" ht="18" customHeight="1">
      <c r="A21" s="99" t="s">
        <v>174</v>
      </c>
      <c r="B21" s="100" t="s">
        <v>93</v>
      </c>
      <c r="C21" s="147"/>
      <c r="D21" s="145"/>
      <c r="E21" s="147"/>
      <c r="F21" s="99"/>
      <c r="G21" s="99"/>
      <c r="H21" s="99"/>
      <c r="I21" s="99">
        <v>1</v>
      </c>
      <c r="J21" s="147"/>
      <c r="K21" s="99"/>
      <c r="L21" s="147"/>
      <c r="M21" s="99"/>
      <c r="N21" s="99"/>
      <c r="O21" s="99"/>
      <c r="P21" s="99">
        <v>1</v>
      </c>
      <c r="Q21" s="147"/>
      <c r="R21" s="99"/>
      <c r="S21" s="147"/>
      <c r="T21" s="99">
        <v>1</v>
      </c>
      <c r="U21" s="99"/>
      <c r="V21" s="99"/>
      <c r="W21" s="99">
        <v>1</v>
      </c>
      <c r="X21" s="147"/>
      <c r="Y21" s="99"/>
      <c r="Z21" s="147"/>
      <c r="AA21" s="99"/>
      <c r="AB21" s="99"/>
      <c r="AC21" s="99"/>
      <c r="AD21" s="99">
        <v>1</v>
      </c>
      <c r="AE21" s="147"/>
      <c r="AF21" s="99">
        <v>1</v>
      </c>
      <c r="AG21" s="77">
        <f t="shared" si="1"/>
        <v>5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冠婷</v>
      </c>
      <c r="AJ21" s="81"/>
    </row>
    <row r="22" spans="1:36" ht="18" customHeight="1">
      <c r="A22" s="99" t="s">
        <v>174</v>
      </c>
      <c r="B22" s="100" t="s">
        <v>150</v>
      </c>
      <c r="C22" s="147"/>
      <c r="D22" s="145"/>
      <c r="E22" s="147"/>
      <c r="F22" s="99"/>
      <c r="G22" s="99"/>
      <c r="H22" s="99"/>
      <c r="I22" s="99"/>
      <c r="J22" s="147"/>
      <c r="K22" s="99"/>
      <c r="L22" s="147"/>
      <c r="M22" s="99"/>
      <c r="N22" s="99"/>
      <c r="O22" s="99"/>
      <c r="P22" s="99"/>
      <c r="Q22" s="147"/>
      <c r="R22" s="99"/>
      <c r="S22" s="147"/>
      <c r="T22" s="99">
        <v>1</v>
      </c>
      <c r="U22" s="99"/>
      <c r="V22" s="99"/>
      <c r="W22" s="99"/>
      <c r="X22" s="147"/>
      <c r="Y22" s="99"/>
      <c r="Z22" s="147"/>
      <c r="AA22" s="99"/>
      <c r="AB22" s="99"/>
      <c r="AC22" s="99"/>
      <c r="AD22" s="99"/>
      <c r="AE22" s="147"/>
      <c r="AF22" s="99"/>
      <c r="AG22" s="77">
        <f t="shared" si="1"/>
        <v>1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高麗菜</v>
      </c>
      <c r="AJ22" s="80"/>
    </row>
    <row r="23" spans="1:36" ht="18" customHeight="1">
      <c r="A23" s="99" t="s">
        <v>174</v>
      </c>
      <c r="B23" s="100" t="s">
        <v>113</v>
      </c>
      <c r="C23" s="147"/>
      <c r="D23" s="145"/>
      <c r="E23" s="147"/>
      <c r="F23" s="99"/>
      <c r="G23" s="99"/>
      <c r="H23" s="99">
        <v>1</v>
      </c>
      <c r="I23" s="99"/>
      <c r="J23" s="147"/>
      <c r="K23" s="99">
        <v>1</v>
      </c>
      <c r="L23" s="147"/>
      <c r="M23" s="99">
        <v>1</v>
      </c>
      <c r="N23" s="99"/>
      <c r="O23" s="99">
        <v>1</v>
      </c>
      <c r="P23" s="99"/>
      <c r="Q23" s="147"/>
      <c r="R23" s="99">
        <v>1</v>
      </c>
      <c r="S23" s="147"/>
      <c r="T23" s="99">
        <v>1</v>
      </c>
      <c r="U23" s="99"/>
      <c r="V23" s="99">
        <v>1</v>
      </c>
      <c r="W23" s="99"/>
      <c r="X23" s="147"/>
      <c r="Y23" s="99">
        <v>1</v>
      </c>
      <c r="Z23" s="147"/>
      <c r="AA23" s="99">
        <v>1</v>
      </c>
      <c r="AB23" s="99"/>
      <c r="AC23" s="99"/>
      <c r="AD23" s="99"/>
      <c r="AE23" s="147"/>
      <c r="AF23" s="99">
        <v>1</v>
      </c>
      <c r="AG23" s="77">
        <f t="shared" si="1"/>
        <v>9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容容</v>
      </c>
      <c r="AJ23" s="82"/>
    </row>
    <row r="24" spans="1:36" ht="18" customHeight="1">
      <c r="A24" s="99" t="s">
        <v>174</v>
      </c>
      <c r="B24" s="100" t="s">
        <v>94</v>
      </c>
      <c r="C24" s="147"/>
      <c r="D24" s="145"/>
      <c r="E24" s="147"/>
      <c r="F24" s="99">
        <v>1</v>
      </c>
      <c r="G24" s="99"/>
      <c r="H24" s="99">
        <v>1</v>
      </c>
      <c r="I24" s="99"/>
      <c r="J24" s="147"/>
      <c r="K24" s="99">
        <v>1</v>
      </c>
      <c r="L24" s="147"/>
      <c r="M24" s="99">
        <v>1</v>
      </c>
      <c r="N24" s="99"/>
      <c r="O24" s="99"/>
      <c r="P24" s="99">
        <v>1</v>
      </c>
      <c r="Q24" s="147"/>
      <c r="R24" s="99"/>
      <c r="S24" s="147"/>
      <c r="T24" s="99"/>
      <c r="U24" s="99"/>
      <c r="V24" s="99">
        <v>1</v>
      </c>
      <c r="W24" s="99"/>
      <c r="X24" s="147"/>
      <c r="Y24" s="99">
        <v>1</v>
      </c>
      <c r="Z24" s="147"/>
      <c r="AA24" s="99">
        <v>1</v>
      </c>
      <c r="AB24" s="99"/>
      <c r="AC24" s="99">
        <v>1</v>
      </c>
      <c r="AD24" s="99">
        <v>1</v>
      </c>
      <c r="AE24" s="147"/>
      <c r="AF24" s="99">
        <v>1</v>
      </c>
      <c r="AG24" s="77">
        <f t="shared" si="1"/>
        <v>10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小花</v>
      </c>
      <c r="AJ24" s="80"/>
    </row>
    <row r="25" spans="1:36" ht="18" customHeight="1">
      <c r="A25" s="99" t="s">
        <v>174</v>
      </c>
      <c r="B25" s="100" t="s">
        <v>95</v>
      </c>
      <c r="C25" s="147"/>
      <c r="D25" s="145"/>
      <c r="E25" s="147"/>
      <c r="F25" s="99">
        <v>1</v>
      </c>
      <c r="G25" s="99">
        <v>1</v>
      </c>
      <c r="H25" s="99"/>
      <c r="I25" s="99">
        <v>1</v>
      </c>
      <c r="J25" s="147"/>
      <c r="K25" s="99"/>
      <c r="L25" s="147"/>
      <c r="M25" s="99">
        <v>1</v>
      </c>
      <c r="N25" s="99">
        <v>1</v>
      </c>
      <c r="O25" s="99"/>
      <c r="P25" s="99">
        <v>1</v>
      </c>
      <c r="Q25" s="147"/>
      <c r="R25" s="99">
        <v>1</v>
      </c>
      <c r="S25" s="147"/>
      <c r="T25" s="99">
        <v>1</v>
      </c>
      <c r="U25" s="99">
        <v>1</v>
      </c>
      <c r="V25" s="99"/>
      <c r="W25" s="99">
        <v>1</v>
      </c>
      <c r="X25" s="147"/>
      <c r="Y25" s="99">
        <v>1</v>
      </c>
      <c r="Z25" s="147"/>
      <c r="AA25" s="99"/>
      <c r="AB25" s="99"/>
      <c r="AC25" s="99">
        <v>1</v>
      </c>
      <c r="AD25" s="99">
        <v>1</v>
      </c>
      <c r="AE25" s="147"/>
      <c r="AF25" s="99">
        <v>1</v>
      </c>
      <c r="AG25" s="77">
        <f t="shared" si="1"/>
        <v>13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小吱</v>
      </c>
      <c r="AJ25" s="80"/>
    </row>
    <row r="26" spans="1:36" ht="18" customHeight="1">
      <c r="A26" s="99" t="s">
        <v>174</v>
      </c>
      <c r="B26" s="100" t="s">
        <v>146</v>
      </c>
      <c r="C26" s="147"/>
      <c r="D26" s="145"/>
      <c r="E26" s="147"/>
      <c r="F26" s="99">
        <v>1</v>
      </c>
      <c r="G26" s="99"/>
      <c r="H26" s="99"/>
      <c r="I26" s="99"/>
      <c r="J26" s="147"/>
      <c r="K26" s="99"/>
      <c r="L26" s="147"/>
      <c r="M26" s="99">
        <v>1</v>
      </c>
      <c r="N26" s="99"/>
      <c r="O26" s="99"/>
      <c r="P26" s="99"/>
      <c r="Q26" s="147"/>
      <c r="R26" s="99"/>
      <c r="S26" s="147"/>
      <c r="T26" s="99"/>
      <c r="U26" s="99"/>
      <c r="V26" s="99"/>
      <c r="W26" s="99"/>
      <c r="X26" s="147"/>
      <c r="Y26" s="99"/>
      <c r="Z26" s="147"/>
      <c r="AA26" s="99"/>
      <c r="AB26" s="99"/>
      <c r="AC26" s="99"/>
      <c r="AD26" s="99"/>
      <c r="AE26" s="147"/>
      <c r="AF26" s="99"/>
      <c r="AG26" s="77">
        <f t="shared" si="1"/>
        <v>2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飛飛</v>
      </c>
      <c r="AJ26" s="81"/>
    </row>
    <row r="27" spans="1:36" ht="18" customHeight="1">
      <c r="A27" s="99" t="s">
        <v>174</v>
      </c>
      <c r="B27" s="100" t="s">
        <v>148</v>
      </c>
      <c r="C27" s="147"/>
      <c r="D27" s="145"/>
      <c r="E27" s="147"/>
      <c r="F27" s="99">
        <v>1</v>
      </c>
      <c r="G27" s="99">
        <v>1</v>
      </c>
      <c r="H27" s="99"/>
      <c r="I27" s="99">
        <v>1</v>
      </c>
      <c r="J27" s="147"/>
      <c r="K27" s="99"/>
      <c r="L27" s="147"/>
      <c r="M27" s="99">
        <v>1</v>
      </c>
      <c r="N27" s="99">
        <v>1</v>
      </c>
      <c r="O27" s="99"/>
      <c r="P27" s="99">
        <v>1</v>
      </c>
      <c r="Q27" s="147"/>
      <c r="R27" s="99">
        <v>1</v>
      </c>
      <c r="S27" s="147"/>
      <c r="T27" s="99"/>
      <c r="U27" s="99">
        <v>1</v>
      </c>
      <c r="V27" s="99"/>
      <c r="W27" s="99">
        <v>1</v>
      </c>
      <c r="X27" s="147"/>
      <c r="Y27" s="99">
        <v>1</v>
      </c>
      <c r="Z27" s="147"/>
      <c r="AA27" s="99"/>
      <c r="AB27" s="99">
        <v>1</v>
      </c>
      <c r="AC27" s="99"/>
      <c r="AD27" s="99">
        <v>1</v>
      </c>
      <c r="AE27" s="147"/>
      <c r="AF27" s="99">
        <v>1</v>
      </c>
      <c r="AG27" s="77">
        <f t="shared" si="1"/>
        <v>12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2"/>
        <v>雅雅</v>
      </c>
      <c r="AJ27" s="82"/>
    </row>
    <row r="28" spans="1:36" ht="18" customHeight="1">
      <c r="A28" s="101" t="s">
        <v>174</v>
      </c>
      <c r="B28" s="102" t="s">
        <v>103</v>
      </c>
      <c r="C28" s="147"/>
      <c r="D28" s="145"/>
      <c r="E28" s="147"/>
      <c r="F28" s="101">
        <v>1</v>
      </c>
      <c r="G28" s="101">
        <v>1</v>
      </c>
      <c r="H28" s="101">
        <v>1</v>
      </c>
      <c r="I28" s="101">
        <v>1</v>
      </c>
      <c r="J28" s="147"/>
      <c r="K28" s="101">
        <v>1</v>
      </c>
      <c r="L28" s="147"/>
      <c r="M28" s="101">
        <v>1</v>
      </c>
      <c r="N28" s="101">
        <v>1</v>
      </c>
      <c r="O28" s="101">
        <v>1</v>
      </c>
      <c r="P28" s="101">
        <v>1</v>
      </c>
      <c r="Q28" s="147"/>
      <c r="R28" s="101">
        <v>1</v>
      </c>
      <c r="S28" s="147"/>
      <c r="T28" s="101">
        <v>1</v>
      </c>
      <c r="U28" s="101">
        <v>1</v>
      </c>
      <c r="V28" s="101">
        <v>1</v>
      </c>
      <c r="W28" s="101">
        <v>1</v>
      </c>
      <c r="X28" s="147"/>
      <c r="Y28" s="101">
        <v>1</v>
      </c>
      <c r="Z28" s="147"/>
      <c r="AA28" s="101">
        <v>1</v>
      </c>
      <c r="AB28" s="101">
        <v>1</v>
      </c>
      <c r="AC28" s="101">
        <v>1</v>
      </c>
      <c r="AD28" s="101">
        <v>1</v>
      </c>
      <c r="AE28" s="147"/>
      <c r="AF28" s="101">
        <v>1</v>
      </c>
      <c r="AG28" s="86">
        <f t="shared" si="1"/>
        <v>19</v>
      </c>
      <c r="AH28" s="87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88" t="str">
        <f t="shared" si="2"/>
        <v>圈圈</v>
      </c>
      <c r="AJ28" s="90"/>
    </row>
    <row r="29" spans="1:36" ht="18" customHeight="1">
      <c r="A29" s="101" t="s">
        <v>174</v>
      </c>
      <c r="B29" s="102" t="s">
        <v>104</v>
      </c>
      <c r="C29" s="147"/>
      <c r="D29" s="145"/>
      <c r="E29" s="147"/>
      <c r="F29" s="101">
        <v>1</v>
      </c>
      <c r="G29" s="101">
        <v>1</v>
      </c>
      <c r="H29" s="101"/>
      <c r="I29" s="101"/>
      <c r="J29" s="147"/>
      <c r="K29" s="101">
        <v>1</v>
      </c>
      <c r="L29" s="147"/>
      <c r="M29" s="101">
        <v>1</v>
      </c>
      <c r="N29" s="101">
        <v>1</v>
      </c>
      <c r="O29" s="101">
        <v>1</v>
      </c>
      <c r="P29" s="101">
        <v>1</v>
      </c>
      <c r="Q29" s="147"/>
      <c r="R29" s="101">
        <v>1</v>
      </c>
      <c r="S29" s="147"/>
      <c r="T29" s="101"/>
      <c r="U29" s="101">
        <v>1</v>
      </c>
      <c r="V29" s="101">
        <v>1</v>
      </c>
      <c r="W29" s="101">
        <v>1</v>
      </c>
      <c r="X29" s="147"/>
      <c r="Y29" s="101">
        <v>1</v>
      </c>
      <c r="Z29" s="147"/>
      <c r="AA29" s="101"/>
      <c r="AB29" s="101">
        <v>1</v>
      </c>
      <c r="AC29" s="101"/>
      <c r="AD29" s="101">
        <v>1</v>
      </c>
      <c r="AE29" s="147"/>
      <c r="AF29" s="101">
        <v>1</v>
      </c>
      <c r="AG29" s="86">
        <f t="shared" si="1"/>
        <v>14</v>
      </c>
      <c r="AH29" s="87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88" t="str">
        <f t="shared" si="2"/>
        <v>卡丘</v>
      </c>
      <c r="AJ29" s="90"/>
    </row>
    <row r="30" spans="1:36" ht="18" customHeight="1">
      <c r="A30" s="101" t="s">
        <v>174</v>
      </c>
      <c r="B30" s="102" t="s">
        <v>105</v>
      </c>
      <c r="C30" s="147"/>
      <c r="D30" s="145"/>
      <c r="E30" s="147"/>
      <c r="F30" s="101">
        <v>1</v>
      </c>
      <c r="G30" s="101">
        <v>1</v>
      </c>
      <c r="H30" s="101"/>
      <c r="I30" s="101">
        <v>1</v>
      </c>
      <c r="J30" s="147"/>
      <c r="K30" s="101">
        <v>1</v>
      </c>
      <c r="L30" s="147"/>
      <c r="M30" s="101"/>
      <c r="N30" s="101">
        <v>1</v>
      </c>
      <c r="O30" s="101">
        <v>1</v>
      </c>
      <c r="P30" s="101">
        <v>1</v>
      </c>
      <c r="Q30" s="147"/>
      <c r="R30" s="101">
        <v>1</v>
      </c>
      <c r="S30" s="147"/>
      <c r="T30" s="101"/>
      <c r="U30" s="101">
        <v>1</v>
      </c>
      <c r="V30" s="101">
        <v>1</v>
      </c>
      <c r="W30" s="101">
        <v>1</v>
      </c>
      <c r="X30" s="147"/>
      <c r="Y30" s="101">
        <v>1</v>
      </c>
      <c r="Z30" s="147"/>
      <c r="AA30" s="101"/>
      <c r="AB30" s="101"/>
      <c r="AC30" s="101">
        <v>1</v>
      </c>
      <c r="AD30" s="101">
        <v>1</v>
      </c>
      <c r="AE30" s="147"/>
      <c r="AF30" s="101">
        <v>1</v>
      </c>
      <c r="AG30" s="86">
        <f t="shared" si="1"/>
        <v>14</v>
      </c>
      <c r="AH30" s="87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88" t="str">
        <f t="shared" si="2"/>
        <v>琬蓁</v>
      </c>
      <c r="AJ30" s="90"/>
    </row>
    <row r="31" spans="1:36" ht="18" customHeight="1">
      <c r="A31" s="101" t="s">
        <v>174</v>
      </c>
      <c r="B31" s="102" t="s">
        <v>116</v>
      </c>
      <c r="C31" s="147"/>
      <c r="D31" s="145"/>
      <c r="E31" s="147"/>
      <c r="F31" s="101"/>
      <c r="G31" s="101"/>
      <c r="H31" s="101"/>
      <c r="I31" s="101"/>
      <c r="J31" s="147"/>
      <c r="K31" s="101"/>
      <c r="L31" s="147"/>
      <c r="M31" s="101">
        <v>1</v>
      </c>
      <c r="N31" s="101">
        <v>1</v>
      </c>
      <c r="O31" s="101">
        <v>1</v>
      </c>
      <c r="P31" s="101">
        <v>1</v>
      </c>
      <c r="Q31" s="147"/>
      <c r="R31" s="101"/>
      <c r="S31" s="147"/>
      <c r="T31" s="101"/>
      <c r="U31" s="101"/>
      <c r="V31" s="101"/>
      <c r="W31" s="101"/>
      <c r="X31" s="147"/>
      <c r="Y31" s="101"/>
      <c r="Z31" s="147"/>
      <c r="AA31" s="101"/>
      <c r="AB31" s="101"/>
      <c r="AC31" s="101"/>
      <c r="AD31" s="101"/>
      <c r="AE31" s="147"/>
      <c r="AF31" s="101"/>
      <c r="AG31" s="86">
        <f t="shared" si="1"/>
        <v>4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大汪</v>
      </c>
      <c r="AJ31" s="89"/>
    </row>
    <row r="32" spans="1:36" ht="18" customHeight="1">
      <c r="A32" s="101" t="s">
        <v>174</v>
      </c>
      <c r="B32" s="102" t="s">
        <v>121</v>
      </c>
      <c r="C32" s="147"/>
      <c r="D32" s="145"/>
      <c r="E32" s="147"/>
      <c r="F32" s="101">
        <v>1</v>
      </c>
      <c r="G32" s="101">
        <v>1</v>
      </c>
      <c r="H32" s="101"/>
      <c r="I32" s="101"/>
      <c r="J32" s="147"/>
      <c r="K32" s="101">
        <v>1</v>
      </c>
      <c r="L32" s="147"/>
      <c r="M32" s="101">
        <v>1</v>
      </c>
      <c r="N32" s="101">
        <v>1</v>
      </c>
      <c r="O32" s="101">
        <v>1</v>
      </c>
      <c r="P32" s="101">
        <v>1</v>
      </c>
      <c r="Q32" s="147"/>
      <c r="R32" s="101"/>
      <c r="S32" s="147"/>
      <c r="T32" s="101">
        <v>1</v>
      </c>
      <c r="U32" s="101">
        <v>1</v>
      </c>
      <c r="V32" s="101">
        <v>1</v>
      </c>
      <c r="W32" s="101">
        <v>1</v>
      </c>
      <c r="X32" s="147"/>
      <c r="Y32" s="101">
        <v>1</v>
      </c>
      <c r="Z32" s="147"/>
      <c r="AA32" s="101">
        <v>1</v>
      </c>
      <c r="AB32" s="101">
        <v>1</v>
      </c>
      <c r="AC32" s="101">
        <v>1</v>
      </c>
      <c r="AD32" s="101">
        <v>1</v>
      </c>
      <c r="AE32" s="147"/>
      <c r="AF32" s="101">
        <v>1</v>
      </c>
      <c r="AG32" s="86">
        <f t="shared" si="1"/>
        <v>16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2"/>
        <v>冰沙</v>
      </c>
      <c r="AJ32" s="90"/>
    </row>
    <row r="33" spans="1:36" ht="18" customHeight="1">
      <c r="A33" s="95" t="s">
        <v>58</v>
      </c>
      <c r="B33" s="96" t="s">
        <v>23</v>
      </c>
      <c r="C33" s="147"/>
      <c r="D33" s="145"/>
      <c r="E33" s="147"/>
      <c r="F33" s="95">
        <v>1</v>
      </c>
      <c r="G33" s="95"/>
      <c r="H33" s="95">
        <v>1</v>
      </c>
      <c r="I33" s="95"/>
      <c r="J33" s="147"/>
      <c r="K33" s="95">
        <v>1</v>
      </c>
      <c r="L33" s="147"/>
      <c r="M33" s="95">
        <v>1</v>
      </c>
      <c r="N33" s="95"/>
      <c r="O33" s="95">
        <v>1</v>
      </c>
      <c r="P33" s="95"/>
      <c r="Q33" s="147"/>
      <c r="R33" s="95"/>
      <c r="S33" s="147"/>
      <c r="T33" s="95">
        <v>1</v>
      </c>
      <c r="U33" s="95"/>
      <c r="V33" s="95">
        <v>1</v>
      </c>
      <c r="W33" s="95"/>
      <c r="X33" s="147"/>
      <c r="Y33" s="95">
        <v>1</v>
      </c>
      <c r="Z33" s="147"/>
      <c r="AA33" s="95">
        <v>1</v>
      </c>
      <c r="AB33" s="95"/>
      <c r="AC33" s="95">
        <v>1</v>
      </c>
      <c r="AD33" s="95"/>
      <c r="AE33" s="147"/>
      <c r="AF33" s="95">
        <v>1</v>
      </c>
      <c r="AG33" s="66">
        <f t="shared" si="1"/>
        <v>10</v>
      </c>
      <c r="AH33" s="68" t="e">
        <f ca="1">(IF(A33="O", (VALUE(_xludf.IFS(AG33=0,"0",AG33=1,"150",AG33=2,"300",AG33=3,"450",AG33=4,"600",AG33=5,"750",AG33&gt;=6,"800"))),(VALUE(_xludf.IFS(AG33=0,"0",AG33=1,"150",AG33=2,"300",AG33=3,"450",AG33=4,"600",AG33=5,"750",AG33=6,"900",AG33&gt;=7,"1,000")))))</f>
        <v>#NAME?</v>
      </c>
      <c r="AI33" s="69" t="str">
        <f t="shared" si="2"/>
        <v>ㄈㄈ</v>
      </c>
      <c r="AJ33" s="73"/>
    </row>
    <row r="34" spans="1:36" ht="18" customHeight="1">
      <c r="A34" s="95" t="s">
        <v>58</v>
      </c>
      <c r="B34" s="96" t="s">
        <v>24</v>
      </c>
      <c r="C34" s="147"/>
      <c r="D34" s="145"/>
      <c r="E34" s="147"/>
      <c r="F34" s="95">
        <v>1</v>
      </c>
      <c r="G34" s="95"/>
      <c r="H34" s="95">
        <v>1</v>
      </c>
      <c r="I34" s="95">
        <v>1</v>
      </c>
      <c r="J34" s="147"/>
      <c r="K34" s="95"/>
      <c r="L34" s="147"/>
      <c r="M34" s="95">
        <v>1</v>
      </c>
      <c r="N34" s="95"/>
      <c r="O34" s="95">
        <v>1</v>
      </c>
      <c r="P34" s="95">
        <v>1</v>
      </c>
      <c r="Q34" s="147"/>
      <c r="R34" s="95"/>
      <c r="S34" s="147"/>
      <c r="T34" s="95"/>
      <c r="U34" s="95">
        <v>1</v>
      </c>
      <c r="V34" s="95">
        <v>1</v>
      </c>
      <c r="W34" s="95"/>
      <c r="X34" s="147"/>
      <c r="Y34" s="95"/>
      <c r="Z34" s="147"/>
      <c r="AA34" s="95"/>
      <c r="AB34" s="95">
        <v>1</v>
      </c>
      <c r="AC34" s="95">
        <v>1</v>
      </c>
      <c r="AD34" s="95">
        <v>1</v>
      </c>
      <c r="AE34" s="147"/>
      <c r="AF34" s="95"/>
      <c r="AG34" s="66">
        <f t="shared" si="1"/>
        <v>11</v>
      </c>
      <c r="AH34" s="68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69" t="str">
        <f t="shared" si="2"/>
        <v>大熊</v>
      </c>
      <c r="AJ34" s="73"/>
    </row>
    <row r="35" spans="1:36" ht="18" customHeight="1">
      <c r="A35" s="95" t="s">
        <v>58</v>
      </c>
      <c r="B35" s="96" t="s">
        <v>64</v>
      </c>
      <c r="C35" s="147"/>
      <c r="D35" s="145"/>
      <c r="E35" s="147"/>
      <c r="F35" s="95">
        <v>1</v>
      </c>
      <c r="G35" s="95"/>
      <c r="H35" s="95">
        <v>1</v>
      </c>
      <c r="I35" s="95"/>
      <c r="J35" s="147"/>
      <c r="K35" s="95"/>
      <c r="L35" s="147"/>
      <c r="M35" s="95">
        <v>1</v>
      </c>
      <c r="N35" s="95"/>
      <c r="O35" s="95"/>
      <c r="P35" s="95">
        <v>1</v>
      </c>
      <c r="Q35" s="147"/>
      <c r="R35" s="95">
        <v>1</v>
      </c>
      <c r="S35" s="147"/>
      <c r="T35" s="95">
        <v>1</v>
      </c>
      <c r="U35" s="95"/>
      <c r="V35" s="95">
        <v>1</v>
      </c>
      <c r="W35" s="95">
        <v>1</v>
      </c>
      <c r="X35" s="147"/>
      <c r="Y35" s="95"/>
      <c r="Z35" s="147"/>
      <c r="AA35" s="95">
        <v>1</v>
      </c>
      <c r="AB35" s="95"/>
      <c r="AC35" s="95">
        <v>1</v>
      </c>
      <c r="AD35" s="95">
        <v>1</v>
      </c>
      <c r="AE35" s="147"/>
      <c r="AF35" s="95">
        <v>1</v>
      </c>
      <c r="AG35" s="66">
        <f t="shared" si="1"/>
        <v>11</v>
      </c>
      <c r="AH35" s="68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69" t="str">
        <f t="shared" si="2"/>
        <v>園棠</v>
      </c>
      <c r="AJ35" s="73"/>
    </row>
    <row r="36" spans="1:36" ht="18" customHeight="1">
      <c r="A36" s="95" t="s">
        <v>58</v>
      </c>
      <c r="B36" s="96" t="s">
        <v>178</v>
      </c>
      <c r="C36" s="147"/>
      <c r="D36" s="145"/>
      <c r="E36" s="147"/>
      <c r="F36" s="95">
        <v>1</v>
      </c>
      <c r="G36" s="95"/>
      <c r="H36" s="95">
        <v>1</v>
      </c>
      <c r="I36" s="95"/>
      <c r="J36" s="147"/>
      <c r="K36" s="95">
        <v>1</v>
      </c>
      <c r="L36" s="147"/>
      <c r="M36" s="95">
        <v>1</v>
      </c>
      <c r="N36" s="95"/>
      <c r="O36" s="95">
        <v>1</v>
      </c>
      <c r="P36" s="95">
        <v>1</v>
      </c>
      <c r="Q36" s="147"/>
      <c r="R36" s="95">
        <v>1</v>
      </c>
      <c r="S36" s="147"/>
      <c r="T36" s="95">
        <v>1</v>
      </c>
      <c r="U36" s="95"/>
      <c r="V36" s="95">
        <v>1</v>
      </c>
      <c r="W36" s="95">
        <v>1</v>
      </c>
      <c r="X36" s="147"/>
      <c r="Y36" s="95"/>
      <c r="Z36" s="147"/>
      <c r="AA36" s="95">
        <v>1</v>
      </c>
      <c r="AB36" s="95"/>
      <c r="AC36" s="95">
        <v>1</v>
      </c>
      <c r="AD36" s="95">
        <v>1</v>
      </c>
      <c r="AE36" s="147"/>
      <c r="AF36" s="95">
        <v>1</v>
      </c>
      <c r="AG36" s="66">
        <f t="shared" ref="AG36:AG61" si="3">COUNTA(C36:AD36)</f>
        <v>13</v>
      </c>
      <c r="AH36" s="68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69" t="str">
        <f t="shared" si="2"/>
        <v>Fish</v>
      </c>
      <c r="AJ36" s="73"/>
    </row>
    <row r="37" spans="1:36" ht="18" customHeight="1">
      <c r="A37" s="95" t="s">
        <v>58</v>
      </c>
      <c r="B37" s="96" t="s">
        <v>25</v>
      </c>
      <c r="C37" s="147"/>
      <c r="D37" s="145"/>
      <c r="E37" s="147"/>
      <c r="F37" s="95">
        <v>1</v>
      </c>
      <c r="G37" s="95">
        <v>1</v>
      </c>
      <c r="H37" s="95">
        <v>1</v>
      </c>
      <c r="I37" s="95">
        <v>1</v>
      </c>
      <c r="J37" s="147"/>
      <c r="K37" s="95"/>
      <c r="L37" s="147"/>
      <c r="M37" s="95">
        <v>1</v>
      </c>
      <c r="N37" s="95">
        <v>1</v>
      </c>
      <c r="O37" s="95"/>
      <c r="P37" s="95">
        <v>1</v>
      </c>
      <c r="Q37" s="147"/>
      <c r="R37" s="95"/>
      <c r="S37" s="147"/>
      <c r="T37" s="95">
        <v>1</v>
      </c>
      <c r="U37" s="95"/>
      <c r="V37" s="95">
        <v>1</v>
      </c>
      <c r="W37" s="95">
        <v>1</v>
      </c>
      <c r="X37" s="147"/>
      <c r="Y37" s="95"/>
      <c r="Z37" s="147"/>
      <c r="AA37" s="95">
        <v>1</v>
      </c>
      <c r="AB37" s="95"/>
      <c r="AC37" s="95">
        <v>1</v>
      </c>
      <c r="AD37" s="95">
        <v>1</v>
      </c>
      <c r="AE37" s="147"/>
      <c r="AF37" s="95">
        <v>1</v>
      </c>
      <c r="AG37" s="66">
        <f t="shared" si="3"/>
        <v>13</v>
      </c>
      <c r="AH37" s="68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69" t="str">
        <f t="shared" si="2"/>
        <v>潘潘</v>
      </c>
      <c r="AJ37" s="73"/>
    </row>
    <row r="38" spans="1:36" ht="18" customHeight="1">
      <c r="A38" s="95" t="s">
        <v>58</v>
      </c>
      <c r="B38" s="96" t="s">
        <v>62</v>
      </c>
      <c r="C38" s="147"/>
      <c r="D38" s="145"/>
      <c r="E38" s="147"/>
      <c r="F38" s="95"/>
      <c r="G38" s="95">
        <v>1</v>
      </c>
      <c r="H38" s="95"/>
      <c r="I38" s="95"/>
      <c r="J38" s="147"/>
      <c r="K38" s="95"/>
      <c r="L38" s="147"/>
      <c r="M38" s="95"/>
      <c r="N38" s="95">
        <v>1</v>
      </c>
      <c r="O38" s="95"/>
      <c r="P38" s="95"/>
      <c r="Q38" s="147"/>
      <c r="R38" s="95"/>
      <c r="S38" s="147"/>
      <c r="T38" s="95"/>
      <c r="U38" s="95"/>
      <c r="V38" s="95"/>
      <c r="W38" s="95"/>
      <c r="X38" s="147"/>
      <c r="Y38" s="95"/>
      <c r="Z38" s="147"/>
      <c r="AA38" s="95"/>
      <c r="AB38" s="95">
        <v>1</v>
      </c>
      <c r="AC38" s="95"/>
      <c r="AD38" s="95"/>
      <c r="AE38" s="147"/>
      <c r="AF38" s="95"/>
      <c r="AG38" s="66">
        <f t="shared" si="3"/>
        <v>3</v>
      </c>
      <c r="AH38" s="68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69" t="str">
        <f t="shared" si="2"/>
        <v>國源</v>
      </c>
      <c r="AJ38" s="73"/>
    </row>
    <row r="39" spans="1:36" ht="18" customHeight="1">
      <c r="A39" s="95" t="s">
        <v>58</v>
      </c>
      <c r="B39" s="96" t="s">
        <v>26</v>
      </c>
      <c r="C39" s="147"/>
      <c r="D39" s="145"/>
      <c r="E39" s="147"/>
      <c r="F39" s="95">
        <v>1</v>
      </c>
      <c r="G39" s="95"/>
      <c r="H39" s="95"/>
      <c r="I39" s="95"/>
      <c r="J39" s="147"/>
      <c r="K39" s="95">
        <v>1</v>
      </c>
      <c r="L39" s="147"/>
      <c r="M39" s="95">
        <v>1</v>
      </c>
      <c r="N39" s="95"/>
      <c r="O39" s="95"/>
      <c r="P39" s="95">
        <v>1</v>
      </c>
      <c r="Q39" s="147"/>
      <c r="R39" s="95">
        <v>1</v>
      </c>
      <c r="S39" s="147"/>
      <c r="T39" s="95"/>
      <c r="U39" s="95"/>
      <c r="V39" s="95">
        <v>1</v>
      </c>
      <c r="W39" s="95">
        <v>1</v>
      </c>
      <c r="X39" s="147"/>
      <c r="Y39" s="95"/>
      <c r="Z39" s="147"/>
      <c r="AA39" s="95">
        <v>1</v>
      </c>
      <c r="AB39" s="95"/>
      <c r="AC39" s="95">
        <v>1</v>
      </c>
      <c r="AD39" s="95"/>
      <c r="AE39" s="147"/>
      <c r="AF39" s="95">
        <v>1</v>
      </c>
      <c r="AG39" s="66">
        <f t="shared" si="3"/>
        <v>9</v>
      </c>
      <c r="AH39" s="68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69" t="str">
        <f t="shared" si="2"/>
        <v>曉強</v>
      </c>
      <c r="AJ39" s="73"/>
    </row>
    <row r="40" spans="1:36" ht="18" customHeight="1">
      <c r="A40" s="95" t="s">
        <v>58</v>
      </c>
      <c r="B40" s="96" t="s">
        <v>29</v>
      </c>
      <c r="C40" s="147"/>
      <c r="D40" s="145"/>
      <c r="E40" s="147"/>
      <c r="F40" s="95">
        <v>1</v>
      </c>
      <c r="G40" s="95"/>
      <c r="H40" s="95"/>
      <c r="I40" s="95"/>
      <c r="J40" s="147"/>
      <c r="K40" s="95"/>
      <c r="L40" s="147"/>
      <c r="M40" s="95"/>
      <c r="N40" s="95"/>
      <c r="O40" s="95"/>
      <c r="P40" s="95"/>
      <c r="Q40" s="147"/>
      <c r="R40" s="95"/>
      <c r="S40" s="147"/>
      <c r="T40" s="95"/>
      <c r="U40" s="95"/>
      <c r="V40" s="95"/>
      <c r="W40" s="95"/>
      <c r="X40" s="147"/>
      <c r="Y40" s="95"/>
      <c r="Z40" s="147"/>
      <c r="AA40" s="95">
        <v>1</v>
      </c>
      <c r="AB40" s="95"/>
      <c r="AC40" s="95"/>
      <c r="AD40" s="95"/>
      <c r="AE40" s="147"/>
      <c r="AF40" s="95"/>
      <c r="AG40" s="66">
        <f t="shared" si="3"/>
        <v>2</v>
      </c>
      <c r="AH40" s="68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69" t="str">
        <f t="shared" si="2"/>
        <v>大頭</v>
      </c>
      <c r="AJ40" s="73"/>
    </row>
    <row r="41" spans="1:36" ht="18" customHeight="1">
      <c r="A41" s="95" t="s">
        <v>58</v>
      </c>
      <c r="B41" s="96" t="s">
        <v>65</v>
      </c>
      <c r="C41" s="147"/>
      <c r="D41" s="145"/>
      <c r="E41" s="147"/>
      <c r="F41" s="95">
        <v>1</v>
      </c>
      <c r="G41" s="95"/>
      <c r="H41" s="95"/>
      <c r="I41" s="95">
        <v>1</v>
      </c>
      <c r="J41" s="147"/>
      <c r="K41" s="95"/>
      <c r="L41" s="147"/>
      <c r="M41" s="95">
        <v>1</v>
      </c>
      <c r="N41" s="95"/>
      <c r="O41" s="95"/>
      <c r="P41" s="95">
        <v>1</v>
      </c>
      <c r="Q41" s="147"/>
      <c r="R41" s="95"/>
      <c r="S41" s="147"/>
      <c r="T41" s="95"/>
      <c r="U41" s="95"/>
      <c r="V41" s="95">
        <v>1</v>
      </c>
      <c r="W41" s="95">
        <v>1</v>
      </c>
      <c r="X41" s="147"/>
      <c r="Y41" s="95"/>
      <c r="Z41" s="147"/>
      <c r="AA41" s="95">
        <v>1</v>
      </c>
      <c r="AB41" s="95">
        <v>1</v>
      </c>
      <c r="AC41" s="95"/>
      <c r="AD41" s="95">
        <v>1</v>
      </c>
      <c r="AE41" s="147"/>
      <c r="AF41" s="95">
        <v>1</v>
      </c>
      <c r="AG41" s="66">
        <f t="shared" si="3"/>
        <v>9</v>
      </c>
      <c r="AH41" s="68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69" t="str">
        <f t="shared" si="2"/>
        <v>文淵</v>
      </c>
      <c r="AJ41" s="73"/>
    </row>
    <row r="42" spans="1:36" ht="18" customHeight="1">
      <c r="A42" s="95" t="s">
        <v>58</v>
      </c>
      <c r="B42" s="96" t="s">
        <v>30</v>
      </c>
      <c r="C42" s="147"/>
      <c r="D42" s="145"/>
      <c r="E42" s="147"/>
      <c r="F42" s="95"/>
      <c r="G42" s="95">
        <v>1</v>
      </c>
      <c r="H42" s="95">
        <v>1</v>
      </c>
      <c r="I42" s="95">
        <v>1</v>
      </c>
      <c r="J42" s="147"/>
      <c r="K42" s="95"/>
      <c r="L42" s="147"/>
      <c r="M42" s="95">
        <v>1</v>
      </c>
      <c r="N42" s="95">
        <v>1</v>
      </c>
      <c r="O42" s="95"/>
      <c r="P42" s="95">
        <v>1</v>
      </c>
      <c r="Q42" s="147"/>
      <c r="R42" s="95">
        <v>1</v>
      </c>
      <c r="S42" s="147"/>
      <c r="T42" s="95"/>
      <c r="U42" s="95">
        <v>1</v>
      </c>
      <c r="V42" s="95"/>
      <c r="W42" s="95">
        <v>1</v>
      </c>
      <c r="X42" s="147"/>
      <c r="Y42" s="95">
        <v>1</v>
      </c>
      <c r="Z42" s="147"/>
      <c r="AA42" s="95"/>
      <c r="AB42" s="95">
        <v>1</v>
      </c>
      <c r="AC42" s="95"/>
      <c r="AD42" s="95">
        <v>1</v>
      </c>
      <c r="AE42" s="147"/>
      <c r="AF42" s="95">
        <v>1</v>
      </c>
      <c r="AG42" s="66">
        <f t="shared" si="3"/>
        <v>12</v>
      </c>
      <c r="AH42" s="68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69" t="str">
        <f t="shared" si="2"/>
        <v>鯰魚</v>
      </c>
      <c r="AJ42" s="73"/>
    </row>
    <row r="43" spans="1:36" ht="18" customHeight="1">
      <c r="A43" s="95" t="s">
        <v>58</v>
      </c>
      <c r="B43" s="96" t="s">
        <v>31</v>
      </c>
      <c r="C43" s="147"/>
      <c r="D43" s="145"/>
      <c r="E43" s="147"/>
      <c r="F43" s="95"/>
      <c r="G43" s="95">
        <v>1</v>
      </c>
      <c r="H43" s="95"/>
      <c r="I43" s="95"/>
      <c r="J43" s="147"/>
      <c r="K43" s="95"/>
      <c r="L43" s="147"/>
      <c r="M43" s="95"/>
      <c r="N43" s="95"/>
      <c r="O43" s="95"/>
      <c r="P43" s="95">
        <v>1</v>
      </c>
      <c r="Q43" s="147"/>
      <c r="R43" s="95"/>
      <c r="S43" s="147"/>
      <c r="T43" s="95"/>
      <c r="U43" s="95">
        <v>1</v>
      </c>
      <c r="V43" s="95"/>
      <c r="W43" s="95">
        <v>1</v>
      </c>
      <c r="X43" s="147"/>
      <c r="Y43" s="95">
        <v>1</v>
      </c>
      <c r="Z43" s="147"/>
      <c r="AA43" s="95"/>
      <c r="AB43" s="95"/>
      <c r="AC43" s="95"/>
      <c r="AD43" s="95"/>
      <c r="AE43" s="147"/>
      <c r="AF43" s="95">
        <v>1</v>
      </c>
      <c r="AG43" s="66">
        <f t="shared" si="3"/>
        <v>5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2"/>
        <v>阿美</v>
      </c>
      <c r="AJ43" s="73"/>
    </row>
    <row r="44" spans="1:36" ht="18" customHeight="1">
      <c r="A44" s="95" t="s">
        <v>58</v>
      </c>
      <c r="B44" s="96" t="s">
        <v>198</v>
      </c>
      <c r="C44" s="147"/>
      <c r="D44" s="145"/>
      <c r="E44" s="147"/>
      <c r="F44" s="95"/>
      <c r="G44" s="95">
        <v>1</v>
      </c>
      <c r="H44" s="95"/>
      <c r="I44" s="95">
        <v>1</v>
      </c>
      <c r="J44" s="147"/>
      <c r="K44" s="95"/>
      <c r="L44" s="147"/>
      <c r="M44" s="95"/>
      <c r="N44" s="95">
        <v>1</v>
      </c>
      <c r="O44" s="95"/>
      <c r="P44" s="95">
        <v>1</v>
      </c>
      <c r="Q44" s="147"/>
      <c r="R44" s="95">
        <v>1</v>
      </c>
      <c r="S44" s="147"/>
      <c r="T44" s="95"/>
      <c r="U44" s="95"/>
      <c r="V44" s="95"/>
      <c r="W44" s="95">
        <v>1</v>
      </c>
      <c r="X44" s="147"/>
      <c r="Y44" s="95">
        <v>1</v>
      </c>
      <c r="Z44" s="147"/>
      <c r="AA44" s="95"/>
      <c r="AB44" s="95">
        <v>1</v>
      </c>
      <c r="AC44" s="95"/>
      <c r="AD44" s="95">
        <v>1</v>
      </c>
      <c r="AE44" s="147"/>
      <c r="AF44" s="95">
        <v>1</v>
      </c>
      <c r="AG44" s="66">
        <f t="shared" si="3"/>
        <v>9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2"/>
        <v>郁翔</v>
      </c>
      <c r="AJ44" s="73"/>
    </row>
    <row r="45" spans="1:36" ht="18" customHeight="1">
      <c r="A45" s="95" t="s">
        <v>58</v>
      </c>
      <c r="B45" s="96" t="s">
        <v>77</v>
      </c>
      <c r="C45" s="147"/>
      <c r="D45" s="145"/>
      <c r="E45" s="147"/>
      <c r="F45" s="95"/>
      <c r="G45" s="95"/>
      <c r="H45" s="95"/>
      <c r="I45" s="95"/>
      <c r="J45" s="147"/>
      <c r="K45" s="95"/>
      <c r="L45" s="147"/>
      <c r="M45" s="95"/>
      <c r="N45" s="95"/>
      <c r="O45" s="95"/>
      <c r="P45" s="95"/>
      <c r="Q45" s="147"/>
      <c r="R45" s="95"/>
      <c r="S45" s="147"/>
      <c r="T45" s="95"/>
      <c r="U45" s="95"/>
      <c r="V45" s="95"/>
      <c r="W45" s="95"/>
      <c r="X45" s="147"/>
      <c r="Y45" s="95"/>
      <c r="Z45" s="147"/>
      <c r="AA45" s="95">
        <v>1</v>
      </c>
      <c r="AB45" s="95"/>
      <c r="AC45" s="95"/>
      <c r="AD45" s="95"/>
      <c r="AE45" s="147"/>
      <c r="AF45" s="95"/>
      <c r="AG45" s="66">
        <f t="shared" si="3"/>
        <v>1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2"/>
        <v>小夫</v>
      </c>
      <c r="AJ45" s="73"/>
    </row>
    <row r="46" spans="1:36" ht="18" customHeight="1">
      <c r="A46" s="95" t="s">
        <v>58</v>
      </c>
      <c r="B46" s="96" t="s">
        <v>80</v>
      </c>
      <c r="C46" s="147"/>
      <c r="D46" s="145"/>
      <c r="E46" s="147"/>
      <c r="F46" s="95"/>
      <c r="G46" s="95"/>
      <c r="H46" s="95"/>
      <c r="I46" s="95"/>
      <c r="J46" s="147"/>
      <c r="K46" s="95"/>
      <c r="L46" s="147"/>
      <c r="M46" s="95"/>
      <c r="N46" s="95"/>
      <c r="O46" s="95"/>
      <c r="P46" s="95"/>
      <c r="Q46" s="147"/>
      <c r="R46" s="95"/>
      <c r="S46" s="147"/>
      <c r="T46" s="95"/>
      <c r="U46" s="95"/>
      <c r="V46" s="95"/>
      <c r="W46" s="95"/>
      <c r="X46" s="147"/>
      <c r="Y46" s="95"/>
      <c r="Z46" s="147"/>
      <c r="AA46" s="95"/>
      <c r="AB46" s="95"/>
      <c r="AC46" s="95"/>
      <c r="AD46" s="95">
        <v>1</v>
      </c>
      <c r="AE46" s="147"/>
      <c r="AF46" s="95"/>
      <c r="AG46" s="66">
        <f t="shared" si="3"/>
        <v>1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2"/>
        <v>禿鷹</v>
      </c>
      <c r="AJ46" s="73"/>
    </row>
    <row r="47" spans="1:36" ht="18" customHeight="1">
      <c r="A47" s="95" t="s">
        <v>58</v>
      </c>
      <c r="B47" s="96" t="s">
        <v>32</v>
      </c>
      <c r="C47" s="147"/>
      <c r="D47" s="145"/>
      <c r="E47" s="147"/>
      <c r="F47" s="95"/>
      <c r="G47" s="95">
        <v>1</v>
      </c>
      <c r="H47" s="95"/>
      <c r="I47" s="95">
        <v>1</v>
      </c>
      <c r="J47" s="147"/>
      <c r="K47" s="95"/>
      <c r="L47" s="147"/>
      <c r="M47" s="95"/>
      <c r="N47" s="95">
        <v>1</v>
      </c>
      <c r="O47" s="95"/>
      <c r="P47" s="95">
        <v>1</v>
      </c>
      <c r="Q47" s="147"/>
      <c r="R47" s="95">
        <v>1</v>
      </c>
      <c r="S47" s="147"/>
      <c r="T47" s="95"/>
      <c r="U47" s="95"/>
      <c r="V47" s="95"/>
      <c r="W47" s="95"/>
      <c r="X47" s="147"/>
      <c r="Y47" s="95"/>
      <c r="Z47" s="147"/>
      <c r="AA47" s="95"/>
      <c r="AB47" s="95"/>
      <c r="AC47" s="95"/>
      <c r="AD47" s="95">
        <v>1</v>
      </c>
      <c r="AE47" s="147"/>
      <c r="AF47" s="95"/>
      <c r="AG47" s="66">
        <f t="shared" si="3"/>
        <v>6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2"/>
        <v>小翔</v>
      </c>
      <c r="AJ47" s="73"/>
    </row>
    <row r="48" spans="1:36" ht="18" customHeight="1">
      <c r="A48" s="95" t="s">
        <v>58</v>
      </c>
      <c r="B48" s="96" t="s">
        <v>37</v>
      </c>
      <c r="C48" s="147"/>
      <c r="D48" s="145"/>
      <c r="E48" s="147"/>
      <c r="F48" s="95"/>
      <c r="G48" s="95">
        <v>1</v>
      </c>
      <c r="H48" s="95"/>
      <c r="I48" s="95">
        <v>1</v>
      </c>
      <c r="J48" s="147"/>
      <c r="K48" s="95"/>
      <c r="L48" s="147"/>
      <c r="M48" s="95">
        <v>1</v>
      </c>
      <c r="N48" s="95">
        <v>1</v>
      </c>
      <c r="O48" s="95"/>
      <c r="P48" s="95">
        <v>1</v>
      </c>
      <c r="Q48" s="147"/>
      <c r="R48" s="95">
        <v>1</v>
      </c>
      <c r="S48" s="147"/>
      <c r="T48" s="95">
        <v>1</v>
      </c>
      <c r="U48" s="95"/>
      <c r="V48" s="95"/>
      <c r="W48" s="95">
        <v>1</v>
      </c>
      <c r="X48" s="147"/>
      <c r="Y48" s="95"/>
      <c r="Z48" s="147"/>
      <c r="AA48" s="95"/>
      <c r="AB48" s="95"/>
      <c r="AC48" s="95"/>
      <c r="AD48" s="95">
        <v>1</v>
      </c>
      <c r="AE48" s="147"/>
      <c r="AF48" s="95">
        <v>1</v>
      </c>
      <c r="AG48" s="66">
        <f t="shared" si="3"/>
        <v>9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2"/>
        <v>魚仔</v>
      </c>
      <c r="AJ48" s="70"/>
    </row>
    <row r="49" spans="1:36" ht="18" customHeight="1">
      <c r="A49" s="95" t="s">
        <v>58</v>
      </c>
      <c r="B49" s="96" t="s">
        <v>87</v>
      </c>
      <c r="C49" s="147"/>
      <c r="D49" s="145"/>
      <c r="E49" s="147"/>
      <c r="F49" s="95"/>
      <c r="G49" s="95">
        <v>1</v>
      </c>
      <c r="H49" s="95"/>
      <c r="I49" s="95">
        <v>1</v>
      </c>
      <c r="J49" s="147"/>
      <c r="K49" s="95"/>
      <c r="L49" s="147"/>
      <c r="M49" s="95"/>
      <c r="N49" s="95">
        <v>1</v>
      </c>
      <c r="O49" s="95"/>
      <c r="P49" s="95">
        <v>1</v>
      </c>
      <c r="Q49" s="147"/>
      <c r="R49" s="95">
        <v>1</v>
      </c>
      <c r="S49" s="147"/>
      <c r="T49" s="95"/>
      <c r="U49" s="95"/>
      <c r="V49" s="95"/>
      <c r="W49" s="95"/>
      <c r="X49" s="147"/>
      <c r="Y49" s="95"/>
      <c r="Z49" s="147"/>
      <c r="AA49" s="95"/>
      <c r="AB49" s="95"/>
      <c r="AC49" s="95"/>
      <c r="AD49" s="95">
        <v>1</v>
      </c>
      <c r="AE49" s="147"/>
      <c r="AF49" s="95">
        <v>1</v>
      </c>
      <c r="AG49" s="66">
        <f t="shared" si="3"/>
        <v>6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2"/>
        <v>Mango</v>
      </c>
      <c r="AJ49" s="70"/>
    </row>
    <row r="50" spans="1:36" ht="18" customHeight="1">
      <c r="A50" s="95" t="s">
        <v>58</v>
      </c>
      <c r="B50" s="96" t="s">
        <v>38</v>
      </c>
      <c r="C50" s="147"/>
      <c r="D50" s="145"/>
      <c r="E50" s="147"/>
      <c r="F50" s="95">
        <v>1</v>
      </c>
      <c r="G50" s="95"/>
      <c r="H50" s="95">
        <v>1</v>
      </c>
      <c r="I50" s="95"/>
      <c r="J50" s="147"/>
      <c r="K50" s="95"/>
      <c r="L50" s="147"/>
      <c r="M50" s="95">
        <v>1</v>
      </c>
      <c r="N50" s="95"/>
      <c r="O50" s="95">
        <v>1</v>
      </c>
      <c r="P50" s="95"/>
      <c r="Q50" s="147"/>
      <c r="R50" s="95">
        <v>1</v>
      </c>
      <c r="S50" s="147"/>
      <c r="T50" s="95"/>
      <c r="U50" s="95"/>
      <c r="V50" s="95">
        <v>1</v>
      </c>
      <c r="W50" s="95"/>
      <c r="X50" s="147"/>
      <c r="Y50" s="95"/>
      <c r="Z50" s="147"/>
      <c r="AA50" s="95">
        <v>1</v>
      </c>
      <c r="AB50" s="95"/>
      <c r="AC50" s="95">
        <v>1</v>
      </c>
      <c r="AD50" s="95"/>
      <c r="AE50" s="147"/>
      <c r="AF50" s="95">
        <v>1</v>
      </c>
      <c r="AG50" s="66">
        <f t="shared" si="3"/>
        <v>8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2"/>
        <v>阿龍</v>
      </c>
      <c r="AJ50" s="70"/>
    </row>
    <row r="51" spans="1:36" ht="18" customHeight="1">
      <c r="A51" s="95" t="s">
        <v>58</v>
      </c>
      <c r="B51" s="96" t="s">
        <v>220</v>
      </c>
      <c r="C51" s="147"/>
      <c r="D51" s="145"/>
      <c r="E51" s="147"/>
      <c r="F51" s="95">
        <v>1</v>
      </c>
      <c r="G51" s="95"/>
      <c r="H51" s="95"/>
      <c r="I51" s="95"/>
      <c r="J51" s="147"/>
      <c r="K51" s="95"/>
      <c r="L51" s="147"/>
      <c r="M51" s="95">
        <v>1</v>
      </c>
      <c r="N51" s="95"/>
      <c r="O51" s="95"/>
      <c r="P51" s="95"/>
      <c r="Q51" s="147"/>
      <c r="R51" s="95"/>
      <c r="S51" s="147"/>
      <c r="T51" s="95"/>
      <c r="U51" s="95">
        <v>1</v>
      </c>
      <c r="V51" s="95"/>
      <c r="W51" s="95"/>
      <c r="X51" s="147"/>
      <c r="Y51" s="95"/>
      <c r="Z51" s="147"/>
      <c r="AA51" s="95"/>
      <c r="AB51" s="95"/>
      <c r="AC51" s="95"/>
      <c r="AD51" s="95"/>
      <c r="AE51" s="147"/>
      <c r="AF51" s="95"/>
      <c r="AG51" s="66">
        <f t="shared" si="3"/>
        <v>3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">
        <v>220</v>
      </c>
      <c r="AJ51" s="70"/>
    </row>
    <row r="52" spans="1:36" ht="18" customHeight="1">
      <c r="A52" s="95" t="s">
        <v>58</v>
      </c>
      <c r="B52" s="96" t="s">
        <v>45</v>
      </c>
      <c r="C52" s="147"/>
      <c r="D52" s="145"/>
      <c r="E52" s="147"/>
      <c r="F52" s="95">
        <v>1</v>
      </c>
      <c r="G52" s="95">
        <v>1</v>
      </c>
      <c r="H52" s="95"/>
      <c r="I52" s="95">
        <v>1</v>
      </c>
      <c r="J52" s="147"/>
      <c r="K52" s="95"/>
      <c r="L52" s="147"/>
      <c r="M52" s="95">
        <v>1</v>
      </c>
      <c r="N52" s="95">
        <v>1</v>
      </c>
      <c r="O52" s="95"/>
      <c r="P52" s="95">
        <v>1</v>
      </c>
      <c r="Q52" s="147"/>
      <c r="R52" s="95">
        <v>1</v>
      </c>
      <c r="S52" s="147"/>
      <c r="T52" s="95">
        <v>1</v>
      </c>
      <c r="U52" s="95">
        <v>1</v>
      </c>
      <c r="V52" s="95"/>
      <c r="W52" s="95"/>
      <c r="X52" s="147"/>
      <c r="Y52" s="95"/>
      <c r="Z52" s="147"/>
      <c r="AA52" s="95">
        <v>1</v>
      </c>
      <c r="AB52" s="95"/>
      <c r="AC52" s="95">
        <v>1</v>
      </c>
      <c r="AD52" s="95"/>
      <c r="AE52" s="147"/>
      <c r="AF52" s="95">
        <v>1</v>
      </c>
      <c r="AG52" s="66">
        <f t="shared" si="3"/>
        <v>11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">
        <v>45</v>
      </c>
      <c r="AJ52" s="70"/>
    </row>
    <row r="53" spans="1:36" ht="18" customHeight="1">
      <c r="A53" s="95" t="s">
        <v>58</v>
      </c>
      <c r="B53" s="96" t="s">
        <v>221</v>
      </c>
      <c r="C53" s="147"/>
      <c r="D53" s="145"/>
      <c r="E53" s="147"/>
      <c r="F53" s="95"/>
      <c r="G53" s="95"/>
      <c r="H53" s="95"/>
      <c r="I53" s="95"/>
      <c r="J53" s="147"/>
      <c r="K53" s="95"/>
      <c r="L53" s="147"/>
      <c r="M53" s="95">
        <v>1</v>
      </c>
      <c r="N53" s="95">
        <v>1</v>
      </c>
      <c r="O53" s="95"/>
      <c r="P53" s="95">
        <v>1</v>
      </c>
      <c r="Q53" s="147"/>
      <c r="R53" s="95">
        <v>1</v>
      </c>
      <c r="S53" s="147"/>
      <c r="T53" s="95">
        <v>1</v>
      </c>
      <c r="U53" s="95">
        <v>1</v>
      </c>
      <c r="V53" s="95"/>
      <c r="W53" s="95"/>
      <c r="X53" s="147"/>
      <c r="Y53" s="95"/>
      <c r="Z53" s="147"/>
      <c r="AA53" s="95"/>
      <c r="AB53" s="95"/>
      <c r="AC53" s="95">
        <v>1</v>
      </c>
      <c r="AD53" s="95"/>
      <c r="AE53" s="147"/>
      <c r="AF53" s="95">
        <v>1</v>
      </c>
      <c r="AG53" s="66">
        <f t="shared" si="3"/>
        <v>7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">
        <v>221</v>
      </c>
      <c r="AJ53" s="70"/>
    </row>
    <row r="54" spans="1:36" ht="18" customHeight="1">
      <c r="A54" s="99" t="s">
        <v>58</v>
      </c>
      <c r="B54" s="100" t="s">
        <v>151</v>
      </c>
      <c r="C54" s="147"/>
      <c r="D54" s="145"/>
      <c r="E54" s="147"/>
      <c r="F54" s="99"/>
      <c r="G54" s="99"/>
      <c r="H54" s="99"/>
      <c r="I54" s="99"/>
      <c r="J54" s="147"/>
      <c r="K54" s="99"/>
      <c r="L54" s="147"/>
      <c r="M54" s="99">
        <v>1</v>
      </c>
      <c r="N54" s="99"/>
      <c r="O54" s="99"/>
      <c r="P54" s="99">
        <v>1</v>
      </c>
      <c r="Q54" s="147"/>
      <c r="R54" s="99">
        <v>1</v>
      </c>
      <c r="S54" s="147"/>
      <c r="T54" s="99">
        <v>1</v>
      </c>
      <c r="U54" s="99"/>
      <c r="V54" s="99">
        <v>1</v>
      </c>
      <c r="W54" s="99">
        <v>1</v>
      </c>
      <c r="X54" s="147"/>
      <c r="Y54" s="99"/>
      <c r="Z54" s="147"/>
      <c r="AA54" s="99">
        <v>1</v>
      </c>
      <c r="AB54" s="99"/>
      <c r="AC54" s="99">
        <v>1</v>
      </c>
      <c r="AD54" s="99">
        <v>1</v>
      </c>
      <c r="AE54" s="147"/>
      <c r="AF54" s="99">
        <v>1</v>
      </c>
      <c r="AG54" s="77">
        <f t="shared" si="3"/>
        <v>9</v>
      </c>
      <c r="AH54" s="9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79" t="str">
        <f t="shared" ref="AI54:AI61" si="4">B54</f>
        <v>宇嬅</v>
      </c>
      <c r="AJ54" s="82"/>
    </row>
    <row r="55" spans="1:36" ht="18" customHeight="1">
      <c r="A55" s="99" t="s">
        <v>58</v>
      </c>
      <c r="B55" s="100" t="s">
        <v>96</v>
      </c>
      <c r="C55" s="147"/>
      <c r="D55" s="145"/>
      <c r="E55" s="147"/>
      <c r="F55" s="99">
        <v>1</v>
      </c>
      <c r="G55" s="99"/>
      <c r="H55" s="99">
        <v>1</v>
      </c>
      <c r="I55" s="99"/>
      <c r="J55" s="147"/>
      <c r="K55" s="99">
        <v>1</v>
      </c>
      <c r="L55" s="147"/>
      <c r="M55" s="99">
        <v>1</v>
      </c>
      <c r="N55" s="99"/>
      <c r="O55" s="99">
        <v>1</v>
      </c>
      <c r="P55" s="99"/>
      <c r="Q55" s="147"/>
      <c r="R55" s="99">
        <v>1</v>
      </c>
      <c r="S55" s="147"/>
      <c r="T55" s="99"/>
      <c r="U55" s="99"/>
      <c r="V55" s="99">
        <v>1</v>
      </c>
      <c r="W55" s="99"/>
      <c r="X55" s="147"/>
      <c r="Y55" s="99">
        <v>1</v>
      </c>
      <c r="Z55" s="147"/>
      <c r="AA55" s="99">
        <v>1</v>
      </c>
      <c r="AB55" s="99"/>
      <c r="AC55" s="99">
        <v>1</v>
      </c>
      <c r="AD55" s="99"/>
      <c r="AE55" s="147"/>
      <c r="AF55" s="99">
        <v>1</v>
      </c>
      <c r="AG55" s="77">
        <f t="shared" si="3"/>
        <v>10</v>
      </c>
      <c r="AH55" s="9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79" t="str">
        <f t="shared" si="4"/>
        <v>靜婷</v>
      </c>
      <c r="AJ55" s="81"/>
    </row>
    <row r="56" spans="1:36" ht="18" customHeight="1">
      <c r="A56" s="99" t="s">
        <v>58</v>
      </c>
      <c r="B56" s="100" t="s">
        <v>100</v>
      </c>
      <c r="C56" s="147"/>
      <c r="D56" s="145"/>
      <c r="E56" s="147"/>
      <c r="F56" s="99">
        <v>1</v>
      </c>
      <c r="G56" s="99"/>
      <c r="H56" s="99">
        <v>1</v>
      </c>
      <c r="I56" s="99"/>
      <c r="J56" s="147"/>
      <c r="K56" s="99">
        <v>1</v>
      </c>
      <c r="L56" s="147"/>
      <c r="M56" s="99">
        <v>1</v>
      </c>
      <c r="N56" s="99"/>
      <c r="O56" s="99">
        <v>1</v>
      </c>
      <c r="P56" s="99"/>
      <c r="Q56" s="147"/>
      <c r="R56" s="99">
        <v>1</v>
      </c>
      <c r="S56" s="147"/>
      <c r="T56" s="99">
        <v>1</v>
      </c>
      <c r="U56" s="99"/>
      <c r="V56" s="99">
        <v>1</v>
      </c>
      <c r="W56" s="99"/>
      <c r="X56" s="147"/>
      <c r="Y56" s="99">
        <v>1</v>
      </c>
      <c r="Z56" s="147"/>
      <c r="AA56" s="99"/>
      <c r="AB56" s="99"/>
      <c r="AC56" s="99">
        <v>1</v>
      </c>
      <c r="AD56" s="99"/>
      <c r="AE56" s="147"/>
      <c r="AF56" s="99">
        <v>1</v>
      </c>
      <c r="AG56" s="77">
        <f t="shared" si="3"/>
        <v>10</v>
      </c>
      <c r="AH56" s="9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79" t="str">
        <f t="shared" si="4"/>
        <v>餅餅</v>
      </c>
      <c r="AJ56" s="81"/>
    </row>
    <row r="57" spans="1:36" ht="18" customHeight="1">
      <c r="A57" s="101" t="s">
        <v>58</v>
      </c>
      <c r="B57" s="102" t="s">
        <v>125</v>
      </c>
      <c r="C57" s="147"/>
      <c r="D57" s="145"/>
      <c r="E57" s="147"/>
      <c r="F57" s="101"/>
      <c r="G57" s="101">
        <v>1</v>
      </c>
      <c r="H57" s="101"/>
      <c r="I57" s="101">
        <v>1</v>
      </c>
      <c r="J57" s="147"/>
      <c r="K57" s="101"/>
      <c r="L57" s="147"/>
      <c r="M57" s="101"/>
      <c r="N57" s="101"/>
      <c r="O57" s="101"/>
      <c r="P57" s="101"/>
      <c r="Q57" s="147"/>
      <c r="R57" s="101"/>
      <c r="S57" s="147"/>
      <c r="T57" s="101"/>
      <c r="U57" s="101"/>
      <c r="V57" s="101"/>
      <c r="W57" s="101"/>
      <c r="X57" s="147"/>
      <c r="Y57" s="101"/>
      <c r="Z57" s="147"/>
      <c r="AA57" s="101"/>
      <c r="AB57" s="101"/>
      <c r="AC57" s="101"/>
      <c r="AD57" s="101"/>
      <c r="AE57" s="147"/>
      <c r="AF57" s="101"/>
      <c r="AG57" s="86">
        <f t="shared" si="3"/>
        <v>2</v>
      </c>
      <c r="AH57" s="103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88" t="str">
        <f t="shared" si="4"/>
        <v>沛緁</v>
      </c>
      <c r="AJ57" s="89"/>
    </row>
    <row r="58" spans="1:36" ht="18" customHeight="1">
      <c r="A58" s="101" t="s">
        <v>58</v>
      </c>
      <c r="B58" s="102" t="s">
        <v>127</v>
      </c>
      <c r="C58" s="147"/>
      <c r="D58" s="145"/>
      <c r="E58" s="147"/>
      <c r="F58" s="101">
        <v>1</v>
      </c>
      <c r="G58" s="101"/>
      <c r="H58" s="101"/>
      <c r="I58" s="101"/>
      <c r="J58" s="147"/>
      <c r="K58" s="101">
        <v>1</v>
      </c>
      <c r="L58" s="147"/>
      <c r="M58" s="101">
        <v>1</v>
      </c>
      <c r="N58" s="101"/>
      <c r="O58" s="101"/>
      <c r="P58" s="101">
        <v>1</v>
      </c>
      <c r="Q58" s="147"/>
      <c r="R58" s="101">
        <v>1</v>
      </c>
      <c r="S58" s="147"/>
      <c r="T58" s="101">
        <v>1</v>
      </c>
      <c r="U58" s="101"/>
      <c r="V58" s="101">
        <v>1</v>
      </c>
      <c r="W58" s="101">
        <v>1</v>
      </c>
      <c r="X58" s="147"/>
      <c r="Y58" s="101">
        <v>1</v>
      </c>
      <c r="Z58" s="147"/>
      <c r="AA58" s="101">
        <v>1</v>
      </c>
      <c r="AB58" s="101"/>
      <c r="AC58" s="101">
        <v>1</v>
      </c>
      <c r="AD58" s="101">
        <v>1</v>
      </c>
      <c r="AE58" s="147"/>
      <c r="AF58" s="101">
        <v>1</v>
      </c>
      <c r="AG58" s="86">
        <f t="shared" si="3"/>
        <v>12</v>
      </c>
      <c r="AH58" s="103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88" t="str">
        <f t="shared" si="4"/>
        <v>小雞</v>
      </c>
      <c r="AJ58" s="89"/>
    </row>
    <row r="59" spans="1:36" ht="18" customHeight="1">
      <c r="A59" s="101" t="s">
        <v>58</v>
      </c>
      <c r="B59" s="115" t="s">
        <v>140</v>
      </c>
      <c r="C59" s="147"/>
      <c r="D59" s="145"/>
      <c r="E59" s="147"/>
      <c r="F59" s="101"/>
      <c r="G59" s="101"/>
      <c r="H59" s="101"/>
      <c r="I59" s="101"/>
      <c r="J59" s="147"/>
      <c r="K59" s="101"/>
      <c r="L59" s="147"/>
      <c r="M59" s="101">
        <v>1</v>
      </c>
      <c r="N59" s="101"/>
      <c r="O59" s="101"/>
      <c r="P59" s="101"/>
      <c r="Q59" s="147"/>
      <c r="R59" s="101"/>
      <c r="S59" s="147"/>
      <c r="T59" s="101"/>
      <c r="U59" s="101"/>
      <c r="V59" s="101"/>
      <c r="W59" s="101"/>
      <c r="X59" s="147"/>
      <c r="Y59" s="101"/>
      <c r="Z59" s="147"/>
      <c r="AA59" s="101"/>
      <c r="AB59" s="101"/>
      <c r="AC59" s="101"/>
      <c r="AD59" s="101"/>
      <c r="AE59" s="147"/>
      <c r="AF59" s="101"/>
      <c r="AG59" s="86">
        <f t="shared" si="3"/>
        <v>1</v>
      </c>
      <c r="AH59" s="87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88" t="str">
        <f t="shared" si="4"/>
        <v>芷琦</v>
      </c>
      <c r="AJ59" s="91"/>
    </row>
    <row r="60" spans="1:36" ht="18" customHeight="1">
      <c r="A60" s="101" t="s">
        <v>58</v>
      </c>
      <c r="B60" s="115" t="s">
        <v>106</v>
      </c>
      <c r="C60" s="147"/>
      <c r="D60" s="145"/>
      <c r="E60" s="147"/>
      <c r="F60" s="101">
        <v>1</v>
      </c>
      <c r="G60" s="101"/>
      <c r="H60" s="101"/>
      <c r="I60" s="101"/>
      <c r="J60" s="147"/>
      <c r="K60" s="101"/>
      <c r="L60" s="147"/>
      <c r="M60" s="101"/>
      <c r="N60" s="101"/>
      <c r="O60" s="101"/>
      <c r="P60" s="101"/>
      <c r="Q60" s="147"/>
      <c r="R60" s="101"/>
      <c r="S60" s="147"/>
      <c r="T60" s="101"/>
      <c r="U60" s="101"/>
      <c r="V60" s="101"/>
      <c r="W60" s="101"/>
      <c r="X60" s="147"/>
      <c r="Y60" s="101"/>
      <c r="Z60" s="147"/>
      <c r="AA60" s="101"/>
      <c r="AB60" s="101"/>
      <c r="AC60" s="101"/>
      <c r="AD60" s="101"/>
      <c r="AE60" s="147"/>
      <c r="AF60" s="101"/>
      <c r="AG60" s="86">
        <f t="shared" si="3"/>
        <v>1</v>
      </c>
      <c r="AH60" s="87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88" t="str">
        <f t="shared" si="4"/>
        <v>Nina</v>
      </c>
      <c r="AJ60" s="91"/>
    </row>
    <row r="61" spans="1:36" ht="18" customHeight="1">
      <c r="A61" s="120" t="s">
        <v>58</v>
      </c>
      <c r="B61" s="121" t="s">
        <v>42</v>
      </c>
      <c r="C61" s="147"/>
      <c r="D61" s="145"/>
      <c r="E61" s="147"/>
      <c r="F61" s="120"/>
      <c r="G61" s="120"/>
      <c r="H61" s="120"/>
      <c r="I61" s="120"/>
      <c r="J61" s="147"/>
      <c r="K61" s="120"/>
      <c r="L61" s="147"/>
      <c r="M61" s="120"/>
      <c r="N61" s="120"/>
      <c r="O61" s="120"/>
      <c r="P61" s="120"/>
      <c r="Q61" s="147"/>
      <c r="R61" s="120"/>
      <c r="S61" s="147"/>
      <c r="T61" s="120"/>
      <c r="U61" s="120"/>
      <c r="V61" s="120"/>
      <c r="W61" s="120"/>
      <c r="X61" s="147"/>
      <c r="Y61" s="120"/>
      <c r="Z61" s="147"/>
      <c r="AA61" s="120">
        <v>1</v>
      </c>
      <c r="AB61" s="120"/>
      <c r="AC61" s="120">
        <v>1</v>
      </c>
      <c r="AD61" s="120"/>
      <c r="AE61" s="147"/>
      <c r="AF61" s="120">
        <v>1</v>
      </c>
      <c r="AG61" s="107">
        <f t="shared" si="3"/>
        <v>2</v>
      </c>
      <c r="AH61" s="10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109" t="str">
        <f t="shared" si="4"/>
        <v>屎蛋</v>
      </c>
      <c r="AJ61" s="110"/>
    </row>
    <row r="62" spans="1:36" ht="18" customHeight="1">
      <c r="A62" s="154"/>
      <c r="B62" s="154"/>
      <c r="C62" s="155"/>
      <c r="D62" s="156"/>
      <c r="E62" s="155"/>
      <c r="F62" s="154"/>
      <c r="G62" s="154"/>
      <c r="H62" s="154"/>
      <c r="I62" s="154"/>
      <c r="J62" s="155"/>
      <c r="K62" s="154"/>
      <c r="L62" s="155"/>
      <c r="M62" s="154"/>
      <c r="N62" s="154"/>
      <c r="O62" s="154"/>
      <c r="P62" s="154"/>
      <c r="Q62" s="155"/>
      <c r="R62" s="154"/>
      <c r="S62" s="155"/>
      <c r="T62" s="154"/>
      <c r="U62" s="154"/>
      <c r="V62" s="154"/>
      <c r="W62" s="154"/>
      <c r="X62" s="155"/>
      <c r="Y62" s="154"/>
      <c r="Z62" s="155"/>
      <c r="AA62" s="154"/>
      <c r="AB62" s="154"/>
      <c r="AC62" s="154"/>
      <c r="AD62" s="154"/>
      <c r="AE62" s="155"/>
      <c r="AF62" s="154"/>
      <c r="AG62" s="157"/>
      <c r="AH62" s="158" t="e">
        <f ca="1">SUM(AH2:AH61)</f>
        <v>#NAME?</v>
      </c>
      <c r="AI62" s="159"/>
      <c r="AJ62" s="110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62">
    <cfRule type="expression" dxfId="16" priority="1">
      <formula>COUNTIF($B:$B,$B2)&gt;1</formula>
    </cfRule>
  </conditionalFormatting>
  <dataValidations count="1">
    <dataValidation type="list" allowBlank="1" showDropDown="1" showErrorMessage="1" sqref="C1:AF1" xr:uid="{00000000-0002-0000-12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A9999"/>
    <outlinePr summaryBelow="0" summaryRight="0"/>
    <pageSetUpPr fitToPage="1"/>
  </sheetPr>
  <dimension ref="A1:AJ65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 t="s">
        <v>184</v>
      </c>
      <c r="D1" s="51" t="s">
        <v>22</v>
      </c>
      <c r="E1" s="51" t="s">
        <v>14</v>
      </c>
      <c r="F1" s="51" t="s">
        <v>19</v>
      </c>
      <c r="G1" s="51" t="s">
        <v>219</v>
      </c>
      <c r="H1" s="51" t="s">
        <v>13</v>
      </c>
      <c r="I1" s="51" t="s">
        <v>219</v>
      </c>
      <c r="J1" s="51" t="s">
        <v>184</v>
      </c>
      <c r="K1" s="51" t="s">
        <v>22</v>
      </c>
      <c r="L1" s="51" t="s">
        <v>14</v>
      </c>
      <c r="M1" s="51" t="s">
        <v>219</v>
      </c>
      <c r="N1" s="51" t="s">
        <v>219</v>
      </c>
      <c r="O1" s="51" t="s">
        <v>13</v>
      </c>
      <c r="P1" s="51" t="s">
        <v>219</v>
      </c>
      <c r="Q1" s="51" t="s">
        <v>22</v>
      </c>
      <c r="R1" s="51" t="s">
        <v>22</v>
      </c>
      <c r="S1" s="51" t="s">
        <v>14</v>
      </c>
      <c r="T1" s="51" t="s">
        <v>19</v>
      </c>
      <c r="U1" s="51" t="s">
        <v>219</v>
      </c>
      <c r="V1" s="51" t="s">
        <v>13</v>
      </c>
      <c r="W1" s="51" t="s">
        <v>219</v>
      </c>
      <c r="X1" s="51" t="s">
        <v>184</v>
      </c>
      <c r="Y1" s="51" t="s">
        <v>22</v>
      </c>
      <c r="Z1" s="51" t="s">
        <v>14</v>
      </c>
      <c r="AA1" s="51" t="s">
        <v>219</v>
      </c>
      <c r="AB1" s="51" t="s">
        <v>219</v>
      </c>
      <c r="AC1" s="51" t="s">
        <v>13</v>
      </c>
      <c r="AD1" s="51" t="s">
        <v>219</v>
      </c>
      <c r="AE1" s="51" t="s">
        <v>22</v>
      </c>
      <c r="AF1" s="51" t="s">
        <v>22</v>
      </c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45597</v>
      </c>
      <c r="D2" s="55">
        <v>45598</v>
      </c>
      <c r="E2" s="55">
        <v>45599</v>
      </c>
      <c r="F2" s="55">
        <v>45600</v>
      </c>
      <c r="G2" s="55">
        <v>45601</v>
      </c>
      <c r="H2" s="55">
        <v>45602</v>
      </c>
      <c r="I2" s="55">
        <v>45603</v>
      </c>
      <c r="J2" s="55">
        <v>45604</v>
      </c>
      <c r="K2" s="55">
        <v>45605</v>
      </c>
      <c r="L2" s="55">
        <v>45606</v>
      </c>
      <c r="M2" s="55">
        <v>45607</v>
      </c>
      <c r="N2" s="55">
        <v>45608</v>
      </c>
      <c r="O2" s="55">
        <v>45609</v>
      </c>
      <c r="P2" s="55">
        <v>45610</v>
      </c>
      <c r="Q2" s="55">
        <v>45611</v>
      </c>
      <c r="R2" s="55">
        <v>45612</v>
      </c>
      <c r="S2" s="55">
        <v>45613</v>
      </c>
      <c r="T2" s="55">
        <v>45614</v>
      </c>
      <c r="U2" s="55">
        <v>45615</v>
      </c>
      <c r="V2" s="55">
        <v>45616</v>
      </c>
      <c r="W2" s="55">
        <v>45617</v>
      </c>
      <c r="X2" s="55">
        <v>45618</v>
      </c>
      <c r="Y2" s="55">
        <v>45619</v>
      </c>
      <c r="Z2" s="55">
        <v>45620</v>
      </c>
      <c r="AA2" s="55">
        <v>45621</v>
      </c>
      <c r="AB2" s="55">
        <v>45622</v>
      </c>
      <c r="AC2" s="55">
        <v>45623</v>
      </c>
      <c r="AD2" s="55">
        <v>45624</v>
      </c>
      <c r="AE2" s="55">
        <v>45625</v>
      </c>
      <c r="AF2" s="55">
        <v>45626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5</v>
      </c>
      <c r="D3" s="114">
        <f t="shared" si="0"/>
        <v>6</v>
      </c>
      <c r="E3" s="51">
        <f t="shared" si="0"/>
        <v>7</v>
      </c>
      <c r="F3" s="51">
        <f t="shared" si="0"/>
        <v>1</v>
      </c>
      <c r="G3" s="51">
        <f t="shared" si="0"/>
        <v>2</v>
      </c>
      <c r="H3" s="51">
        <f t="shared" si="0"/>
        <v>3</v>
      </c>
      <c r="I3" s="51">
        <f t="shared" si="0"/>
        <v>4</v>
      </c>
      <c r="J3" s="51">
        <f t="shared" si="0"/>
        <v>5</v>
      </c>
      <c r="K3" s="51">
        <f t="shared" si="0"/>
        <v>6</v>
      </c>
      <c r="L3" s="51">
        <f t="shared" si="0"/>
        <v>7</v>
      </c>
      <c r="M3" s="51">
        <f t="shared" si="0"/>
        <v>1</v>
      </c>
      <c r="N3" s="51">
        <f t="shared" si="0"/>
        <v>2</v>
      </c>
      <c r="O3" s="51">
        <f t="shared" si="0"/>
        <v>3</v>
      </c>
      <c r="P3" s="51">
        <f t="shared" si="0"/>
        <v>4</v>
      </c>
      <c r="Q3" s="51">
        <f t="shared" si="0"/>
        <v>5</v>
      </c>
      <c r="R3" s="51">
        <f t="shared" si="0"/>
        <v>6</v>
      </c>
      <c r="S3" s="51">
        <f t="shared" si="0"/>
        <v>7</v>
      </c>
      <c r="T3" s="51">
        <f t="shared" si="0"/>
        <v>1</v>
      </c>
      <c r="U3" s="51">
        <f t="shared" si="0"/>
        <v>2</v>
      </c>
      <c r="V3" s="51">
        <f t="shared" si="0"/>
        <v>3</v>
      </c>
      <c r="W3" s="51">
        <f t="shared" si="0"/>
        <v>4</v>
      </c>
      <c r="X3" s="51">
        <f t="shared" si="0"/>
        <v>5</v>
      </c>
      <c r="Y3" s="51">
        <f t="shared" si="0"/>
        <v>6</v>
      </c>
      <c r="Z3" s="51">
        <f t="shared" si="0"/>
        <v>7</v>
      </c>
      <c r="AA3" s="51">
        <f t="shared" si="0"/>
        <v>1</v>
      </c>
      <c r="AB3" s="51">
        <f t="shared" si="0"/>
        <v>2</v>
      </c>
      <c r="AC3" s="51">
        <f t="shared" si="0"/>
        <v>3</v>
      </c>
      <c r="AD3" s="51">
        <f t="shared" si="0"/>
        <v>4</v>
      </c>
      <c r="AE3" s="51">
        <f t="shared" si="0"/>
        <v>5</v>
      </c>
      <c r="AF3" s="51">
        <f t="shared" si="0"/>
        <v>6</v>
      </c>
      <c r="AG3" s="283"/>
      <c r="AH3" s="278"/>
      <c r="AI3" s="273"/>
      <c r="AJ3" s="62" t="e">
        <f ca="1">SUM(AH4:AH66)</f>
        <v>#NAME?</v>
      </c>
    </row>
    <row r="4" spans="1:36" ht="18" customHeight="1">
      <c r="A4" s="92" t="s">
        <v>174</v>
      </c>
      <c r="B4" s="93" t="s">
        <v>10</v>
      </c>
      <c r="C4" s="149">
        <v>1</v>
      </c>
      <c r="D4" s="150">
        <v>1</v>
      </c>
      <c r="E4" s="149">
        <v>1</v>
      </c>
      <c r="F4" s="149">
        <v>1</v>
      </c>
      <c r="G4" s="144"/>
      <c r="H4" s="149">
        <v>1</v>
      </c>
      <c r="I4" s="144"/>
      <c r="J4" s="149">
        <v>1</v>
      </c>
      <c r="K4" s="149"/>
      <c r="L4" s="149">
        <v>1</v>
      </c>
      <c r="M4" s="144"/>
      <c r="N4" s="144"/>
      <c r="O4" s="149">
        <v>1</v>
      </c>
      <c r="P4" s="144"/>
      <c r="Q4" s="149">
        <v>1</v>
      </c>
      <c r="R4" s="149"/>
      <c r="S4" s="149">
        <v>1</v>
      </c>
      <c r="T4" s="149"/>
      <c r="U4" s="144"/>
      <c r="V4" s="149">
        <v>1</v>
      </c>
      <c r="W4" s="144"/>
      <c r="X4" s="149">
        <v>1</v>
      </c>
      <c r="Y4" s="149"/>
      <c r="Z4" s="149"/>
      <c r="AA4" s="144"/>
      <c r="AB4" s="144"/>
      <c r="AC4" s="149"/>
      <c r="AD4" s="144"/>
      <c r="AE4" s="149"/>
      <c r="AF4" s="149"/>
      <c r="AG4" s="66">
        <f t="shared" ref="AG4:AG35" si="1">COUNTA(C4:AF4)</f>
        <v>12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2">B4</f>
        <v>阿發</v>
      </c>
      <c r="AJ4" s="70"/>
    </row>
    <row r="5" spans="1:36" ht="18" customHeight="1">
      <c r="A5" s="95" t="s">
        <v>174</v>
      </c>
      <c r="B5" s="122" t="s">
        <v>11</v>
      </c>
      <c r="C5" s="151">
        <v>1</v>
      </c>
      <c r="D5" s="150">
        <v>1</v>
      </c>
      <c r="E5" s="151">
        <v>1</v>
      </c>
      <c r="F5" s="151">
        <v>1</v>
      </c>
      <c r="G5" s="147"/>
      <c r="H5" s="151">
        <v>1</v>
      </c>
      <c r="I5" s="147"/>
      <c r="J5" s="151">
        <v>1</v>
      </c>
      <c r="K5" s="151"/>
      <c r="L5" s="151">
        <v>1</v>
      </c>
      <c r="M5" s="147"/>
      <c r="N5" s="147"/>
      <c r="O5" s="151">
        <v>1</v>
      </c>
      <c r="P5" s="147"/>
      <c r="Q5" s="151">
        <v>1</v>
      </c>
      <c r="R5" s="151"/>
      <c r="S5" s="151">
        <v>1</v>
      </c>
      <c r="T5" s="151"/>
      <c r="U5" s="147"/>
      <c r="V5" s="151">
        <v>1</v>
      </c>
      <c r="W5" s="147"/>
      <c r="X5" s="151">
        <v>1</v>
      </c>
      <c r="Y5" s="151">
        <v>1</v>
      </c>
      <c r="Z5" s="151">
        <v>1</v>
      </c>
      <c r="AA5" s="147"/>
      <c r="AB5" s="147"/>
      <c r="AC5" s="151">
        <v>1</v>
      </c>
      <c r="AD5" s="147"/>
      <c r="AE5" s="151"/>
      <c r="AF5" s="151"/>
      <c r="AG5" s="66">
        <f t="shared" si="1"/>
        <v>15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2"/>
        <v>捷升</v>
      </c>
      <c r="AJ5" s="70"/>
    </row>
    <row r="6" spans="1:36" ht="18" customHeight="1">
      <c r="A6" s="95" t="s">
        <v>174</v>
      </c>
      <c r="B6" s="122" t="s">
        <v>14</v>
      </c>
      <c r="C6" s="151">
        <v>1</v>
      </c>
      <c r="D6" s="150">
        <v>1</v>
      </c>
      <c r="E6" s="151">
        <v>1</v>
      </c>
      <c r="F6" s="151">
        <v>1</v>
      </c>
      <c r="G6" s="147"/>
      <c r="H6" s="151">
        <v>1</v>
      </c>
      <c r="I6" s="147"/>
      <c r="J6" s="151">
        <v>1</v>
      </c>
      <c r="K6" s="151">
        <v>1</v>
      </c>
      <c r="L6" s="151">
        <v>1</v>
      </c>
      <c r="M6" s="147"/>
      <c r="N6" s="147"/>
      <c r="O6" s="151">
        <v>1</v>
      </c>
      <c r="P6" s="147"/>
      <c r="Q6" s="151"/>
      <c r="R6" s="151"/>
      <c r="S6" s="151">
        <v>1</v>
      </c>
      <c r="T6" s="151"/>
      <c r="U6" s="147"/>
      <c r="V6" s="151">
        <v>1</v>
      </c>
      <c r="W6" s="147"/>
      <c r="X6" s="151">
        <v>1</v>
      </c>
      <c r="Y6" s="151">
        <v>1</v>
      </c>
      <c r="Z6" s="151">
        <v>1</v>
      </c>
      <c r="AA6" s="147"/>
      <c r="AB6" s="147"/>
      <c r="AC6" s="151">
        <v>1</v>
      </c>
      <c r="AD6" s="147"/>
      <c r="AE6" s="151"/>
      <c r="AF6" s="151"/>
      <c r="AG6" s="66">
        <f t="shared" si="1"/>
        <v>15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151"/>
      <c r="D7" s="150"/>
      <c r="E7" s="151"/>
      <c r="F7" s="151"/>
      <c r="G7" s="147"/>
      <c r="H7" s="151">
        <v>1</v>
      </c>
      <c r="I7" s="147"/>
      <c r="J7" s="151">
        <v>1</v>
      </c>
      <c r="K7" s="151"/>
      <c r="L7" s="151"/>
      <c r="M7" s="147"/>
      <c r="N7" s="147"/>
      <c r="O7" s="151">
        <v>1</v>
      </c>
      <c r="P7" s="147"/>
      <c r="Q7" s="151">
        <v>1</v>
      </c>
      <c r="R7" s="151">
        <v>1</v>
      </c>
      <c r="S7" s="151">
        <v>1</v>
      </c>
      <c r="T7" s="151">
        <v>1</v>
      </c>
      <c r="U7" s="147"/>
      <c r="V7" s="151">
        <v>1</v>
      </c>
      <c r="W7" s="147"/>
      <c r="X7" s="151">
        <v>1</v>
      </c>
      <c r="Y7" s="151"/>
      <c r="Z7" s="151"/>
      <c r="AA7" s="147"/>
      <c r="AB7" s="147"/>
      <c r="AC7" s="151">
        <v>1</v>
      </c>
      <c r="AD7" s="147"/>
      <c r="AE7" s="151"/>
      <c r="AF7" s="151"/>
      <c r="AG7" s="66">
        <f t="shared" si="1"/>
        <v>10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151">
        <v>1</v>
      </c>
      <c r="D8" s="150">
        <v>1</v>
      </c>
      <c r="E8" s="151">
        <v>1</v>
      </c>
      <c r="F8" s="151">
        <v>1</v>
      </c>
      <c r="G8" s="147"/>
      <c r="H8" s="151"/>
      <c r="I8" s="147"/>
      <c r="J8" s="151">
        <v>1</v>
      </c>
      <c r="K8" s="151">
        <v>1</v>
      </c>
      <c r="L8" s="151">
        <v>1</v>
      </c>
      <c r="M8" s="147"/>
      <c r="N8" s="147"/>
      <c r="O8" s="151">
        <v>1</v>
      </c>
      <c r="P8" s="147"/>
      <c r="Q8" s="151"/>
      <c r="R8" s="151">
        <v>1</v>
      </c>
      <c r="S8" s="151"/>
      <c r="T8" s="151">
        <v>1</v>
      </c>
      <c r="U8" s="147"/>
      <c r="V8" s="151">
        <v>1</v>
      </c>
      <c r="W8" s="147"/>
      <c r="X8" s="151">
        <v>1</v>
      </c>
      <c r="Y8" s="151">
        <v>1</v>
      </c>
      <c r="Z8" s="151">
        <v>1</v>
      </c>
      <c r="AA8" s="147"/>
      <c r="AB8" s="147"/>
      <c r="AC8" s="151">
        <v>1</v>
      </c>
      <c r="AD8" s="147"/>
      <c r="AE8" s="151"/>
      <c r="AF8" s="151">
        <v>1</v>
      </c>
      <c r="AG8" s="66">
        <f t="shared" si="1"/>
        <v>16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151"/>
      <c r="D9" s="150">
        <v>1</v>
      </c>
      <c r="E9" s="151">
        <v>1</v>
      </c>
      <c r="F9" s="151">
        <v>1</v>
      </c>
      <c r="G9" s="147"/>
      <c r="H9" s="151">
        <v>1</v>
      </c>
      <c r="I9" s="147"/>
      <c r="J9" s="151"/>
      <c r="K9" s="151">
        <v>1</v>
      </c>
      <c r="L9" s="151"/>
      <c r="M9" s="147"/>
      <c r="N9" s="147"/>
      <c r="O9" s="151">
        <v>1</v>
      </c>
      <c r="P9" s="147"/>
      <c r="Q9" s="151"/>
      <c r="R9" s="151"/>
      <c r="S9" s="151"/>
      <c r="T9" s="151">
        <v>1</v>
      </c>
      <c r="U9" s="147"/>
      <c r="V9" s="151"/>
      <c r="W9" s="147"/>
      <c r="X9" s="151"/>
      <c r="Y9" s="151"/>
      <c r="Z9" s="151"/>
      <c r="AA9" s="147"/>
      <c r="AB9" s="147"/>
      <c r="AC9" s="151"/>
      <c r="AD9" s="147"/>
      <c r="AE9" s="151"/>
      <c r="AF9" s="151">
        <v>1</v>
      </c>
      <c r="AG9" s="66">
        <f t="shared" si="1"/>
        <v>8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122" t="s">
        <v>13</v>
      </c>
      <c r="C10" s="151">
        <v>1</v>
      </c>
      <c r="D10" s="150">
        <v>1</v>
      </c>
      <c r="E10" s="151">
        <v>1</v>
      </c>
      <c r="F10" s="151">
        <v>1</v>
      </c>
      <c r="G10" s="147"/>
      <c r="H10" s="151">
        <v>1</v>
      </c>
      <c r="I10" s="147"/>
      <c r="J10" s="151">
        <v>1</v>
      </c>
      <c r="K10" s="151"/>
      <c r="L10" s="151">
        <v>1</v>
      </c>
      <c r="M10" s="147"/>
      <c r="N10" s="147"/>
      <c r="O10" s="151">
        <v>1</v>
      </c>
      <c r="P10" s="147"/>
      <c r="Q10" s="151"/>
      <c r="R10" s="151"/>
      <c r="S10" s="151">
        <v>1</v>
      </c>
      <c r="T10" s="151">
        <v>1</v>
      </c>
      <c r="U10" s="147"/>
      <c r="V10" s="151">
        <v>1</v>
      </c>
      <c r="W10" s="147"/>
      <c r="X10" s="151">
        <v>1</v>
      </c>
      <c r="Y10" s="151"/>
      <c r="Z10" s="151">
        <v>1</v>
      </c>
      <c r="AA10" s="147"/>
      <c r="AB10" s="147"/>
      <c r="AC10" s="151">
        <v>1</v>
      </c>
      <c r="AD10" s="147"/>
      <c r="AE10" s="151"/>
      <c r="AF10" s="151">
        <v>1</v>
      </c>
      <c r="AG10" s="66">
        <f t="shared" si="1"/>
        <v>15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2"/>
        <v>李洋</v>
      </c>
      <c r="AJ10" s="70"/>
    </row>
    <row r="11" spans="1:36" ht="18" customHeight="1">
      <c r="A11" s="95" t="s">
        <v>174</v>
      </c>
      <c r="B11" s="96" t="s">
        <v>18</v>
      </c>
      <c r="C11" s="151">
        <v>1</v>
      </c>
      <c r="D11" s="150">
        <v>1</v>
      </c>
      <c r="E11" s="151">
        <v>1</v>
      </c>
      <c r="F11" s="151">
        <v>1</v>
      </c>
      <c r="G11" s="147"/>
      <c r="H11" s="151">
        <v>1</v>
      </c>
      <c r="I11" s="147"/>
      <c r="J11" s="151">
        <v>1</v>
      </c>
      <c r="K11" s="151">
        <v>1</v>
      </c>
      <c r="L11" s="151">
        <v>1</v>
      </c>
      <c r="M11" s="147"/>
      <c r="N11" s="147"/>
      <c r="O11" s="151">
        <v>1</v>
      </c>
      <c r="P11" s="147"/>
      <c r="Q11" s="151"/>
      <c r="R11" s="151">
        <v>1</v>
      </c>
      <c r="S11" s="151"/>
      <c r="T11" s="151">
        <v>1</v>
      </c>
      <c r="U11" s="147"/>
      <c r="V11" s="151">
        <v>1</v>
      </c>
      <c r="W11" s="147"/>
      <c r="X11" s="151">
        <v>1</v>
      </c>
      <c r="Y11" s="151"/>
      <c r="Z11" s="151">
        <v>1</v>
      </c>
      <c r="AA11" s="147"/>
      <c r="AB11" s="147"/>
      <c r="AC11" s="151">
        <v>1</v>
      </c>
      <c r="AD11" s="147"/>
      <c r="AE11" s="151"/>
      <c r="AF11" s="151">
        <v>1</v>
      </c>
      <c r="AG11" s="66">
        <f t="shared" si="1"/>
        <v>16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122" t="s">
        <v>19</v>
      </c>
      <c r="C12" s="151">
        <v>1</v>
      </c>
      <c r="D12" s="150">
        <v>1</v>
      </c>
      <c r="E12" s="151">
        <v>1</v>
      </c>
      <c r="F12" s="151">
        <v>1</v>
      </c>
      <c r="G12" s="147"/>
      <c r="H12" s="151">
        <v>1</v>
      </c>
      <c r="I12" s="147"/>
      <c r="J12" s="151">
        <v>1</v>
      </c>
      <c r="K12" s="151">
        <v>1</v>
      </c>
      <c r="L12" s="151">
        <v>1</v>
      </c>
      <c r="M12" s="147"/>
      <c r="N12" s="147"/>
      <c r="O12" s="151">
        <v>1</v>
      </c>
      <c r="P12" s="147"/>
      <c r="Q12" s="151"/>
      <c r="R12" s="151"/>
      <c r="S12" s="151">
        <v>1</v>
      </c>
      <c r="T12" s="151">
        <v>1</v>
      </c>
      <c r="U12" s="147"/>
      <c r="V12" s="151">
        <v>1</v>
      </c>
      <c r="W12" s="147"/>
      <c r="X12" s="151">
        <v>1</v>
      </c>
      <c r="Y12" s="151">
        <v>1</v>
      </c>
      <c r="Z12" s="151">
        <v>1</v>
      </c>
      <c r="AA12" s="147"/>
      <c r="AB12" s="147"/>
      <c r="AC12" s="151">
        <v>1</v>
      </c>
      <c r="AD12" s="147"/>
      <c r="AE12" s="151"/>
      <c r="AF12" s="151">
        <v>1</v>
      </c>
      <c r="AG12" s="66">
        <f t="shared" si="1"/>
        <v>17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151">
        <v>1</v>
      </c>
      <c r="D13" s="150">
        <v>1</v>
      </c>
      <c r="E13" s="151"/>
      <c r="F13" s="151"/>
      <c r="G13" s="147"/>
      <c r="H13" s="151">
        <v>1</v>
      </c>
      <c r="I13" s="147"/>
      <c r="J13" s="151">
        <v>1</v>
      </c>
      <c r="K13" s="151"/>
      <c r="L13" s="151">
        <v>1</v>
      </c>
      <c r="M13" s="147"/>
      <c r="N13" s="147"/>
      <c r="O13" s="151">
        <v>1</v>
      </c>
      <c r="P13" s="147"/>
      <c r="Q13" s="151">
        <v>1</v>
      </c>
      <c r="R13" s="151"/>
      <c r="S13" s="151">
        <v>1</v>
      </c>
      <c r="T13" s="151"/>
      <c r="U13" s="147"/>
      <c r="V13" s="151">
        <v>1</v>
      </c>
      <c r="W13" s="147"/>
      <c r="X13" s="151">
        <v>1</v>
      </c>
      <c r="Y13" s="151">
        <v>1</v>
      </c>
      <c r="Z13" s="151">
        <v>1</v>
      </c>
      <c r="AA13" s="147"/>
      <c r="AB13" s="147"/>
      <c r="AC13" s="151">
        <v>1</v>
      </c>
      <c r="AD13" s="147"/>
      <c r="AE13" s="151"/>
      <c r="AF13" s="151">
        <v>1</v>
      </c>
      <c r="AG13" s="66">
        <f t="shared" si="1"/>
        <v>14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151">
        <v>1</v>
      </c>
      <c r="D14" s="150"/>
      <c r="E14" s="151"/>
      <c r="F14" s="151"/>
      <c r="G14" s="147"/>
      <c r="H14" s="151"/>
      <c r="I14" s="147"/>
      <c r="J14" s="151">
        <v>1</v>
      </c>
      <c r="K14" s="151"/>
      <c r="L14" s="151">
        <v>1</v>
      </c>
      <c r="M14" s="147"/>
      <c r="N14" s="147"/>
      <c r="O14" s="151">
        <v>1</v>
      </c>
      <c r="P14" s="147"/>
      <c r="Q14" s="151"/>
      <c r="R14" s="151"/>
      <c r="S14" s="151">
        <v>1</v>
      </c>
      <c r="T14" s="151"/>
      <c r="U14" s="147"/>
      <c r="V14" s="151">
        <v>1</v>
      </c>
      <c r="W14" s="147"/>
      <c r="X14" s="151">
        <v>1</v>
      </c>
      <c r="Y14" s="151"/>
      <c r="Z14" s="151">
        <v>1</v>
      </c>
      <c r="AA14" s="147"/>
      <c r="AB14" s="147"/>
      <c r="AC14" s="151">
        <v>1</v>
      </c>
      <c r="AD14" s="147"/>
      <c r="AE14" s="151"/>
      <c r="AF14" s="151">
        <v>1</v>
      </c>
      <c r="AG14" s="66">
        <f t="shared" si="1"/>
        <v>10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151">
        <v>1</v>
      </c>
      <c r="D15" s="150">
        <v>1</v>
      </c>
      <c r="E15" s="151">
        <v>1</v>
      </c>
      <c r="F15" s="151">
        <v>1</v>
      </c>
      <c r="G15" s="147"/>
      <c r="H15" s="151">
        <v>1</v>
      </c>
      <c r="I15" s="147"/>
      <c r="J15" s="151">
        <v>1</v>
      </c>
      <c r="K15" s="151"/>
      <c r="L15" s="151"/>
      <c r="M15" s="147"/>
      <c r="N15" s="147"/>
      <c r="O15" s="151">
        <v>1</v>
      </c>
      <c r="P15" s="147"/>
      <c r="Q15" s="151"/>
      <c r="R15" s="151">
        <v>1</v>
      </c>
      <c r="S15" s="151">
        <v>1</v>
      </c>
      <c r="T15" s="151">
        <v>1</v>
      </c>
      <c r="U15" s="147"/>
      <c r="V15" s="151">
        <v>1</v>
      </c>
      <c r="W15" s="147"/>
      <c r="X15" s="151">
        <v>1</v>
      </c>
      <c r="Y15" s="151">
        <v>1</v>
      </c>
      <c r="Z15" s="151"/>
      <c r="AA15" s="147"/>
      <c r="AB15" s="147"/>
      <c r="AC15" s="151">
        <v>1</v>
      </c>
      <c r="AD15" s="147"/>
      <c r="AE15" s="151"/>
      <c r="AF15" s="151">
        <v>1</v>
      </c>
      <c r="AG15" s="66">
        <f t="shared" si="1"/>
        <v>15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0"/>
    </row>
    <row r="16" spans="1:36" ht="18" customHeight="1">
      <c r="A16" s="95" t="s">
        <v>174</v>
      </c>
      <c r="B16" s="96" t="s">
        <v>21</v>
      </c>
      <c r="C16" s="151">
        <v>1</v>
      </c>
      <c r="D16" s="150"/>
      <c r="E16" s="151"/>
      <c r="F16" s="151"/>
      <c r="G16" s="147"/>
      <c r="H16" s="151">
        <v>1</v>
      </c>
      <c r="I16" s="147"/>
      <c r="J16" s="151">
        <v>1</v>
      </c>
      <c r="K16" s="151"/>
      <c r="L16" s="151">
        <v>1</v>
      </c>
      <c r="M16" s="147"/>
      <c r="N16" s="147"/>
      <c r="O16" s="151">
        <v>1</v>
      </c>
      <c r="P16" s="147"/>
      <c r="Q16" s="151"/>
      <c r="R16" s="151"/>
      <c r="S16" s="151">
        <v>1</v>
      </c>
      <c r="T16" s="151"/>
      <c r="U16" s="147"/>
      <c r="V16" s="151">
        <v>1</v>
      </c>
      <c r="W16" s="147"/>
      <c r="X16" s="151">
        <v>1</v>
      </c>
      <c r="Y16" s="151"/>
      <c r="Z16" s="151">
        <v>1</v>
      </c>
      <c r="AA16" s="147"/>
      <c r="AB16" s="147"/>
      <c r="AC16" s="151">
        <v>1</v>
      </c>
      <c r="AD16" s="147"/>
      <c r="AE16" s="151"/>
      <c r="AF16" s="151">
        <v>1</v>
      </c>
      <c r="AG16" s="66">
        <f t="shared" si="1"/>
        <v>11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151">
        <v>1</v>
      </c>
      <c r="D17" s="150">
        <v>1</v>
      </c>
      <c r="E17" s="151">
        <v>1</v>
      </c>
      <c r="F17" s="151">
        <v>1</v>
      </c>
      <c r="G17" s="147"/>
      <c r="H17" s="151">
        <v>1</v>
      </c>
      <c r="I17" s="147"/>
      <c r="J17" s="151">
        <v>1</v>
      </c>
      <c r="K17" s="151">
        <v>1</v>
      </c>
      <c r="L17" s="151">
        <v>1</v>
      </c>
      <c r="M17" s="147"/>
      <c r="N17" s="147"/>
      <c r="O17" s="151">
        <v>1</v>
      </c>
      <c r="P17" s="147"/>
      <c r="Q17" s="151">
        <v>1</v>
      </c>
      <c r="R17" s="151">
        <v>1</v>
      </c>
      <c r="S17" s="151">
        <v>1</v>
      </c>
      <c r="T17" s="151">
        <v>1</v>
      </c>
      <c r="U17" s="147"/>
      <c r="V17" s="151">
        <v>1</v>
      </c>
      <c r="W17" s="147"/>
      <c r="X17" s="151">
        <v>1</v>
      </c>
      <c r="Y17" s="151">
        <v>1</v>
      </c>
      <c r="Z17" s="151">
        <v>1</v>
      </c>
      <c r="AA17" s="147"/>
      <c r="AB17" s="147"/>
      <c r="AC17" s="151">
        <v>1</v>
      </c>
      <c r="AD17" s="147"/>
      <c r="AE17" s="151">
        <v>1</v>
      </c>
      <c r="AF17" s="151">
        <v>1</v>
      </c>
      <c r="AG17" s="66">
        <f t="shared" si="1"/>
        <v>20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99">
        <v>1</v>
      </c>
      <c r="D18" s="132">
        <v>1</v>
      </c>
      <c r="E18" s="99">
        <v>1</v>
      </c>
      <c r="F18" s="99">
        <v>1</v>
      </c>
      <c r="G18" s="147"/>
      <c r="H18" s="99"/>
      <c r="I18" s="147"/>
      <c r="J18" s="99">
        <v>1</v>
      </c>
      <c r="K18" s="99">
        <v>1</v>
      </c>
      <c r="L18" s="99">
        <v>1</v>
      </c>
      <c r="M18" s="147"/>
      <c r="N18" s="147"/>
      <c r="O18" s="99">
        <v>1</v>
      </c>
      <c r="P18" s="147"/>
      <c r="Q18" s="99">
        <v>1</v>
      </c>
      <c r="R18" s="99">
        <v>1</v>
      </c>
      <c r="S18" s="99"/>
      <c r="T18" s="99">
        <v>1</v>
      </c>
      <c r="U18" s="147"/>
      <c r="V18" s="99">
        <v>1</v>
      </c>
      <c r="W18" s="147"/>
      <c r="X18" s="99">
        <v>1</v>
      </c>
      <c r="Y18" s="99">
        <v>1</v>
      </c>
      <c r="Z18" s="99">
        <v>1</v>
      </c>
      <c r="AA18" s="147"/>
      <c r="AB18" s="147"/>
      <c r="AC18" s="99">
        <v>1</v>
      </c>
      <c r="AD18" s="147"/>
      <c r="AE18" s="99"/>
      <c r="AF18" s="99">
        <v>1</v>
      </c>
      <c r="AG18" s="66">
        <f t="shared" si="1"/>
        <v>17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99"/>
      <c r="D19" s="132"/>
      <c r="E19" s="99"/>
      <c r="F19" s="99">
        <v>1</v>
      </c>
      <c r="G19" s="147"/>
      <c r="H19" s="99">
        <v>1</v>
      </c>
      <c r="I19" s="147"/>
      <c r="J19" s="99"/>
      <c r="K19" s="99"/>
      <c r="L19" s="99"/>
      <c r="M19" s="147"/>
      <c r="N19" s="147"/>
      <c r="O19" s="99">
        <v>1</v>
      </c>
      <c r="P19" s="147"/>
      <c r="Q19" s="99"/>
      <c r="R19" s="99"/>
      <c r="S19" s="99"/>
      <c r="T19" s="99"/>
      <c r="U19" s="147"/>
      <c r="V19" s="99"/>
      <c r="W19" s="147"/>
      <c r="X19" s="99">
        <v>1</v>
      </c>
      <c r="Y19" s="99">
        <v>1</v>
      </c>
      <c r="Z19" s="99"/>
      <c r="AA19" s="147"/>
      <c r="AB19" s="147"/>
      <c r="AC19" s="99">
        <v>1</v>
      </c>
      <c r="AD19" s="147"/>
      <c r="AE19" s="99">
        <v>1</v>
      </c>
      <c r="AF19" s="99"/>
      <c r="AG19" s="66">
        <f t="shared" si="1"/>
        <v>7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174</v>
      </c>
      <c r="B20" s="100" t="s">
        <v>92</v>
      </c>
      <c r="C20" s="99">
        <v>1</v>
      </c>
      <c r="D20" s="132">
        <v>1</v>
      </c>
      <c r="E20" s="99"/>
      <c r="F20" s="99">
        <v>1</v>
      </c>
      <c r="G20" s="147"/>
      <c r="H20" s="99"/>
      <c r="I20" s="147"/>
      <c r="J20" s="99">
        <v>1</v>
      </c>
      <c r="K20" s="99"/>
      <c r="L20" s="99">
        <v>1</v>
      </c>
      <c r="M20" s="147"/>
      <c r="N20" s="147"/>
      <c r="O20" s="99">
        <v>1</v>
      </c>
      <c r="P20" s="147"/>
      <c r="Q20" s="99"/>
      <c r="R20" s="99"/>
      <c r="S20" s="99"/>
      <c r="T20" s="99"/>
      <c r="U20" s="147"/>
      <c r="V20" s="99"/>
      <c r="W20" s="147"/>
      <c r="X20" s="99"/>
      <c r="Y20" s="99"/>
      <c r="Z20" s="99"/>
      <c r="AA20" s="147"/>
      <c r="AB20" s="147"/>
      <c r="AC20" s="99">
        <v>1</v>
      </c>
      <c r="AD20" s="147"/>
      <c r="AE20" s="99"/>
      <c r="AF20" s="99">
        <v>1</v>
      </c>
      <c r="AG20" s="66">
        <f t="shared" si="1"/>
        <v>8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婉晴</v>
      </c>
      <c r="AJ20" s="80"/>
    </row>
    <row r="21" spans="1:36" ht="18" customHeight="1">
      <c r="A21" s="99" t="s">
        <v>174</v>
      </c>
      <c r="B21" s="100" t="s">
        <v>93</v>
      </c>
      <c r="C21" s="99"/>
      <c r="D21" s="132"/>
      <c r="E21" s="99"/>
      <c r="F21" s="99"/>
      <c r="G21" s="147"/>
      <c r="H21" s="99"/>
      <c r="I21" s="147"/>
      <c r="J21" s="99"/>
      <c r="K21" s="99"/>
      <c r="L21" s="99"/>
      <c r="M21" s="147"/>
      <c r="N21" s="147"/>
      <c r="O21" s="99"/>
      <c r="P21" s="147"/>
      <c r="Q21" s="99"/>
      <c r="R21" s="99"/>
      <c r="S21" s="99"/>
      <c r="T21" s="99">
        <v>1</v>
      </c>
      <c r="U21" s="147"/>
      <c r="V21" s="99"/>
      <c r="W21" s="147"/>
      <c r="X21" s="99"/>
      <c r="Y21" s="99"/>
      <c r="Z21" s="99"/>
      <c r="AA21" s="147"/>
      <c r="AB21" s="147"/>
      <c r="AC21" s="99"/>
      <c r="AD21" s="147"/>
      <c r="AE21" s="99"/>
      <c r="AF21" s="99"/>
      <c r="AG21" s="66">
        <f t="shared" si="1"/>
        <v>1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冠婷</v>
      </c>
      <c r="AJ21" s="81"/>
    </row>
    <row r="22" spans="1:36" ht="18" customHeight="1">
      <c r="A22" s="99" t="s">
        <v>174</v>
      </c>
      <c r="B22" s="100" t="s">
        <v>150</v>
      </c>
      <c r="C22" s="99"/>
      <c r="D22" s="132"/>
      <c r="E22" s="99"/>
      <c r="F22" s="99"/>
      <c r="G22" s="147"/>
      <c r="H22" s="99">
        <v>1</v>
      </c>
      <c r="I22" s="147"/>
      <c r="J22" s="99">
        <v>1</v>
      </c>
      <c r="K22" s="99"/>
      <c r="L22" s="99"/>
      <c r="M22" s="147"/>
      <c r="N22" s="147"/>
      <c r="O22" s="99"/>
      <c r="P22" s="147"/>
      <c r="Q22" s="99"/>
      <c r="R22" s="99"/>
      <c r="S22" s="99"/>
      <c r="T22" s="99"/>
      <c r="U22" s="147"/>
      <c r="V22" s="99"/>
      <c r="W22" s="147"/>
      <c r="X22" s="99"/>
      <c r="Y22" s="99"/>
      <c r="Z22" s="99"/>
      <c r="AA22" s="147"/>
      <c r="AB22" s="147"/>
      <c r="AC22" s="99"/>
      <c r="AD22" s="147"/>
      <c r="AE22" s="99"/>
      <c r="AF22" s="99"/>
      <c r="AG22" s="66">
        <f t="shared" si="1"/>
        <v>2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高麗菜</v>
      </c>
      <c r="AJ22" s="80"/>
    </row>
    <row r="23" spans="1:36" ht="18" customHeight="1">
      <c r="A23" s="99" t="s">
        <v>174</v>
      </c>
      <c r="B23" s="100" t="s">
        <v>113</v>
      </c>
      <c r="C23" s="99">
        <v>1</v>
      </c>
      <c r="D23" s="132"/>
      <c r="E23" s="99">
        <v>1</v>
      </c>
      <c r="F23" s="99"/>
      <c r="G23" s="147"/>
      <c r="H23" s="99">
        <v>1</v>
      </c>
      <c r="I23" s="147"/>
      <c r="J23" s="99">
        <v>1</v>
      </c>
      <c r="K23" s="99"/>
      <c r="L23" s="99">
        <v>1</v>
      </c>
      <c r="M23" s="147"/>
      <c r="N23" s="147"/>
      <c r="O23" s="99">
        <v>1</v>
      </c>
      <c r="P23" s="147"/>
      <c r="Q23" s="99"/>
      <c r="R23" s="99"/>
      <c r="S23" s="99">
        <v>1</v>
      </c>
      <c r="T23" s="99"/>
      <c r="U23" s="147"/>
      <c r="V23" s="99">
        <v>1</v>
      </c>
      <c r="W23" s="147"/>
      <c r="X23" s="99">
        <v>1</v>
      </c>
      <c r="Y23" s="99"/>
      <c r="Z23" s="99">
        <v>1</v>
      </c>
      <c r="AA23" s="147"/>
      <c r="AB23" s="147"/>
      <c r="AC23" s="99">
        <v>1</v>
      </c>
      <c r="AD23" s="147"/>
      <c r="AE23" s="99"/>
      <c r="AF23" s="99">
        <v>1</v>
      </c>
      <c r="AG23" s="66">
        <f t="shared" si="1"/>
        <v>12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容容</v>
      </c>
      <c r="AJ23" s="82"/>
    </row>
    <row r="24" spans="1:36" ht="18" customHeight="1">
      <c r="A24" s="99" t="s">
        <v>174</v>
      </c>
      <c r="B24" s="100" t="s">
        <v>94</v>
      </c>
      <c r="C24" s="99">
        <v>1</v>
      </c>
      <c r="D24" s="132"/>
      <c r="E24" s="99">
        <v>1</v>
      </c>
      <c r="F24" s="99"/>
      <c r="G24" s="147"/>
      <c r="H24" s="99">
        <v>1</v>
      </c>
      <c r="I24" s="147"/>
      <c r="J24" s="99">
        <v>1</v>
      </c>
      <c r="K24" s="99"/>
      <c r="L24" s="99">
        <v>1</v>
      </c>
      <c r="M24" s="147"/>
      <c r="N24" s="147"/>
      <c r="O24" s="99">
        <v>1</v>
      </c>
      <c r="P24" s="147"/>
      <c r="Q24" s="99">
        <v>1</v>
      </c>
      <c r="R24" s="99"/>
      <c r="S24" s="99">
        <v>1</v>
      </c>
      <c r="T24" s="99"/>
      <c r="U24" s="147"/>
      <c r="V24" s="99">
        <v>1</v>
      </c>
      <c r="W24" s="147"/>
      <c r="X24" s="99">
        <v>1</v>
      </c>
      <c r="Y24" s="99"/>
      <c r="Z24" s="99">
        <v>1</v>
      </c>
      <c r="AA24" s="147"/>
      <c r="AB24" s="147"/>
      <c r="AC24" s="99">
        <v>1</v>
      </c>
      <c r="AD24" s="147"/>
      <c r="AE24" s="99"/>
      <c r="AF24" s="99">
        <v>1</v>
      </c>
      <c r="AG24" s="66">
        <f t="shared" si="1"/>
        <v>13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小花</v>
      </c>
      <c r="AJ24" s="80"/>
    </row>
    <row r="25" spans="1:36" ht="18" customHeight="1">
      <c r="A25" s="99" t="s">
        <v>174</v>
      </c>
      <c r="B25" s="100" t="s">
        <v>95</v>
      </c>
      <c r="C25" s="99">
        <v>1</v>
      </c>
      <c r="D25" s="132">
        <v>1</v>
      </c>
      <c r="E25" s="99">
        <v>1</v>
      </c>
      <c r="F25" s="99">
        <v>1</v>
      </c>
      <c r="G25" s="147"/>
      <c r="H25" s="99">
        <v>1</v>
      </c>
      <c r="I25" s="147"/>
      <c r="J25" s="99">
        <v>1</v>
      </c>
      <c r="K25" s="99"/>
      <c r="L25" s="99">
        <v>1</v>
      </c>
      <c r="M25" s="147"/>
      <c r="N25" s="147"/>
      <c r="O25" s="99">
        <v>1</v>
      </c>
      <c r="P25" s="147"/>
      <c r="Q25" s="99">
        <v>1</v>
      </c>
      <c r="R25" s="99">
        <v>1</v>
      </c>
      <c r="S25" s="99">
        <v>1</v>
      </c>
      <c r="T25" s="99">
        <v>1</v>
      </c>
      <c r="U25" s="147"/>
      <c r="V25" s="99">
        <v>1</v>
      </c>
      <c r="W25" s="147"/>
      <c r="X25" s="99"/>
      <c r="Y25" s="99">
        <v>1</v>
      </c>
      <c r="Z25" s="99">
        <v>1</v>
      </c>
      <c r="AA25" s="147"/>
      <c r="AB25" s="147"/>
      <c r="AC25" s="99">
        <v>1</v>
      </c>
      <c r="AD25" s="147"/>
      <c r="AE25" s="99">
        <v>1</v>
      </c>
      <c r="AF25" s="99">
        <v>1</v>
      </c>
      <c r="AG25" s="66">
        <f t="shared" si="1"/>
        <v>18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小吱</v>
      </c>
      <c r="AJ25" s="80"/>
    </row>
    <row r="26" spans="1:36" ht="18" customHeight="1">
      <c r="A26" s="99" t="s">
        <v>174</v>
      </c>
      <c r="B26" s="100" t="s">
        <v>148</v>
      </c>
      <c r="C26" s="99"/>
      <c r="D26" s="132"/>
      <c r="E26" s="99"/>
      <c r="F26" s="99"/>
      <c r="G26" s="147"/>
      <c r="H26" s="99">
        <v>1</v>
      </c>
      <c r="I26" s="147"/>
      <c r="J26" s="99">
        <v>1</v>
      </c>
      <c r="K26" s="99"/>
      <c r="L26" s="99"/>
      <c r="M26" s="147"/>
      <c r="N26" s="147"/>
      <c r="O26" s="99">
        <v>1</v>
      </c>
      <c r="P26" s="147"/>
      <c r="Q26" s="99"/>
      <c r="R26" s="99">
        <v>1</v>
      </c>
      <c r="S26" s="99"/>
      <c r="T26" s="99">
        <v>1</v>
      </c>
      <c r="U26" s="147"/>
      <c r="V26" s="99"/>
      <c r="W26" s="147"/>
      <c r="X26" s="99"/>
      <c r="Y26" s="99">
        <v>1</v>
      </c>
      <c r="Z26" s="99"/>
      <c r="AA26" s="147"/>
      <c r="AB26" s="147"/>
      <c r="AC26" s="99">
        <v>1</v>
      </c>
      <c r="AD26" s="147"/>
      <c r="AE26" s="99"/>
      <c r="AF26" s="99">
        <v>1</v>
      </c>
      <c r="AG26" s="66">
        <f t="shared" si="1"/>
        <v>8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雅雅</v>
      </c>
      <c r="AJ26" s="82"/>
    </row>
    <row r="27" spans="1:36" ht="18" customHeight="1">
      <c r="A27" s="101" t="s">
        <v>174</v>
      </c>
      <c r="B27" s="102" t="s">
        <v>103</v>
      </c>
      <c r="C27" s="101">
        <v>1</v>
      </c>
      <c r="D27" s="137">
        <v>1</v>
      </c>
      <c r="E27" s="101">
        <v>1</v>
      </c>
      <c r="F27" s="101">
        <v>1</v>
      </c>
      <c r="G27" s="147"/>
      <c r="H27" s="101">
        <v>1</v>
      </c>
      <c r="I27" s="147"/>
      <c r="J27" s="101">
        <v>1</v>
      </c>
      <c r="K27" s="101">
        <v>1</v>
      </c>
      <c r="L27" s="101">
        <v>1</v>
      </c>
      <c r="M27" s="147"/>
      <c r="N27" s="147"/>
      <c r="O27" s="101">
        <v>1</v>
      </c>
      <c r="P27" s="147"/>
      <c r="Q27" s="101">
        <v>1</v>
      </c>
      <c r="R27" s="101">
        <v>1</v>
      </c>
      <c r="S27" s="101">
        <v>1</v>
      </c>
      <c r="T27" s="101">
        <v>1</v>
      </c>
      <c r="U27" s="147"/>
      <c r="V27" s="101">
        <v>1</v>
      </c>
      <c r="W27" s="147"/>
      <c r="X27" s="101">
        <v>1</v>
      </c>
      <c r="Y27" s="101">
        <v>1</v>
      </c>
      <c r="Z27" s="101">
        <v>1</v>
      </c>
      <c r="AA27" s="147"/>
      <c r="AB27" s="147"/>
      <c r="AC27" s="101">
        <v>1</v>
      </c>
      <c r="AD27" s="147"/>
      <c r="AE27" s="101">
        <v>1</v>
      </c>
      <c r="AF27" s="101">
        <v>1</v>
      </c>
      <c r="AG27" s="66">
        <f t="shared" si="1"/>
        <v>20</v>
      </c>
      <c r="AH27" s="87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88" t="str">
        <f t="shared" si="2"/>
        <v>圈圈</v>
      </c>
      <c r="AJ27" s="90"/>
    </row>
    <row r="28" spans="1:36" ht="18" customHeight="1">
      <c r="A28" s="101" t="s">
        <v>174</v>
      </c>
      <c r="B28" s="102" t="s">
        <v>104</v>
      </c>
      <c r="C28" s="101"/>
      <c r="D28" s="137"/>
      <c r="E28" s="101"/>
      <c r="F28" s="101"/>
      <c r="G28" s="147"/>
      <c r="H28" s="101">
        <v>1</v>
      </c>
      <c r="I28" s="147"/>
      <c r="J28" s="101">
        <v>1</v>
      </c>
      <c r="K28" s="101">
        <v>1</v>
      </c>
      <c r="L28" s="101">
        <v>1</v>
      </c>
      <c r="M28" s="147"/>
      <c r="N28" s="147"/>
      <c r="O28" s="101">
        <v>1</v>
      </c>
      <c r="P28" s="147"/>
      <c r="Q28" s="101"/>
      <c r="R28" s="101">
        <v>1</v>
      </c>
      <c r="S28" s="101">
        <v>1</v>
      </c>
      <c r="T28" s="101">
        <v>1</v>
      </c>
      <c r="U28" s="147"/>
      <c r="V28" s="101">
        <v>1</v>
      </c>
      <c r="W28" s="147"/>
      <c r="X28" s="101"/>
      <c r="Y28" s="101">
        <v>1</v>
      </c>
      <c r="Z28" s="101">
        <v>1</v>
      </c>
      <c r="AA28" s="147"/>
      <c r="AB28" s="147"/>
      <c r="AC28" s="101">
        <v>1</v>
      </c>
      <c r="AD28" s="147"/>
      <c r="AE28" s="101">
        <v>1</v>
      </c>
      <c r="AF28" s="101">
        <v>1</v>
      </c>
      <c r="AG28" s="66">
        <f t="shared" si="1"/>
        <v>14</v>
      </c>
      <c r="AH28" s="87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88" t="str">
        <f t="shared" si="2"/>
        <v>卡丘</v>
      </c>
      <c r="AJ28" s="90"/>
    </row>
    <row r="29" spans="1:36" ht="18" customHeight="1">
      <c r="A29" s="101" t="s">
        <v>174</v>
      </c>
      <c r="B29" s="102" t="s">
        <v>105</v>
      </c>
      <c r="C29" s="101"/>
      <c r="D29" s="137">
        <v>1</v>
      </c>
      <c r="E29" s="101">
        <v>1</v>
      </c>
      <c r="F29" s="101">
        <v>1</v>
      </c>
      <c r="G29" s="147"/>
      <c r="H29" s="101">
        <v>1</v>
      </c>
      <c r="I29" s="147"/>
      <c r="J29" s="101"/>
      <c r="K29" s="101">
        <v>1</v>
      </c>
      <c r="L29" s="101">
        <v>1</v>
      </c>
      <c r="M29" s="147"/>
      <c r="N29" s="147"/>
      <c r="O29" s="101">
        <v>1</v>
      </c>
      <c r="P29" s="147"/>
      <c r="Q29" s="101"/>
      <c r="R29" s="101">
        <v>1</v>
      </c>
      <c r="S29" s="101"/>
      <c r="T29" s="101">
        <v>1</v>
      </c>
      <c r="U29" s="147"/>
      <c r="V29" s="101">
        <v>1</v>
      </c>
      <c r="W29" s="147"/>
      <c r="X29" s="101"/>
      <c r="Y29" s="101">
        <v>1</v>
      </c>
      <c r="Z29" s="101">
        <v>1</v>
      </c>
      <c r="AA29" s="147"/>
      <c r="AB29" s="147"/>
      <c r="AC29" s="101">
        <v>1</v>
      </c>
      <c r="AD29" s="147"/>
      <c r="AE29" s="101"/>
      <c r="AF29" s="101">
        <v>1</v>
      </c>
      <c r="AG29" s="66">
        <f t="shared" si="1"/>
        <v>14</v>
      </c>
      <c r="AH29" s="87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88" t="str">
        <f t="shared" si="2"/>
        <v>琬蓁</v>
      </c>
      <c r="AJ29" s="90"/>
    </row>
    <row r="30" spans="1:36" ht="18" customHeight="1">
      <c r="A30" s="101" t="s">
        <v>174</v>
      </c>
      <c r="B30" s="102" t="s">
        <v>116</v>
      </c>
      <c r="C30" s="101">
        <v>1</v>
      </c>
      <c r="D30" s="137">
        <v>1</v>
      </c>
      <c r="E30" s="101"/>
      <c r="F30" s="101"/>
      <c r="G30" s="147"/>
      <c r="H30" s="101"/>
      <c r="I30" s="147"/>
      <c r="J30" s="101"/>
      <c r="K30" s="101">
        <v>1</v>
      </c>
      <c r="L30" s="101"/>
      <c r="M30" s="147"/>
      <c r="N30" s="147"/>
      <c r="O30" s="101"/>
      <c r="P30" s="147"/>
      <c r="Q30" s="101"/>
      <c r="R30" s="101"/>
      <c r="S30" s="101"/>
      <c r="T30" s="101"/>
      <c r="U30" s="147"/>
      <c r="V30" s="101"/>
      <c r="W30" s="147"/>
      <c r="X30" s="101"/>
      <c r="Y30" s="101"/>
      <c r="Z30" s="101"/>
      <c r="AA30" s="147"/>
      <c r="AB30" s="147"/>
      <c r="AC30" s="101"/>
      <c r="AD30" s="147"/>
      <c r="AE30" s="101"/>
      <c r="AF30" s="101"/>
      <c r="AG30" s="66">
        <f t="shared" si="1"/>
        <v>3</v>
      </c>
      <c r="AH30" s="87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88" t="str">
        <f t="shared" si="2"/>
        <v>大汪</v>
      </c>
      <c r="AJ30" s="89"/>
    </row>
    <row r="31" spans="1:36" ht="18" customHeight="1">
      <c r="A31" s="101" t="s">
        <v>174</v>
      </c>
      <c r="B31" s="102" t="s">
        <v>121</v>
      </c>
      <c r="C31" s="101">
        <v>1</v>
      </c>
      <c r="D31" s="137">
        <v>1</v>
      </c>
      <c r="E31" s="101">
        <v>1</v>
      </c>
      <c r="F31" s="101">
        <v>1</v>
      </c>
      <c r="G31" s="147"/>
      <c r="H31" s="101">
        <v>1</v>
      </c>
      <c r="I31" s="147"/>
      <c r="J31" s="101">
        <v>1</v>
      </c>
      <c r="K31" s="101">
        <v>1</v>
      </c>
      <c r="L31" s="101">
        <v>1</v>
      </c>
      <c r="M31" s="147"/>
      <c r="N31" s="147"/>
      <c r="O31" s="101">
        <v>1</v>
      </c>
      <c r="P31" s="147"/>
      <c r="Q31" s="101">
        <v>1</v>
      </c>
      <c r="R31" s="101"/>
      <c r="S31" s="101">
        <v>1</v>
      </c>
      <c r="T31" s="101"/>
      <c r="U31" s="147"/>
      <c r="V31" s="101">
        <v>1</v>
      </c>
      <c r="W31" s="147"/>
      <c r="X31" s="101">
        <v>1</v>
      </c>
      <c r="Y31" s="101">
        <v>1</v>
      </c>
      <c r="Z31" s="101">
        <v>1</v>
      </c>
      <c r="AA31" s="147"/>
      <c r="AB31" s="147"/>
      <c r="AC31" s="101">
        <v>1</v>
      </c>
      <c r="AD31" s="147"/>
      <c r="AE31" s="101"/>
      <c r="AF31" s="101">
        <v>1</v>
      </c>
      <c r="AG31" s="66">
        <f t="shared" si="1"/>
        <v>17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冰沙</v>
      </c>
      <c r="AJ31" s="90"/>
    </row>
    <row r="32" spans="1:36" ht="18" customHeight="1">
      <c r="A32" s="95" t="s">
        <v>58</v>
      </c>
      <c r="B32" s="96" t="s">
        <v>23</v>
      </c>
      <c r="C32" s="151">
        <v>1</v>
      </c>
      <c r="D32" s="150"/>
      <c r="E32" s="151">
        <v>1</v>
      </c>
      <c r="F32" s="151"/>
      <c r="G32" s="147"/>
      <c r="H32" s="151">
        <v>1</v>
      </c>
      <c r="I32" s="147"/>
      <c r="J32" s="151">
        <v>1</v>
      </c>
      <c r="K32" s="151"/>
      <c r="L32" s="151">
        <v>1</v>
      </c>
      <c r="M32" s="147"/>
      <c r="N32" s="147"/>
      <c r="O32" s="151">
        <v>1</v>
      </c>
      <c r="P32" s="147"/>
      <c r="Q32" s="151">
        <v>1</v>
      </c>
      <c r="R32" s="151"/>
      <c r="S32" s="151">
        <v>1</v>
      </c>
      <c r="T32" s="151"/>
      <c r="U32" s="147"/>
      <c r="V32" s="151">
        <v>1</v>
      </c>
      <c r="W32" s="147"/>
      <c r="X32" s="151">
        <v>1</v>
      </c>
      <c r="Y32" s="151"/>
      <c r="Z32" s="151">
        <v>1</v>
      </c>
      <c r="AA32" s="147"/>
      <c r="AB32" s="147"/>
      <c r="AC32" s="151">
        <v>1</v>
      </c>
      <c r="AD32" s="147"/>
      <c r="AE32" s="151"/>
      <c r="AF32" s="151">
        <v>1</v>
      </c>
      <c r="AG32" s="66">
        <f t="shared" si="1"/>
        <v>13</v>
      </c>
      <c r="AH32" s="68" t="e">
        <f ca="1">(IF(A32="O", (VALUE(_xludf.IFS(AG32=0,"0",AG32=1,"150",AG32=2,"300",AG32=3,"450",AG32=4,"600",AG32=5,"750",AG32&gt;=6,"800"))),(VALUE(_xludf.IFS(AG32=0,"0",AG32=1,"150",AG32=2,"300",AG32=3,"450",AG32=4,"600",AG32=5,"750",AG32=6,"900",AG32&gt;=7,"1,000")))))</f>
        <v>#NAME?</v>
      </c>
      <c r="AI32" s="69" t="str">
        <f t="shared" si="2"/>
        <v>ㄈㄈ</v>
      </c>
      <c r="AJ32" s="73"/>
    </row>
    <row r="33" spans="1:36" ht="18" customHeight="1">
      <c r="A33" s="95" t="s">
        <v>58</v>
      </c>
      <c r="B33" s="96" t="s">
        <v>24</v>
      </c>
      <c r="C33" s="151">
        <v>1</v>
      </c>
      <c r="D33" s="150">
        <v>1</v>
      </c>
      <c r="E33" s="151">
        <v>1</v>
      </c>
      <c r="F33" s="151">
        <v>1</v>
      </c>
      <c r="G33" s="147"/>
      <c r="H33" s="151"/>
      <c r="I33" s="147"/>
      <c r="J33" s="151">
        <v>1</v>
      </c>
      <c r="K33" s="151"/>
      <c r="L33" s="151">
        <v>1</v>
      </c>
      <c r="M33" s="147"/>
      <c r="N33" s="147"/>
      <c r="O33" s="151">
        <v>1</v>
      </c>
      <c r="P33" s="147"/>
      <c r="Q33" s="151"/>
      <c r="R33" s="151"/>
      <c r="S33" s="151"/>
      <c r="T33" s="151"/>
      <c r="U33" s="147"/>
      <c r="V33" s="151"/>
      <c r="W33" s="147"/>
      <c r="X33" s="151">
        <v>1</v>
      </c>
      <c r="Y33" s="151">
        <v>1</v>
      </c>
      <c r="Z33" s="151">
        <v>1</v>
      </c>
      <c r="AA33" s="147"/>
      <c r="AB33" s="147"/>
      <c r="AC33" s="151"/>
      <c r="AD33" s="147"/>
      <c r="AE33" s="151"/>
      <c r="AF33" s="151"/>
      <c r="AG33" s="66">
        <f t="shared" si="1"/>
        <v>10</v>
      </c>
      <c r="AH33" s="68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69" t="str">
        <f t="shared" si="2"/>
        <v>大熊</v>
      </c>
      <c r="AJ33" s="73"/>
    </row>
    <row r="34" spans="1:36" ht="18" customHeight="1">
      <c r="A34" s="95" t="s">
        <v>58</v>
      </c>
      <c r="B34" s="96" t="s">
        <v>64</v>
      </c>
      <c r="C34" s="151">
        <v>1</v>
      </c>
      <c r="D34" s="150"/>
      <c r="E34" s="151">
        <v>1</v>
      </c>
      <c r="F34" s="151">
        <v>1</v>
      </c>
      <c r="G34" s="147"/>
      <c r="H34" s="151">
        <v>1</v>
      </c>
      <c r="I34" s="147"/>
      <c r="J34" s="151">
        <v>1</v>
      </c>
      <c r="K34" s="151"/>
      <c r="L34" s="151">
        <v>1</v>
      </c>
      <c r="M34" s="147"/>
      <c r="N34" s="147"/>
      <c r="O34" s="151">
        <v>1</v>
      </c>
      <c r="P34" s="147"/>
      <c r="Q34" s="151"/>
      <c r="R34" s="151"/>
      <c r="S34" s="151">
        <v>1</v>
      </c>
      <c r="T34" s="151"/>
      <c r="U34" s="147"/>
      <c r="V34" s="151">
        <v>1</v>
      </c>
      <c r="W34" s="147"/>
      <c r="X34" s="151">
        <v>1</v>
      </c>
      <c r="Y34" s="151"/>
      <c r="Z34" s="151">
        <v>1</v>
      </c>
      <c r="AA34" s="147"/>
      <c r="AB34" s="147"/>
      <c r="AC34" s="151">
        <v>1</v>
      </c>
      <c r="AD34" s="147"/>
      <c r="AE34" s="151"/>
      <c r="AF34" s="151">
        <v>1</v>
      </c>
      <c r="AG34" s="66">
        <f t="shared" si="1"/>
        <v>13</v>
      </c>
      <c r="AH34" s="68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69" t="str">
        <f t="shared" si="2"/>
        <v>園棠</v>
      </c>
      <c r="AJ34" s="73"/>
    </row>
    <row r="35" spans="1:36" ht="18" customHeight="1">
      <c r="A35" s="95" t="s">
        <v>58</v>
      </c>
      <c r="B35" s="96" t="s">
        <v>178</v>
      </c>
      <c r="C35" s="151">
        <v>1</v>
      </c>
      <c r="D35" s="150">
        <v>1</v>
      </c>
      <c r="E35" s="151">
        <v>1</v>
      </c>
      <c r="F35" s="151">
        <v>1</v>
      </c>
      <c r="G35" s="147"/>
      <c r="H35" s="151">
        <v>1</v>
      </c>
      <c r="I35" s="147"/>
      <c r="J35" s="151">
        <v>1</v>
      </c>
      <c r="K35" s="151"/>
      <c r="L35" s="151">
        <v>1</v>
      </c>
      <c r="M35" s="147"/>
      <c r="N35" s="147"/>
      <c r="O35" s="151">
        <v>1</v>
      </c>
      <c r="P35" s="147"/>
      <c r="Q35" s="151"/>
      <c r="R35" s="151"/>
      <c r="S35" s="151">
        <v>1</v>
      </c>
      <c r="T35" s="151"/>
      <c r="U35" s="147"/>
      <c r="V35" s="151">
        <v>1</v>
      </c>
      <c r="W35" s="147"/>
      <c r="X35" s="151">
        <v>1</v>
      </c>
      <c r="Y35" s="151"/>
      <c r="Z35" s="151">
        <v>1</v>
      </c>
      <c r="AA35" s="147"/>
      <c r="AB35" s="147"/>
      <c r="AC35" s="151">
        <v>1</v>
      </c>
      <c r="AD35" s="147"/>
      <c r="AE35" s="151"/>
      <c r="AF35" s="151">
        <v>1</v>
      </c>
      <c r="AG35" s="66">
        <f t="shared" si="1"/>
        <v>14</v>
      </c>
      <c r="AH35" s="68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69" t="str">
        <f t="shared" si="2"/>
        <v>Fish</v>
      </c>
      <c r="AJ35" s="73"/>
    </row>
    <row r="36" spans="1:36" ht="18" customHeight="1">
      <c r="A36" s="95" t="s">
        <v>58</v>
      </c>
      <c r="B36" s="96" t="s">
        <v>25</v>
      </c>
      <c r="C36" s="151">
        <v>1</v>
      </c>
      <c r="D36" s="150"/>
      <c r="E36" s="151"/>
      <c r="F36" s="151">
        <v>1</v>
      </c>
      <c r="G36" s="147"/>
      <c r="H36" s="151"/>
      <c r="I36" s="147"/>
      <c r="J36" s="151">
        <v>1</v>
      </c>
      <c r="K36" s="151"/>
      <c r="L36" s="151">
        <v>1</v>
      </c>
      <c r="M36" s="147"/>
      <c r="N36" s="147"/>
      <c r="O36" s="151">
        <v>1</v>
      </c>
      <c r="P36" s="147"/>
      <c r="Q36" s="151"/>
      <c r="R36" s="151"/>
      <c r="S36" s="151">
        <v>1</v>
      </c>
      <c r="T36" s="151"/>
      <c r="U36" s="147"/>
      <c r="V36" s="151"/>
      <c r="W36" s="147"/>
      <c r="X36" s="151"/>
      <c r="Y36" s="151"/>
      <c r="Z36" s="151"/>
      <c r="AA36" s="147"/>
      <c r="AB36" s="147"/>
      <c r="AC36" s="151"/>
      <c r="AD36" s="147"/>
      <c r="AE36" s="151"/>
      <c r="AF36" s="151">
        <v>1</v>
      </c>
      <c r="AG36" s="66">
        <f t="shared" ref="AG36:AG67" si="3">COUNTA(C36:AF36)</f>
        <v>7</v>
      </c>
      <c r="AH36" s="68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69" t="str">
        <f t="shared" ref="AI36:AI52" si="4">B36</f>
        <v>潘潘</v>
      </c>
      <c r="AJ36" s="73"/>
    </row>
    <row r="37" spans="1:36" ht="18" customHeight="1">
      <c r="A37" s="95" t="s">
        <v>58</v>
      </c>
      <c r="B37" s="96" t="s">
        <v>63</v>
      </c>
      <c r="C37" s="151"/>
      <c r="D37" s="150"/>
      <c r="E37" s="151"/>
      <c r="F37" s="151"/>
      <c r="G37" s="147"/>
      <c r="H37" s="151"/>
      <c r="I37" s="147"/>
      <c r="J37" s="151"/>
      <c r="K37" s="151"/>
      <c r="L37" s="151"/>
      <c r="M37" s="147"/>
      <c r="N37" s="147"/>
      <c r="O37" s="151"/>
      <c r="P37" s="147"/>
      <c r="Q37" s="151"/>
      <c r="R37" s="151">
        <v>1</v>
      </c>
      <c r="S37" s="151"/>
      <c r="T37" s="151"/>
      <c r="U37" s="147"/>
      <c r="V37" s="151"/>
      <c r="W37" s="147"/>
      <c r="X37" s="151"/>
      <c r="Y37" s="151"/>
      <c r="Z37" s="151"/>
      <c r="AA37" s="147"/>
      <c r="AB37" s="147"/>
      <c r="AC37" s="151"/>
      <c r="AD37" s="147"/>
      <c r="AE37" s="151"/>
      <c r="AF37" s="151"/>
      <c r="AG37" s="66">
        <f t="shared" si="3"/>
        <v>1</v>
      </c>
      <c r="AH37" s="68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69" t="str">
        <f t="shared" si="4"/>
        <v>芒果</v>
      </c>
      <c r="AJ37" s="73"/>
    </row>
    <row r="38" spans="1:36" ht="18" customHeight="1">
      <c r="A38" s="95" t="s">
        <v>58</v>
      </c>
      <c r="B38" s="96" t="s">
        <v>62</v>
      </c>
      <c r="C38" s="151"/>
      <c r="D38" s="150"/>
      <c r="E38" s="151"/>
      <c r="F38" s="151">
        <v>1</v>
      </c>
      <c r="G38" s="147"/>
      <c r="H38" s="151"/>
      <c r="I38" s="147"/>
      <c r="J38" s="151">
        <v>1</v>
      </c>
      <c r="K38" s="151"/>
      <c r="L38" s="151"/>
      <c r="M38" s="147"/>
      <c r="N38" s="147"/>
      <c r="O38" s="151"/>
      <c r="P38" s="147"/>
      <c r="Q38" s="151"/>
      <c r="R38" s="151"/>
      <c r="S38" s="151">
        <v>1</v>
      </c>
      <c r="T38" s="151"/>
      <c r="U38" s="147"/>
      <c r="V38" s="151"/>
      <c r="W38" s="147"/>
      <c r="X38" s="151"/>
      <c r="Y38" s="151"/>
      <c r="Z38" s="151"/>
      <c r="AA38" s="147"/>
      <c r="AB38" s="147"/>
      <c r="AC38" s="151"/>
      <c r="AD38" s="147"/>
      <c r="AE38" s="151"/>
      <c r="AF38" s="151"/>
      <c r="AG38" s="66">
        <f t="shared" si="3"/>
        <v>3</v>
      </c>
      <c r="AH38" s="68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69" t="str">
        <f t="shared" si="4"/>
        <v>國源</v>
      </c>
      <c r="AJ38" s="73"/>
    </row>
    <row r="39" spans="1:36" ht="18" customHeight="1">
      <c r="A39" s="95" t="s">
        <v>58</v>
      </c>
      <c r="B39" s="96" t="s">
        <v>26</v>
      </c>
      <c r="C39" s="151">
        <v>1</v>
      </c>
      <c r="D39" s="150">
        <v>1</v>
      </c>
      <c r="E39" s="151">
        <v>1</v>
      </c>
      <c r="F39" s="151"/>
      <c r="G39" s="147"/>
      <c r="H39" s="151">
        <v>1</v>
      </c>
      <c r="I39" s="147"/>
      <c r="J39" s="151">
        <v>1</v>
      </c>
      <c r="K39" s="151"/>
      <c r="L39" s="151">
        <v>1</v>
      </c>
      <c r="M39" s="147"/>
      <c r="N39" s="147"/>
      <c r="O39" s="151">
        <v>1</v>
      </c>
      <c r="P39" s="147"/>
      <c r="Q39" s="151"/>
      <c r="R39" s="151"/>
      <c r="S39" s="151">
        <v>1</v>
      </c>
      <c r="T39" s="151"/>
      <c r="U39" s="147"/>
      <c r="V39" s="151">
        <v>1</v>
      </c>
      <c r="W39" s="147"/>
      <c r="X39" s="151">
        <v>1</v>
      </c>
      <c r="Y39" s="151"/>
      <c r="Z39" s="151">
        <v>1</v>
      </c>
      <c r="AA39" s="147"/>
      <c r="AB39" s="147"/>
      <c r="AC39" s="151">
        <v>1</v>
      </c>
      <c r="AD39" s="147"/>
      <c r="AE39" s="151"/>
      <c r="AF39" s="151">
        <v>1</v>
      </c>
      <c r="AG39" s="66">
        <f t="shared" si="3"/>
        <v>13</v>
      </c>
      <c r="AH39" s="68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69" t="str">
        <f t="shared" si="4"/>
        <v>曉強</v>
      </c>
      <c r="AJ39" s="73"/>
    </row>
    <row r="40" spans="1:36" ht="18" customHeight="1">
      <c r="A40" s="95" t="s">
        <v>58</v>
      </c>
      <c r="B40" s="96" t="s">
        <v>27</v>
      </c>
      <c r="C40" s="151"/>
      <c r="D40" s="150"/>
      <c r="E40" s="151"/>
      <c r="F40" s="151"/>
      <c r="G40" s="147"/>
      <c r="H40" s="151"/>
      <c r="I40" s="147"/>
      <c r="J40" s="151"/>
      <c r="K40" s="151"/>
      <c r="L40" s="151"/>
      <c r="M40" s="147"/>
      <c r="N40" s="147"/>
      <c r="O40" s="151"/>
      <c r="P40" s="147"/>
      <c r="Q40" s="151"/>
      <c r="R40" s="151"/>
      <c r="S40" s="151"/>
      <c r="T40" s="151">
        <v>1</v>
      </c>
      <c r="U40" s="147"/>
      <c r="V40" s="151"/>
      <c r="W40" s="147"/>
      <c r="X40" s="151"/>
      <c r="Y40" s="151"/>
      <c r="Z40" s="151"/>
      <c r="AA40" s="147"/>
      <c r="AB40" s="147"/>
      <c r="AC40" s="151"/>
      <c r="AD40" s="147"/>
      <c r="AE40" s="151"/>
      <c r="AF40" s="151"/>
      <c r="AG40" s="66">
        <f t="shared" si="3"/>
        <v>1</v>
      </c>
      <c r="AH40" s="68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69" t="str">
        <f t="shared" si="4"/>
        <v>芋圓</v>
      </c>
      <c r="AJ40" s="73"/>
    </row>
    <row r="41" spans="1:36" ht="18" customHeight="1">
      <c r="A41" s="95" t="s">
        <v>58</v>
      </c>
      <c r="B41" s="96" t="s">
        <v>28</v>
      </c>
      <c r="C41" s="151"/>
      <c r="D41" s="150"/>
      <c r="E41" s="151"/>
      <c r="F41" s="151"/>
      <c r="G41" s="147"/>
      <c r="H41" s="151"/>
      <c r="I41" s="147"/>
      <c r="J41" s="151"/>
      <c r="K41" s="151"/>
      <c r="L41" s="151"/>
      <c r="M41" s="147"/>
      <c r="N41" s="147"/>
      <c r="O41" s="151"/>
      <c r="P41" s="147"/>
      <c r="Q41" s="151"/>
      <c r="R41" s="151"/>
      <c r="S41" s="151"/>
      <c r="T41" s="151"/>
      <c r="U41" s="147"/>
      <c r="V41" s="151"/>
      <c r="W41" s="147"/>
      <c r="X41" s="151"/>
      <c r="Y41" s="151"/>
      <c r="Z41" s="151"/>
      <c r="AA41" s="147"/>
      <c r="AB41" s="147"/>
      <c r="AC41" s="151"/>
      <c r="AD41" s="147"/>
      <c r="AE41" s="151"/>
      <c r="AF41" s="151"/>
      <c r="AG41" s="66">
        <f t="shared" si="3"/>
        <v>0</v>
      </c>
      <c r="AH41" s="68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69" t="str">
        <f t="shared" si="4"/>
        <v>克勤</v>
      </c>
      <c r="AJ41" s="73"/>
    </row>
    <row r="42" spans="1:36" ht="18" customHeight="1">
      <c r="A42" s="95" t="s">
        <v>58</v>
      </c>
      <c r="B42" s="96" t="s">
        <v>29</v>
      </c>
      <c r="C42" s="151">
        <v>1</v>
      </c>
      <c r="D42" s="150"/>
      <c r="E42" s="151"/>
      <c r="F42" s="151"/>
      <c r="G42" s="147"/>
      <c r="H42" s="151"/>
      <c r="I42" s="147"/>
      <c r="J42" s="151"/>
      <c r="K42" s="151"/>
      <c r="L42" s="151"/>
      <c r="M42" s="147"/>
      <c r="N42" s="147"/>
      <c r="O42" s="151"/>
      <c r="P42" s="147"/>
      <c r="Q42" s="151"/>
      <c r="R42" s="151"/>
      <c r="S42" s="151"/>
      <c r="T42" s="151"/>
      <c r="U42" s="147"/>
      <c r="V42" s="151"/>
      <c r="W42" s="147"/>
      <c r="X42" s="151"/>
      <c r="Y42" s="151"/>
      <c r="Z42" s="151"/>
      <c r="AA42" s="147"/>
      <c r="AB42" s="147"/>
      <c r="AC42" s="151"/>
      <c r="AD42" s="147"/>
      <c r="AE42" s="151"/>
      <c r="AF42" s="151"/>
      <c r="AG42" s="66">
        <f t="shared" si="3"/>
        <v>1</v>
      </c>
      <c r="AH42" s="68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69" t="str">
        <f t="shared" si="4"/>
        <v>大頭</v>
      </c>
      <c r="AJ42" s="73"/>
    </row>
    <row r="43" spans="1:36" ht="18" customHeight="1">
      <c r="A43" s="95" t="s">
        <v>58</v>
      </c>
      <c r="B43" s="96" t="s">
        <v>65</v>
      </c>
      <c r="C43" s="151"/>
      <c r="D43" s="150"/>
      <c r="E43" s="151"/>
      <c r="F43" s="151"/>
      <c r="G43" s="147"/>
      <c r="H43" s="151"/>
      <c r="I43" s="147"/>
      <c r="J43" s="151">
        <v>1</v>
      </c>
      <c r="K43" s="151">
        <v>1</v>
      </c>
      <c r="L43" s="151"/>
      <c r="M43" s="147"/>
      <c r="N43" s="147"/>
      <c r="O43" s="151"/>
      <c r="P43" s="147"/>
      <c r="Q43" s="151"/>
      <c r="R43" s="151"/>
      <c r="S43" s="151"/>
      <c r="T43" s="151"/>
      <c r="U43" s="147"/>
      <c r="V43" s="151"/>
      <c r="W43" s="147"/>
      <c r="X43" s="151"/>
      <c r="Y43" s="151"/>
      <c r="Z43" s="151"/>
      <c r="AA43" s="147"/>
      <c r="AB43" s="147"/>
      <c r="AC43" s="151"/>
      <c r="AD43" s="147"/>
      <c r="AE43" s="151"/>
      <c r="AF43" s="151"/>
      <c r="AG43" s="66">
        <f t="shared" si="3"/>
        <v>2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4"/>
        <v>文淵</v>
      </c>
      <c r="AJ43" s="73"/>
    </row>
    <row r="44" spans="1:36" ht="18" customHeight="1">
      <c r="A44" s="95" t="s">
        <v>58</v>
      </c>
      <c r="B44" s="96" t="s">
        <v>72</v>
      </c>
      <c r="C44" s="151"/>
      <c r="D44" s="150"/>
      <c r="E44" s="151"/>
      <c r="F44" s="151"/>
      <c r="G44" s="147"/>
      <c r="H44" s="151"/>
      <c r="I44" s="147"/>
      <c r="J44" s="151">
        <v>1</v>
      </c>
      <c r="K44" s="151"/>
      <c r="L44" s="151">
        <v>1</v>
      </c>
      <c r="M44" s="147"/>
      <c r="N44" s="147"/>
      <c r="O44" s="151"/>
      <c r="P44" s="147"/>
      <c r="Q44" s="151"/>
      <c r="R44" s="151"/>
      <c r="S44" s="151"/>
      <c r="T44" s="151"/>
      <c r="U44" s="147"/>
      <c r="V44" s="151"/>
      <c r="W44" s="147"/>
      <c r="X44" s="151"/>
      <c r="Y44" s="151"/>
      <c r="Z44" s="151"/>
      <c r="AA44" s="147"/>
      <c r="AB44" s="147"/>
      <c r="AC44" s="151"/>
      <c r="AD44" s="147"/>
      <c r="AE44" s="151"/>
      <c r="AF44" s="151"/>
      <c r="AG44" s="66">
        <f t="shared" si="3"/>
        <v>2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4"/>
        <v>八卦</v>
      </c>
      <c r="AJ44" s="73"/>
    </row>
    <row r="45" spans="1:36" ht="18" customHeight="1">
      <c r="A45" s="95" t="s">
        <v>58</v>
      </c>
      <c r="B45" s="96" t="s">
        <v>30</v>
      </c>
      <c r="C45" s="151"/>
      <c r="D45" s="150">
        <v>1</v>
      </c>
      <c r="E45" s="151"/>
      <c r="F45" s="151">
        <v>1</v>
      </c>
      <c r="G45" s="147"/>
      <c r="H45" s="151">
        <v>1</v>
      </c>
      <c r="I45" s="147"/>
      <c r="J45" s="151">
        <v>1</v>
      </c>
      <c r="K45" s="151"/>
      <c r="L45" s="151"/>
      <c r="M45" s="147"/>
      <c r="N45" s="147"/>
      <c r="O45" s="151">
        <v>1</v>
      </c>
      <c r="P45" s="147"/>
      <c r="Q45" s="151"/>
      <c r="R45" s="151"/>
      <c r="S45" s="151"/>
      <c r="T45" s="151">
        <v>1</v>
      </c>
      <c r="U45" s="147"/>
      <c r="V45" s="151">
        <v>1</v>
      </c>
      <c r="W45" s="147"/>
      <c r="X45" s="151">
        <v>1</v>
      </c>
      <c r="Y45" s="151">
        <v>1</v>
      </c>
      <c r="Z45" s="151">
        <v>1</v>
      </c>
      <c r="AA45" s="147"/>
      <c r="AB45" s="147"/>
      <c r="AC45" s="151">
        <v>1</v>
      </c>
      <c r="AD45" s="147"/>
      <c r="AE45" s="151"/>
      <c r="AF45" s="151">
        <v>1</v>
      </c>
      <c r="AG45" s="66">
        <f t="shared" si="3"/>
        <v>12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4"/>
        <v>鯰魚</v>
      </c>
      <c r="AJ45" s="73"/>
    </row>
    <row r="46" spans="1:36" ht="18" customHeight="1">
      <c r="A46" s="95" t="s">
        <v>58</v>
      </c>
      <c r="B46" s="96" t="s">
        <v>31</v>
      </c>
      <c r="C46" s="151"/>
      <c r="D46" s="150"/>
      <c r="E46" s="151"/>
      <c r="F46" s="151">
        <v>1</v>
      </c>
      <c r="G46" s="147"/>
      <c r="H46" s="151">
        <v>1</v>
      </c>
      <c r="I46" s="147"/>
      <c r="J46" s="151"/>
      <c r="K46" s="151"/>
      <c r="L46" s="151"/>
      <c r="M46" s="147"/>
      <c r="N46" s="147"/>
      <c r="O46" s="151"/>
      <c r="P46" s="147"/>
      <c r="Q46" s="151"/>
      <c r="R46" s="151">
        <v>1</v>
      </c>
      <c r="S46" s="151"/>
      <c r="T46" s="151">
        <v>1</v>
      </c>
      <c r="U46" s="147"/>
      <c r="V46" s="151"/>
      <c r="W46" s="147"/>
      <c r="X46" s="151"/>
      <c r="Y46" s="151">
        <v>1</v>
      </c>
      <c r="Z46" s="151"/>
      <c r="AA46" s="147"/>
      <c r="AB46" s="147"/>
      <c r="AC46" s="151"/>
      <c r="AD46" s="147"/>
      <c r="AE46" s="151"/>
      <c r="AF46" s="151"/>
      <c r="AG46" s="66">
        <f t="shared" si="3"/>
        <v>5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4"/>
        <v>阿美</v>
      </c>
      <c r="AJ46" s="73"/>
    </row>
    <row r="47" spans="1:36" ht="18" customHeight="1">
      <c r="A47" s="95" t="s">
        <v>58</v>
      </c>
      <c r="B47" s="96" t="s">
        <v>198</v>
      </c>
      <c r="C47" s="151"/>
      <c r="D47" s="150">
        <v>1</v>
      </c>
      <c r="E47" s="151">
        <v>1</v>
      </c>
      <c r="F47" s="151">
        <v>1</v>
      </c>
      <c r="G47" s="147"/>
      <c r="H47" s="151">
        <v>1</v>
      </c>
      <c r="I47" s="147"/>
      <c r="J47" s="151">
        <v>1</v>
      </c>
      <c r="K47" s="151">
        <v>1</v>
      </c>
      <c r="L47" s="151"/>
      <c r="M47" s="147"/>
      <c r="N47" s="147"/>
      <c r="O47" s="151">
        <v>1</v>
      </c>
      <c r="P47" s="147"/>
      <c r="Q47" s="151"/>
      <c r="R47" s="151">
        <v>1</v>
      </c>
      <c r="S47" s="151"/>
      <c r="T47" s="151">
        <v>1</v>
      </c>
      <c r="U47" s="147"/>
      <c r="V47" s="151">
        <v>1</v>
      </c>
      <c r="W47" s="147"/>
      <c r="X47" s="151">
        <v>1</v>
      </c>
      <c r="Y47" s="151">
        <v>1</v>
      </c>
      <c r="Z47" s="151">
        <v>1</v>
      </c>
      <c r="AA47" s="147"/>
      <c r="AB47" s="147"/>
      <c r="AC47" s="151">
        <v>1</v>
      </c>
      <c r="AD47" s="147"/>
      <c r="AE47" s="151"/>
      <c r="AF47" s="151">
        <v>1</v>
      </c>
      <c r="AG47" s="66">
        <f t="shared" si="3"/>
        <v>15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4"/>
        <v>郁翔</v>
      </c>
      <c r="AJ47" s="73"/>
    </row>
    <row r="48" spans="1:36" ht="18" customHeight="1">
      <c r="A48" s="95" t="s">
        <v>58</v>
      </c>
      <c r="B48" s="96" t="s">
        <v>32</v>
      </c>
      <c r="C48" s="151"/>
      <c r="D48" s="150"/>
      <c r="E48" s="151"/>
      <c r="F48" s="151"/>
      <c r="G48" s="147"/>
      <c r="H48" s="151"/>
      <c r="I48" s="147"/>
      <c r="J48" s="151"/>
      <c r="K48" s="151"/>
      <c r="L48" s="151">
        <v>1</v>
      </c>
      <c r="M48" s="147"/>
      <c r="N48" s="147"/>
      <c r="O48" s="151">
        <v>1</v>
      </c>
      <c r="P48" s="147"/>
      <c r="Q48" s="151"/>
      <c r="R48" s="151"/>
      <c r="S48" s="151"/>
      <c r="T48" s="151">
        <v>1</v>
      </c>
      <c r="U48" s="147"/>
      <c r="V48" s="151"/>
      <c r="W48" s="147"/>
      <c r="X48" s="151"/>
      <c r="Y48" s="151">
        <v>1</v>
      </c>
      <c r="Z48" s="151"/>
      <c r="AA48" s="147"/>
      <c r="AB48" s="147"/>
      <c r="AC48" s="151">
        <v>1</v>
      </c>
      <c r="AD48" s="147"/>
      <c r="AE48" s="151"/>
      <c r="AF48" s="151">
        <v>1</v>
      </c>
      <c r="AG48" s="66">
        <f t="shared" si="3"/>
        <v>6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4"/>
        <v>小翔</v>
      </c>
      <c r="AJ48" s="73"/>
    </row>
    <row r="49" spans="1:36" ht="18" customHeight="1">
      <c r="A49" s="95" t="s">
        <v>58</v>
      </c>
      <c r="B49" s="96" t="s">
        <v>36</v>
      </c>
      <c r="C49" s="151"/>
      <c r="D49" s="150"/>
      <c r="E49" s="151"/>
      <c r="F49" s="151"/>
      <c r="G49" s="147"/>
      <c r="H49" s="151"/>
      <c r="I49" s="147"/>
      <c r="J49" s="151">
        <v>1</v>
      </c>
      <c r="K49" s="151"/>
      <c r="L49" s="151"/>
      <c r="M49" s="147"/>
      <c r="N49" s="147"/>
      <c r="O49" s="151"/>
      <c r="P49" s="147"/>
      <c r="Q49" s="151"/>
      <c r="R49" s="151"/>
      <c r="S49" s="151"/>
      <c r="T49" s="151"/>
      <c r="U49" s="147"/>
      <c r="V49" s="151"/>
      <c r="W49" s="147"/>
      <c r="X49" s="151"/>
      <c r="Y49" s="151"/>
      <c r="Z49" s="151"/>
      <c r="AA49" s="147"/>
      <c r="AB49" s="147"/>
      <c r="AC49" s="151"/>
      <c r="AD49" s="147"/>
      <c r="AE49" s="151"/>
      <c r="AF49" s="151"/>
      <c r="AG49" s="66">
        <f t="shared" si="3"/>
        <v>1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4"/>
        <v>子澔</v>
      </c>
      <c r="AJ49" s="70"/>
    </row>
    <row r="50" spans="1:36" ht="18" customHeight="1">
      <c r="A50" s="95" t="s">
        <v>58</v>
      </c>
      <c r="B50" s="96" t="s">
        <v>37</v>
      </c>
      <c r="C50" s="151"/>
      <c r="D50" s="150"/>
      <c r="E50" s="151"/>
      <c r="F50" s="151">
        <v>1</v>
      </c>
      <c r="G50" s="147"/>
      <c r="H50" s="151">
        <v>1</v>
      </c>
      <c r="I50" s="147"/>
      <c r="J50" s="151"/>
      <c r="K50" s="151"/>
      <c r="L50" s="151"/>
      <c r="M50" s="147"/>
      <c r="N50" s="147"/>
      <c r="O50" s="151"/>
      <c r="P50" s="147"/>
      <c r="Q50" s="151"/>
      <c r="R50" s="151"/>
      <c r="S50" s="151"/>
      <c r="T50" s="151">
        <v>1</v>
      </c>
      <c r="U50" s="147"/>
      <c r="V50" s="151">
        <v>1</v>
      </c>
      <c r="W50" s="147"/>
      <c r="X50" s="151"/>
      <c r="Y50" s="151"/>
      <c r="Z50" s="151"/>
      <c r="AA50" s="147"/>
      <c r="AB50" s="147"/>
      <c r="AC50" s="151">
        <v>1</v>
      </c>
      <c r="AD50" s="147"/>
      <c r="AE50" s="151"/>
      <c r="AF50" s="151"/>
      <c r="AG50" s="66">
        <f t="shared" si="3"/>
        <v>5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4"/>
        <v>魚仔</v>
      </c>
      <c r="AJ50" s="70"/>
    </row>
    <row r="51" spans="1:36" ht="18" customHeight="1">
      <c r="A51" s="95" t="s">
        <v>58</v>
      </c>
      <c r="B51" s="96" t="s">
        <v>87</v>
      </c>
      <c r="C51" s="151"/>
      <c r="D51" s="150">
        <v>1</v>
      </c>
      <c r="E51" s="151"/>
      <c r="F51" s="151">
        <v>1</v>
      </c>
      <c r="G51" s="147"/>
      <c r="H51" s="151">
        <v>1</v>
      </c>
      <c r="I51" s="147"/>
      <c r="J51" s="151"/>
      <c r="K51" s="151">
        <v>1</v>
      </c>
      <c r="L51" s="151"/>
      <c r="M51" s="147"/>
      <c r="N51" s="147"/>
      <c r="O51" s="151">
        <v>1</v>
      </c>
      <c r="P51" s="147"/>
      <c r="Q51" s="151"/>
      <c r="R51" s="151">
        <v>1</v>
      </c>
      <c r="S51" s="151"/>
      <c r="T51" s="151">
        <v>1</v>
      </c>
      <c r="U51" s="147"/>
      <c r="V51" s="151">
        <v>1</v>
      </c>
      <c r="W51" s="147"/>
      <c r="X51" s="151"/>
      <c r="Y51" s="151"/>
      <c r="Z51" s="151"/>
      <c r="AA51" s="147"/>
      <c r="AB51" s="147"/>
      <c r="AC51" s="151">
        <v>1</v>
      </c>
      <c r="AD51" s="147"/>
      <c r="AE51" s="151">
        <v>1</v>
      </c>
      <c r="AF51" s="151"/>
      <c r="AG51" s="66">
        <f t="shared" si="3"/>
        <v>10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4"/>
        <v>Mango</v>
      </c>
      <c r="AJ51" s="70"/>
    </row>
    <row r="52" spans="1:36" ht="18" customHeight="1">
      <c r="A52" s="95" t="s">
        <v>58</v>
      </c>
      <c r="B52" s="96" t="s">
        <v>38</v>
      </c>
      <c r="C52" s="151">
        <v>1</v>
      </c>
      <c r="D52" s="150"/>
      <c r="E52" s="151">
        <v>1</v>
      </c>
      <c r="F52" s="151"/>
      <c r="G52" s="147"/>
      <c r="H52" s="151">
        <v>1</v>
      </c>
      <c r="I52" s="147"/>
      <c r="J52" s="151">
        <v>1</v>
      </c>
      <c r="K52" s="151"/>
      <c r="L52" s="151">
        <v>1</v>
      </c>
      <c r="M52" s="147"/>
      <c r="N52" s="147"/>
      <c r="O52" s="151">
        <v>1</v>
      </c>
      <c r="P52" s="147"/>
      <c r="Q52" s="151"/>
      <c r="R52" s="151"/>
      <c r="S52" s="151">
        <v>1</v>
      </c>
      <c r="T52" s="151"/>
      <c r="U52" s="147"/>
      <c r="V52" s="151">
        <v>1</v>
      </c>
      <c r="W52" s="147"/>
      <c r="X52" s="151">
        <v>1</v>
      </c>
      <c r="Y52" s="151">
        <v>1</v>
      </c>
      <c r="Z52" s="151">
        <v>1</v>
      </c>
      <c r="AA52" s="147"/>
      <c r="AB52" s="147"/>
      <c r="AC52" s="151">
        <v>1</v>
      </c>
      <c r="AD52" s="147"/>
      <c r="AE52" s="151">
        <v>1</v>
      </c>
      <c r="AF52" s="151"/>
      <c r="AG52" s="66">
        <f t="shared" si="3"/>
        <v>13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4"/>
        <v>阿龍</v>
      </c>
      <c r="AJ52" s="70"/>
    </row>
    <row r="53" spans="1:36" ht="18" customHeight="1">
      <c r="A53" s="95" t="s">
        <v>58</v>
      </c>
      <c r="B53" s="96" t="s">
        <v>40</v>
      </c>
      <c r="C53" s="151">
        <v>1</v>
      </c>
      <c r="D53" s="150"/>
      <c r="E53" s="151"/>
      <c r="F53" s="151"/>
      <c r="G53" s="147"/>
      <c r="H53" s="151">
        <v>1</v>
      </c>
      <c r="I53" s="147"/>
      <c r="J53" s="151">
        <v>1</v>
      </c>
      <c r="K53" s="151"/>
      <c r="L53" s="151">
        <v>1</v>
      </c>
      <c r="M53" s="147"/>
      <c r="N53" s="147"/>
      <c r="O53" s="151">
        <v>1</v>
      </c>
      <c r="P53" s="147"/>
      <c r="Q53" s="151"/>
      <c r="R53" s="151"/>
      <c r="S53" s="151">
        <v>1</v>
      </c>
      <c r="T53" s="151"/>
      <c r="U53" s="147"/>
      <c r="V53" s="151">
        <v>1</v>
      </c>
      <c r="W53" s="147"/>
      <c r="X53" s="151"/>
      <c r="Y53" s="151"/>
      <c r="Z53" s="151"/>
      <c r="AA53" s="147"/>
      <c r="AB53" s="147"/>
      <c r="AC53" s="151"/>
      <c r="AD53" s="147"/>
      <c r="AE53" s="151"/>
      <c r="AF53" s="151"/>
      <c r="AG53" s="66">
        <f t="shared" si="3"/>
        <v>7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">
        <v>40</v>
      </c>
      <c r="AJ53" s="70"/>
    </row>
    <row r="54" spans="1:36" ht="18" customHeight="1">
      <c r="A54" s="95" t="s">
        <v>58</v>
      </c>
      <c r="B54" s="96" t="s">
        <v>222</v>
      </c>
      <c r="C54" s="151"/>
      <c r="D54" s="150"/>
      <c r="E54" s="151"/>
      <c r="F54" s="151"/>
      <c r="G54" s="147"/>
      <c r="H54" s="151"/>
      <c r="I54" s="147"/>
      <c r="J54" s="151"/>
      <c r="K54" s="151"/>
      <c r="L54" s="151"/>
      <c r="M54" s="147"/>
      <c r="N54" s="147"/>
      <c r="O54" s="151"/>
      <c r="P54" s="147"/>
      <c r="Q54" s="151"/>
      <c r="R54" s="151"/>
      <c r="S54" s="151"/>
      <c r="T54" s="151"/>
      <c r="U54" s="147"/>
      <c r="V54" s="151"/>
      <c r="W54" s="147"/>
      <c r="X54" s="151"/>
      <c r="Y54" s="151">
        <v>1</v>
      </c>
      <c r="Z54" s="151"/>
      <c r="AA54" s="147"/>
      <c r="AB54" s="147"/>
      <c r="AC54" s="151"/>
      <c r="AD54" s="147"/>
      <c r="AE54" s="151"/>
      <c r="AF54" s="151"/>
      <c r="AG54" s="66">
        <f t="shared" si="3"/>
        <v>1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">
        <v>222</v>
      </c>
      <c r="AJ54" s="70"/>
    </row>
    <row r="55" spans="1:36" ht="18" customHeight="1">
      <c r="A55" s="95" t="s">
        <v>58</v>
      </c>
      <c r="B55" s="96" t="s">
        <v>45</v>
      </c>
      <c r="C55" s="151"/>
      <c r="D55" s="150"/>
      <c r="E55" s="151"/>
      <c r="F55" s="151"/>
      <c r="G55" s="147"/>
      <c r="H55" s="151"/>
      <c r="I55" s="147"/>
      <c r="J55" s="151"/>
      <c r="K55" s="151"/>
      <c r="L55" s="151"/>
      <c r="M55" s="147"/>
      <c r="N55" s="147"/>
      <c r="O55" s="151"/>
      <c r="P55" s="147"/>
      <c r="Q55" s="151"/>
      <c r="R55" s="151"/>
      <c r="S55" s="151"/>
      <c r="T55" s="151"/>
      <c r="U55" s="147"/>
      <c r="V55" s="151"/>
      <c r="W55" s="147"/>
      <c r="X55" s="151"/>
      <c r="Y55" s="151"/>
      <c r="Z55" s="151"/>
      <c r="AA55" s="147"/>
      <c r="AB55" s="147"/>
      <c r="AC55" s="151"/>
      <c r="AD55" s="147"/>
      <c r="AE55" s="151"/>
      <c r="AF55" s="151"/>
      <c r="AG55" s="66">
        <f t="shared" si="3"/>
        <v>0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">
        <v>45</v>
      </c>
      <c r="AJ55" s="70"/>
    </row>
    <row r="56" spans="1:36" ht="18" customHeight="1">
      <c r="A56" s="99" t="s">
        <v>58</v>
      </c>
      <c r="B56" s="100" t="s">
        <v>151</v>
      </c>
      <c r="C56" s="99">
        <v>1</v>
      </c>
      <c r="D56" s="132"/>
      <c r="E56" s="99">
        <v>1</v>
      </c>
      <c r="F56" s="99">
        <v>1</v>
      </c>
      <c r="G56" s="147"/>
      <c r="H56" s="99">
        <v>1</v>
      </c>
      <c r="I56" s="147"/>
      <c r="J56" s="99">
        <v>1</v>
      </c>
      <c r="K56" s="99"/>
      <c r="L56" s="99">
        <v>1</v>
      </c>
      <c r="M56" s="147"/>
      <c r="N56" s="147"/>
      <c r="O56" s="99">
        <v>1</v>
      </c>
      <c r="P56" s="147"/>
      <c r="Q56" s="99"/>
      <c r="R56" s="99"/>
      <c r="S56" s="99">
        <v>1</v>
      </c>
      <c r="T56" s="99"/>
      <c r="U56" s="147"/>
      <c r="V56" s="99">
        <v>1</v>
      </c>
      <c r="W56" s="147"/>
      <c r="X56" s="99">
        <v>1</v>
      </c>
      <c r="Y56" s="99"/>
      <c r="Z56" s="99">
        <v>1</v>
      </c>
      <c r="AA56" s="147"/>
      <c r="AB56" s="147"/>
      <c r="AC56" s="99">
        <v>1</v>
      </c>
      <c r="AD56" s="147"/>
      <c r="AE56" s="99"/>
      <c r="AF56" s="99">
        <v>1</v>
      </c>
      <c r="AG56" s="66">
        <f t="shared" si="3"/>
        <v>13</v>
      </c>
      <c r="AH56" s="9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79" t="str">
        <f t="shared" ref="AI56:AI65" si="5">B56</f>
        <v>宇嬅</v>
      </c>
      <c r="AJ56" s="82"/>
    </row>
    <row r="57" spans="1:36" ht="18" customHeight="1">
      <c r="A57" s="99" t="s">
        <v>58</v>
      </c>
      <c r="B57" s="100" t="s">
        <v>96</v>
      </c>
      <c r="C57" s="99">
        <v>1</v>
      </c>
      <c r="D57" s="132"/>
      <c r="E57" s="99"/>
      <c r="F57" s="99"/>
      <c r="G57" s="147"/>
      <c r="H57" s="99">
        <v>1</v>
      </c>
      <c r="I57" s="147"/>
      <c r="J57" s="99">
        <v>1</v>
      </c>
      <c r="K57" s="99"/>
      <c r="L57" s="99">
        <v>1</v>
      </c>
      <c r="M57" s="147"/>
      <c r="N57" s="147"/>
      <c r="O57" s="99">
        <v>1</v>
      </c>
      <c r="P57" s="147"/>
      <c r="Q57" s="99"/>
      <c r="R57" s="99"/>
      <c r="S57" s="99">
        <v>1</v>
      </c>
      <c r="T57" s="99"/>
      <c r="U57" s="147"/>
      <c r="V57" s="99">
        <v>1</v>
      </c>
      <c r="W57" s="147"/>
      <c r="X57" s="99">
        <v>1</v>
      </c>
      <c r="Y57" s="99">
        <v>1</v>
      </c>
      <c r="Z57" s="99">
        <v>1</v>
      </c>
      <c r="AA57" s="147"/>
      <c r="AB57" s="147"/>
      <c r="AC57" s="99">
        <v>1</v>
      </c>
      <c r="AD57" s="147"/>
      <c r="AE57" s="99"/>
      <c r="AF57" s="99">
        <v>1</v>
      </c>
      <c r="AG57" s="66">
        <f t="shared" si="3"/>
        <v>12</v>
      </c>
      <c r="AH57" s="9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79" t="str">
        <f t="shared" si="5"/>
        <v>靜婷</v>
      </c>
      <c r="AJ57" s="81"/>
    </row>
    <row r="58" spans="1:36" ht="18" customHeight="1">
      <c r="A58" s="99" t="s">
        <v>58</v>
      </c>
      <c r="B58" s="100" t="s">
        <v>155</v>
      </c>
      <c r="C58" s="99">
        <v>1</v>
      </c>
      <c r="D58" s="132"/>
      <c r="E58" s="99">
        <v>1</v>
      </c>
      <c r="F58" s="99"/>
      <c r="G58" s="147"/>
      <c r="H58" s="99">
        <v>1</v>
      </c>
      <c r="I58" s="147"/>
      <c r="J58" s="99">
        <v>1</v>
      </c>
      <c r="K58" s="99"/>
      <c r="L58" s="99">
        <v>1</v>
      </c>
      <c r="M58" s="147"/>
      <c r="N58" s="147"/>
      <c r="O58" s="99">
        <v>1</v>
      </c>
      <c r="P58" s="147"/>
      <c r="Q58" s="99"/>
      <c r="R58" s="99"/>
      <c r="S58" s="99">
        <v>1</v>
      </c>
      <c r="T58" s="99"/>
      <c r="U58" s="147"/>
      <c r="V58" s="99">
        <v>1</v>
      </c>
      <c r="W58" s="147"/>
      <c r="X58" s="99"/>
      <c r="Y58" s="99">
        <v>1</v>
      </c>
      <c r="Z58" s="99"/>
      <c r="AA58" s="147"/>
      <c r="AB58" s="147"/>
      <c r="AC58" s="99"/>
      <c r="AD58" s="147"/>
      <c r="AE58" s="99"/>
      <c r="AF58" s="99">
        <v>1</v>
      </c>
      <c r="AG58" s="66">
        <f t="shared" si="3"/>
        <v>10</v>
      </c>
      <c r="AH58" s="9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79" t="str">
        <f t="shared" si="5"/>
        <v>康康</v>
      </c>
      <c r="AJ58" s="81"/>
    </row>
    <row r="59" spans="1:36" ht="18" customHeight="1">
      <c r="A59" s="99" t="s">
        <v>58</v>
      </c>
      <c r="B59" s="100" t="s">
        <v>100</v>
      </c>
      <c r="C59" s="99">
        <v>1</v>
      </c>
      <c r="D59" s="132"/>
      <c r="E59" s="99">
        <v>1</v>
      </c>
      <c r="F59" s="99"/>
      <c r="G59" s="147"/>
      <c r="H59" s="99">
        <v>1</v>
      </c>
      <c r="I59" s="147"/>
      <c r="J59" s="99">
        <v>1</v>
      </c>
      <c r="K59" s="99"/>
      <c r="L59" s="99">
        <v>1</v>
      </c>
      <c r="M59" s="147"/>
      <c r="N59" s="147"/>
      <c r="O59" s="99">
        <v>1</v>
      </c>
      <c r="P59" s="147"/>
      <c r="Q59" s="99"/>
      <c r="R59" s="99"/>
      <c r="S59" s="99">
        <v>1</v>
      </c>
      <c r="T59" s="99"/>
      <c r="U59" s="147"/>
      <c r="V59" s="99">
        <v>1</v>
      </c>
      <c r="W59" s="147"/>
      <c r="X59" s="99">
        <v>1</v>
      </c>
      <c r="Y59" s="99"/>
      <c r="Z59" s="99">
        <v>1</v>
      </c>
      <c r="AA59" s="147"/>
      <c r="AB59" s="147"/>
      <c r="AC59" s="99">
        <v>1</v>
      </c>
      <c r="AD59" s="147"/>
      <c r="AE59" s="99"/>
      <c r="AF59" s="99">
        <v>1</v>
      </c>
      <c r="AG59" s="66">
        <f t="shared" si="3"/>
        <v>12</v>
      </c>
      <c r="AH59" s="9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79" t="str">
        <f t="shared" si="5"/>
        <v>餅餅</v>
      </c>
      <c r="AJ59" s="81"/>
    </row>
    <row r="60" spans="1:36" ht="18" customHeight="1">
      <c r="A60" s="99" t="s">
        <v>58</v>
      </c>
      <c r="B60" s="100" t="s">
        <v>165</v>
      </c>
      <c r="C60" s="99"/>
      <c r="D60" s="132"/>
      <c r="E60" s="99"/>
      <c r="F60" s="99"/>
      <c r="G60" s="147"/>
      <c r="H60" s="99"/>
      <c r="I60" s="147"/>
      <c r="J60" s="99">
        <v>1</v>
      </c>
      <c r="K60" s="99"/>
      <c r="L60" s="99"/>
      <c r="M60" s="147"/>
      <c r="N60" s="147"/>
      <c r="O60" s="99"/>
      <c r="P60" s="147"/>
      <c r="Q60" s="99"/>
      <c r="R60" s="99"/>
      <c r="S60" s="99"/>
      <c r="T60" s="99"/>
      <c r="U60" s="147"/>
      <c r="V60" s="99"/>
      <c r="W60" s="147"/>
      <c r="X60" s="99">
        <v>1</v>
      </c>
      <c r="Y60" s="99"/>
      <c r="Z60" s="99"/>
      <c r="AA60" s="147"/>
      <c r="AB60" s="147"/>
      <c r="AC60" s="99"/>
      <c r="AD60" s="147"/>
      <c r="AE60" s="99"/>
      <c r="AF60" s="99"/>
      <c r="AG60" s="66">
        <f t="shared" si="3"/>
        <v>2</v>
      </c>
      <c r="AH60" s="9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79" t="str">
        <f t="shared" si="5"/>
        <v>小貓</v>
      </c>
      <c r="AJ60" s="81"/>
    </row>
    <row r="61" spans="1:36" ht="18" customHeight="1">
      <c r="A61" s="101" t="s">
        <v>58</v>
      </c>
      <c r="B61" s="102" t="s">
        <v>125</v>
      </c>
      <c r="C61" s="101"/>
      <c r="D61" s="137">
        <v>1</v>
      </c>
      <c r="E61" s="101"/>
      <c r="F61" s="101"/>
      <c r="G61" s="147"/>
      <c r="H61" s="101"/>
      <c r="I61" s="147"/>
      <c r="J61" s="101"/>
      <c r="K61" s="101"/>
      <c r="L61" s="101"/>
      <c r="M61" s="147"/>
      <c r="N61" s="147"/>
      <c r="O61" s="101"/>
      <c r="P61" s="147"/>
      <c r="Q61" s="101"/>
      <c r="R61" s="101"/>
      <c r="S61" s="101"/>
      <c r="T61" s="101"/>
      <c r="U61" s="147"/>
      <c r="V61" s="101"/>
      <c r="W61" s="147"/>
      <c r="X61" s="101"/>
      <c r="Y61" s="101"/>
      <c r="Z61" s="101"/>
      <c r="AA61" s="147"/>
      <c r="AB61" s="147"/>
      <c r="AC61" s="101"/>
      <c r="AD61" s="147"/>
      <c r="AE61" s="101"/>
      <c r="AF61" s="101"/>
      <c r="AG61" s="66">
        <f t="shared" si="3"/>
        <v>1</v>
      </c>
      <c r="AH61" s="103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88" t="str">
        <f t="shared" si="5"/>
        <v>沛緁</v>
      </c>
      <c r="AJ61" s="89"/>
    </row>
    <row r="62" spans="1:36" ht="18" customHeight="1">
      <c r="A62" s="101" t="s">
        <v>58</v>
      </c>
      <c r="B62" s="102" t="s">
        <v>127</v>
      </c>
      <c r="C62" s="101">
        <v>1</v>
      </c>
      <c r="D62" s="137">
        <v>1</v>
      </c>
      <c r="E62" s="101">
        <v>1</v>
      </c>
      <c r="F62" s="101"/>
      <c r="G62" s="147"/>
      <c r="H62" s="101">
        <v>1</v>
      </c>
      <c r="I62" s="147"/>
      <c r="J62" s="101">
        <v>1</v>
      </c>
      <c r="K62" s="101"/>
      <c r="L62" s="101">
        <v>1</v>
      </c>
      <c r="M62" s="147"/>
      <c r="N62" s="147"/>
      <c r="O62" s="101">
        <v>1</v>
      </c>
      <c r="P62" s="147"/>
      <c r="Q62" s="101"/>
      <c r="R62" s="101"/>
      <c r="S62" s="101">
        <v>1</v>
      </c>
      <c r="T62" s="101"/>
      <c r="U62" s="147"/>
      <c r="V62" s="101">
        <v>1</v>
      </c>
      <c r="W62" s="147"/>
      <c r="X62" s="101">
        <v>1</v>
      </c>
      <c r="Y62" s="101"/>
      <c r="Z62" s="101">
        <v>1</v>
      </c>
      <c r="AA62" s="147"/>
      <c r="AB62" s="147"/>
      <c r="AC62" s="101">
        <v>1</v>
      </c>
      <c r="AD62" s="147"/>
      <c r="AE62" s="101"/>
      <c r="AF62" s="101">
        <v>1</v>
      </c>
      <c r="AG62" s="66">
        <f t="shared" si="3"/>
        <v>13</v>
      </c>
      <c r="AH62" s="103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88" t="str">
        <f t="shared" si="5"/>
        <v>小雞</v>
      </c>
      <c r="AJ62" s="89"/>
    </row>
    <row r="63" spans="1:36" ht="18" customHeight="1">
      <c r="A63" s="101" t="s">
        <v>58</v>
      </c>
      <c r="B63" s="115" t="s">
        <v>140</v>
      </c>
      <c r="C63" s="101"/>
      <c r="D63" s="137"/>
      <c r="E63" s="101"/>
      <c r="F63" s="101"/>
      <c r="G63" s="147"/>
      <c r="H63" s="101"/>
      <c r="I63" s="147"/>
      <c r="J63" s="101"/>
      <c r="K63" s="101"/>
      <c r="L63" s="101"/>
      <c r="M63" s="147"/>
      <c r="N63" s="147"/>
      <c r="O63" s="101"/>
      <c r="P63" s="147"/>
      <c r="Q63" s="101"/>
      <c r="R63" s="101"/>
      <c r="S63" s="101">
        <v>1</v>
      </c>
      <c r="T63" s="101"/>
      <c r="U63" s="147"/>
      <c r="V63" s="101"/>
      <c r="W63" s="147"/>
      <c r="X63" s="101"/>
      <c r="Y63" s="101"/>
      <c r="Z63" s="101">
        <v>1</v>
      </c>
      <c r="AA63" s="147"/>
      <c r="AB63" s="147"/>
      <c r="AC63" s="101"/>
      <c r="AD63" s="147"/>
      <c r="AE63" s="101"/>
      <c r="AF63" s="101"/>
      <c r="AG63" s="66">
        <f t="shared" si="3"/>
        <v>2</v>
      </c>
      <c r="AH63" s="87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88" t="str">
        <f t="shared" si="5"/>
        <v>芷琦</v>
      </c>
      <c r="AJ63" s="91"/>
    </row>
    <row r="64" spans="1:36" ht="18" customHeight="1">
      <c r="A64" s="101" t="s">
        <v>58</v>
      </c>
      <c r="B64" s="115" t="s">
        <v>106</v>
      </c>
      <c r="C64" s="101"/>
      <c r="D64" s="137"/>
      <c r="E64" s="101"/>
      <c r="F64" s="101"/>
      <c r="G64" s="147"/>
      <c r="H64" s="101"/>
      <c r="I64" s="147"/>
      <c r="J64" s="101"/>
      <c r="K64" s="101"/>
      <c r="L64" s="101">
        <v>1</v>
      </c>
      <c r="M64" s="147"/>
      <c r="N64" s="147"/>
      <c r="O64" s="101"/>
      <c r="P64" s="147"/>
      <c r="Q64" s="101"/>
      <c r="R64" s="101"/>
      <c r="S64" s="101">
        <v>1</v>
      </c>
      <c r="T64" s="101"/>
      <c r="U64" s="147"/>
      <c r="V64" s="101"/>
      <c r="W64" s="147"/>
      <c r="X64" s="101"/>
      <c r="Y64" s="101"/>
      <c r="Z64" s="101"/>
      <c r="AA64" s="147"/>
      <c r="AB64" s="147"/>
      <c r="AC64" s="101"/>
      <c r="AD64" s="147"/>
      <c r="AE64" s="101"/>
      <c r="AF64" s="101"/>
      <c r="AG64" s="66">
        <f t="shared" si="3"/>
        <v>2</v>
      </c>
      <c r="AH64" s="87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88" t="str">
        <f t="shared" si="5"/>
        <v>Nina</v>
      </c>
      <c r="AJ64" s="91"/>
    </row>
    <row r="65" spans="1:36" ht="18" customHeight="1">
      <c r="A65" s="120" t="s">
        <v>58</v>
      </c>
      <c r="B65" s="121" t="s">
        <v>42</v>
      </c>
      <c r="C65" s="120">
        <v>1</v>
      </c>
      <c r="D65" s="143"/>
      <c r="E65" s="120">
        <v>1</v>
      </c>
      <c r="F65" s="120"/>
      <c r="G65" s="147"/>
      <c r="H65" s="120">
        <v>1</v>
      </c>
      <c r="I65" s="147"/>
      <c r="J65" s="120">
        <v>1</v>
      </c>
      <c r="K65" s="120"/>
      <c r="L65" s="120">
        <v>1</v>
      </c>
      <c r="M65" s="147"/>
      <c r="N65" s="147"/>
      <c r="O65" s="120"/>
      <c r="P65" s="147"/>
      <c r="Q65" s="120"/>
      <c r="R65" s="120"/>
      <c r="S65" s="120">
        <v>1</v>
      </c>
      <c r="T65" s="120"/>
      <c r="U65" s="147"/>
      <c r="V65" s="120">
        <v>1</v>
      </c>
      <c r="W65" s="147"/>
      <c r="X65" s="120">
        <v>1</v>
      </c>
      <c r="Y65" s="120">
        <v>1</v>
      </c>
      <c r="Z65" s="120"/>
      <c r="AA65" s="147"/>
      <c r="AB65" s="147"/>
      <c r="AC65" s="120">
        <v>1</v>
      </c>
      <c r="AD65" s="147"/>
      <c r="AE65" s="120"/>
      <c r="AF65" s="120">
        <v>1</v>
      </c>
      <c r="AG65" s="66">
        <f t="shared" si="3"/>
        <v>11</v>
      </c>
      <c r="AH65" s="10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109" t="str">
        <f t="shared" si="5"/>
        <v>屎蛋</v>
      </c>
      <c r="AJ65" s="110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65">
    <cfRule type="expression" dxfId="15" priority="1">
      <formula>COUNTIF($B:$B,$B2)&gt;1</formula>
    </cfRule>
  </conditionalFormatting>
  <dataValidations count="1">
    <dataValidation type="list" allowBlank="1" showDropDown="1" showErrorMessage="1" sqref="C1:AF1" xr:uid="{00000000-0002-0000-13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A9999"/>
    <outlinePr summaryBelow="0" summaryRight="0"/>
    <pageSetUpPr fitToPage="1"/>
  </sheetPr>
  <dimension ref="A1:AJ140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 t="s">
        <v>13</v>
      </c>
      <c r="D1" s="126" t="s">
        <v>219</v>
      </c>
      <c r="E1" s="126" t="s">
        <v>13</v>
      </c>
      <c r="F1" s="51" t="s">
        <v>219</v>
      </c>
      <c r="G1" s="126" t="s">
        <v>22</v>
      </c>
      <c r="H1" s="51" t="s">
        <v>19</v>
      </c>
      <c r="I1" s="126" t="s">
        <v>219</v>
      </c>
      <c r="J1" s="126" t="s">
        <v>13</v>
      </c>
      <c r="K1" s="126" t="s">
        <v>219</v>
      </c>
      <c r="L1" s="126" t="s">
        <v>184</v>
      </c>
      <c r="M1" s="51" t="s">
        <v>14</v>
      </c>
      <c r="N1" s="126" t="s">
        <v>22</v>
      </c>
      <c r="O1" s="51" t="s">
        <v>19</v>
      </c>
      <c r="P1" s="126" t="s">
        <v>219</v>
      </c>
      <c r="Q1" s="126" t="s">
        <v>22</v>
      </c>
      <c r="R1" s="126" t="s">
        <v>219</v>
      </c>
      <c r="S1" s="126" t="s">
        <v>22</v>
      </c>
      <c r="T1" s="51" t="s">
        <v>22</v>
      </c>
      <c r="U1" s="126" t="s">
        <v>22</v>
      </c>
      <c r="V1" s="51" t="s">
        <v>19</v>
      </c>
      <c r="W1" s="126" t="s">
        <v>219</v>
      </c>
      <c r="X1" s="126" t="s">
        <v>13</v>
      </c>
      <c r="Y1" s="126" t="s">
        <v>219</v>
      </c>
      <c r="Z1" s="126" t="s">
        <v>184</v>
      </c>
      <c r="AA1" s="51" t="s">
        <v>14</v>
      </c>
      <c r="AB1" s="126" t="s">
        <v>22</v>
      </c>
      <c r="AC1" s="126" t="s">
        <v>219</v>
      </c>
      <c r="AD1" s="126" t="s">
        <v>219</v>
      </c>
      <c r="AE1" s="126" t="s">
        <v>219</v>
      </c>
      <c r="AF1" s="126" t="s">
        <v>219</v>
      </c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45658</v>
      </c>
      <c r="D2" s="127">
        <v>45659</v>
      </c>
      <c r="E2" s="55">
        <v>45660</v>
      </c>
      <c r="F2" s="55">
        <v>45661</v>
      </c>
      <c r="G2" s="55">
        <v>45662</v>
      </c>
      <c r="H2" s="55">
        <v>45663</v>
      </c>
      <c r="I2" s="127">
        <v>45664</v>
      </c>
      <c r="J2" s="55">
        <v>45665</v>
      </c>
      <c r="K2" s="127">
        <v>45666</v>
      </c>
      <c r="L2" s="55">
        <v>45667</v>
      </c>
      <c r="M2" s="55">
        <v>45668</v>
      </c>
      <c r="N2" s="55">
        <v>45669</v>
      </c>
      <c r="O2" s="55">
        <v>45670</v>
      </c>
      <c r="P2" s="127">
        <v>45671</v>
      </c>
      <c r="Q2" s="55">
        <v>45672</v>
      </c>
      <c r="R2" s="127">
        <v>45673</v>
      </c>
      <c r="S2" s="55">
        <v>45674</v>
      </c>
      <c r="T2" s="55">
        <v>45675</v>
      </c>
      <c r="U2" s="55">
        <v>45676</v>
      </c>
      <c r="V2" s="55">
        <v>45677</v>
      </c>
      <c r="W2" s="127">
        <v>45678</v>
      </c>
      <c r="X2" s="55">
        <v>45679</v>
      </c>
      <c r="Y2" s="127">
        <v>45680</v>
      </c>
      <c r="Z2" s="55">
        <v>45681</v>
      </c>
      <c r="AA2" s="55">
        <v>45682</v>
      </c>
      <c r="AB2" s="55">
        <v>45683</v>
      </c>
      <c r="AC2" s="127">
        <v>45684</v>
      </c>
      <c r="AD2" s="127">
        <v>45685</v>
      </c>
      <c r="AE2" s="127">
        <v>45686</v>
      </c>
      <c r="AF2" s="127">
        <v>45687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3</v>
      </c>
      <c r="D3" s="152">
        <f t="shared" si="0"/>
        <v>4</v>
      </c>
      <c r="E3" s="126">
        <f t="shared" si="0"/>
        <v>5</v>
      </c>
      <c r="F3" s="51">
        <f t="shared" si="0"/>
        <v>6</v>
      </c>
      <c r="G3" s="126">
        <f t="shared" si="0"/>
        <v>7</v>
      </c>
      <c r="H3" s="51">
        <f t="shared" si="0"/>
        <v>1</v>
      </c>
      <c r="I3" s="126">
        <f t="shared" si="0"/>
        <v>2</v>
      </c>
      <c r="J3" s="126">
        <f t="shared" si="0"/>
        <v>3</v>
      </c>
      <c r="K3" s="126">
        <f t="shared" si="0"/>
        <v>4</v>
      </c>
      <c r="L3" s="126">
        <f t="shared" si="0"/>
        <v>5</v>
      </c>
      <c r="M3" s="51">
        <f t="shared" si="0"/>
        <v>6</v>
      </c>
      <c r="N3" s="126">
        <f t="shared" si="0"/>
        <v>7</v>
      </c>
      <c r="O3" s="51">
        <f t="shared" si="0"/>
        <v>1</v>
      </c>
      <c r="P3" s="126">
        <f t="shared" si="0"/>
        <v>2</v>
      </c>
      <c r="Q3" s="126">
        <f t="shared" si="0"/>
        <v>3</v>
      </c>
      <c r="R3" s="126">
        <f t="shared" si="0"/>
        <v>4</v>
      </c>
      <c r="S3" s="126">
        <f t="shared" si="0"/>
        <v>5</v>
      </c>
      <c r="T3" s="51">
        <f t="shared" si="0"/>
        <v>6</v>
      </c>
      <c r="U3" s="126">
        <f t="shared" si="0"/>
        <v>7</v>
      </c>
      <c r="V3" s="51">
        <f t="shared" si="0"/>
        <v>1</v>
      </c>
      <c r="W3" s="126">
        <f t="shared" si="0"/>
        <v>2</v>
      </c>
      <c r="X3" s="126">
        <f t="shared" si="0"/>
        <v>3</v>
      </c>
      <c r="Y3" s="126">
        <f t="shared" si="0"/>
        <v>4</v>
      </c>
      <c r="Z3" s="126">
        <f t="shared" si="0"/>
        <v>5</v>
      </c>
      <c r="AA3" s="51">
        <f t="shared" si="0"/>
        <v>6</v>
      </c>
      <c r="AB3" s="126">
        <f t="shared" si="0"/>
        <v>7</v>
      </c>
      <c r="AC3" s="126">
        <f t="shared" si="0"/>
        <v>1</v>
      </c>
      <c r="AD3" s="126">
        <f t="shared" si="0"/>
        <v>2</v>
      </c>
      <c r="AE3" s="126">
        <f t="shared" si="0"/>
        <v>3</v>
      </c>
      <c r="AF3" s="126">
        <f t="shared" si="0"/>
        <v>4</v>
      </c>
      <c r="AG3" s="283"/>
      <c r="AH3" s="278"/>
      <c r="AI3" s="273"/>
      <c r="AJ3" s="62" t="e">
        <f ca="1">SUM(AH4:AH141)</f>
        <v>#NAME?</v>
      </c>
    </row>
    <row r="4" spans="1:36" ht="18" customHeight="1">
      <c r="A4" s="92" t="s">
        <v>174</v>
      </c>
      <c r="B4" s="93" t="s">
        <v>10</v>
      </c>
      <c r="C4" s="149"/>
      <c r="D4" s="153"/>
      <c r="E4" s="149"/>
      <c r="F4" s="149"/>
      <c r="G4" s="149"/>
      <c r="H4" s="149"/>
      <c r="I4" s="146"/>
      <c r="J4" s="149"/>
      <c r="K4" s="146"/>
      <c r="L4" s="149"/>
      <c r="M4" s="149"/>
      <c r="N4" s="149"/>
      <c r="O4" s="149"/>
      <c r="P4" s="146"/>
      <c r="Q4" s="149"/>
      <c r="R4" s="146"/>
      <c r="S4" s="149"/>
      <c r="T4" s="149"/>
      <c r="U4" s="149"/>
      <c r="V4" s="149"/>
      <c r="W4" s="146"/>
      <c r="X4" s="149"/>
      <c r="Y4" s="146"/>
      <c r="Z4" s="149"/>
      <c r="AA4" s="149"/>
      <c r="AB4" s="149"/>
      <c r="AC4" s="149"/>
      <c r="AD4" s="146"/>
      <c r="AE4" s="146"/>
      <c r="AF4" s="146"/>
      <c r="AG4" s="66">
        <f t="shared" ref="AG4:AG35" si="1">COUNTA(C4:AF4)</f>
        <v>0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2">B4</f>
        <v>阿發</v>
      </c>
      <c r="AJ4" s="70"/>
    </row>
    <row r="5" spans="1:36" ht="18" customHeight="1">
      <c r="A5" s="95" t="s">
        <v>174</v>
      </c>
      <c r="B5" s="122" t="s">
        <v>11</v>
      </c>
      <c r="C5" s="151"/>
      <c r="D5" s="153"/>
      <c r="E5" s="151"/>
      <c r="F5" s="151"/>
      <c r="G5" s="151">
        <v>1</v>
      </c>
      <c r="H5" s="151">
        <v>1</v>
      </c>
      <c r="I5" s="148"/>
      <c r="J5" s="151">
        <v>1</v>
      </c>
      <c r="K5" s="148"/>
      <c r="L5" s="151">
        <v>1</v>
      </c>
      <c r="M5" s="151"/>
      <c r="N5" s="151">
        <v>1</v>
      </c>
      <c r="O5" s="151">
        <v>1</v>
      </c>
      <c r="P5" s="148"/>
      <c r="Q5" s="151"/>
      <c r="R5" s="148"/>
      <c r="S5" s="151"/>
      <c r="T5" s="151"/>
      <c r="U5" s="151"/>
      <c r="V5" s="151">
        <v>1</v>
      </c>
      <c r="W5" s="148"/>
      <c r="X5" s="151">
        <v>1</v>
      </c>
      <c r="Y5" s="148"/>
      <c r="Z5" s="151">
        <v>1</v>
      </c>
      <c r="AA5" s="151"/>
      <c r="AB5" s="151"/>
      <c r="AC5" s="151"/>
      <c r="AD5" s="148"/>
      <c r="AE5" s="148"/>
      <c r="AF5" s="148"/>
      <c r="AG5" s="66">
        <f t="shared" si="1"/>
        <v>9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2"/>
        <v>捷升</v>
      </c>
      <c r="AJ5" s="70"/>
    </row>
    <row r="6" spans="1:36" ht="18" customHeight="1">
      <c r="A6" s="95" t="s">
        <v>174</v>
      </c>
      <c r="B6" s="122" t="s">
        <v>14</v>
      </c>
      <c r="C6" s="151">
        <v>1</v>
      </c>
      <c r="D6" s="153"/>
      <c r="E6" s="151">
        <v>1</v>
      </c>
      <c r="F6" s="151"/>
      <c r="G6" s="151"/>
      <c r="H6" s="151">
        <v>1</v>
      </c>
      <c r="I6" s="148"/>
      <c r="J6" s="151">
        <v>1</v>
      </c>
      <c r="K6" s="148"/>
      <c r="L6" s="151">
        <v>1</v>
      </c>
      <c r="M6" s="151">
        <v>1</v>
      </c>
      <c r="N6" s="151"/>
      <c r="O6" s="151"/>
      <c r="P6" s="148"/>
      <c r="Q6" s="151"/>
      <c r="R6" s="148"/>
      <c r="S6" s="151"/>
      <c r="T6" s="151"/>
      <c r="U6" s="151"/>
      <c r="V6" s="151">
        <v>1</v>
      </c>
      <c r="W6" s="148"/>
      <c r="X6" s="151">
        <v>1</v>
      </c>
      <c r="Y6" s="148"/>
      <c r="Z6" s="151">
        <v>1</v>
      </c>
      <c r="AA6" s="151"/>
      <c r="AB6" s="151">
        <v>1</v>
      </c>
      <c r="AC6" s="151">
        <v>1</v>
      </c>
      <c r="AD6" s="148"/>
      <c r="AE6" s="148"/>
      <c r="AF6" s="148"/>
      <c r="AG6" s="66">
        <f t="shared" si="1"/>
        <v>11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151"/>
      <c r="D7" s="153"/>
      <c r="E7" s="151">
        <v>1</v>
      </c>
      <c r="F7" s="151"/>
      <c r="G7" s="151"/>
      <c r="H7" s="151"/>
      <c r="I7" s="148"/>
      <c r="J7" s="151"/>
      <c r="K7" s="148"/>
      <c r="L7" s="151">
        <v>1</v>
      </c>
      <c r="M7" s="151">
        <v>1</v>
      </c>
      <c r="N7" s="151"/>
      <c r="O7" s="151"/>
      <c r="P7" s="148"/>
      <c r="Q7" s="151">
        <v>1</v>
      </c>
      <c r="R7" s="148"/>
      <c r="S7" s="151"/>
      <c r="T7" s="151"/>
      <c r="U7" s="151"/>
      <c r="V7" s="151"/>
      <c r="W7" s="148"/>
      <c r="X7" s="151">
        <v>1</v>
      </c>
      <c r="Y7" s="148"/>
      <c r="Z7" s="151">
        <v>1</v>
      </c>
      <c r="AA7" s="151"/>
      <c r="AB7" s="151"/>
      <c r="AC7" s="151"/>
      <c r="AD7" s="148"/>
      <c r="AE7" s="148"/>
      <c r="AF7" s="148"/>
      <c r="AG7" s="66">
        <f t="shared" si="1"/>
        <v>6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151"/>
      <c r="D8" s="153"/>
      <c r="E8" s="151">
        <v>1</v>
      </c>
      <c r="F8" s="151"/>
      <c r="G8" s="151"/>
      <c r="H8" s="151">
        <v>1</v>
      </c>
      <c r="I8" s="148"/>
      <c r="J8" s="151"/>
      <c r="K8" s="148"/>
      <c r="L8" s="151">
        <v>1</v>
      </c>
      <c r="M8" s="151"/>
      <c r="N8" s="151"/>
      <c r="O8" s="151">
        <v>1</v>
      </c>
      <c r="P8" s="148"/>
      <c r="Q8" s="151"/>
      <c r="R8" s="148"/>
      <c r="S8" s="151"/>
      <c r="T8" s="151"/>
      <c r="U8" s="151"/>
      <c r="V8" s="151">
        <v>1</v>
      </c>
      <c r="W8" s="148"/>
      <c r="X8" s="151"/>
      <c r="Y8" s="148"/>
      <c r="Z8" s="151"/>
      <c r="AA8" s="151">
        <v>1</v>
      </c>
      <c r="AB8" s="151"/>
      <c r="AC8" s="151"/>
      <c r="AD8" s="148"/>
      <c r="AE8" s="148"/>
      <c r="AF8" s="148"/>
      <c r="AG8" s="66">
        <f t="shared" si="1"/>
        <v>6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151"/>
      <c r="D9" s="153"/>
      <c r="E9" s="151"/>
      <c r="F9" s="151"/>
      <c r="G9" s="151">
        <v>1</v>
      </c>
      <c r="H9" s="151"/>
      <c r="I9" s="148"/>
      <c r="J9" s="151"/>
      <c r="K9" s="148"/>
      <c r="L9" s="151">
        <v>1</v>
      </c>
      <c r="M9" s="151"/>
      <c r="N9" s="151"/>
      <c r="O9" s="151">
        <v>1</v>
      </c>
      <c r="P9" s="148"/>
      <c r="Q9" s="151"/>
      <c r="R9" s="148"/>
      <c r="S9" s="151"/>
      <c r="T9" s="151">
        <v>1</v>
      </c>
      <c r="U9" s="151">
        <v>1</v>
      </c>
      <c r="V9" s="151"/>
      <c r="W9" s="148"/>
      <c r="X9" s="151"/>
      <c r="Y9" s="148"/>
      <c r="Z9" s="151">
        <v>1</v>
      </c>
      <c r="AA9" s="151"/>
      <c r="AB9" s="151"/>
      <c r="AC9" s="151"/>
      <c r="AD9" s="148"/>
      <c r="AE9" s="148"/>
      <c r="AF9" s="148"/>
      <c r="AG9" s="66">
        <f t="shared" si="1"/>
        <v>6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122" t="s">
        <v>13</v>
      </c>
      <c r="C10" s="151">
        <v>1</v>
      </c>
      <c r="D10" s="153"/>
      <c r="E10" s="151">
        <v>1</v>
      </c>
      <c r="F10" s="151"/>
      <c r="G10" s="151"/>
      <c r="H10" s="151">
        <v>1</v>
      </c>
      <c r="I10" s="148"/>
      <c r="J10" s="151">
        <v>1</v>
      </c>
      <c r="K10" s="148"/>
      <c r="L10" s="151">
        <v>1</v>
      </c>
      <c r="M10" s="151">
        <v>1</v>
      </c>
      <c r="N10" s="151"/>
      <c r="O10" s="151">
        <v>1</v>
      </c>
      <c r="P10" s="148"/>
      <c r="Q10" s="151"/>
      <c r="R10" s="148"/>
      <c r="S10" s="151"/>
      <c r="T10" s="151"/>
      <c r="U10" s="151"/>
      <c r="V10" s="151">
        <v>1</v>
      </c>
      <c r="W10" s="148"/>
      <c r="X10" s="151">
        <v>1</v>
      </c>
      <c r="Y10" s="148"/>
      <c r="Z10" s="151">
        <v>1</v>
      </c>
      <c r="AA10" s="151"/>
      <c r="AB10" s="151"/>
      <c r="AC10" s="151"/>
      <c r="AD10" s="148"/>
      <c r="AE10" s="148"/>
      <c r="AF10" s="148"/>
      <c r="AG10" s="66">
        <f t="shared" si="1"/>
        <v>10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2"/>
        <v>李洋</v>
      </c>
      <c r="AJ10" s="70"/>
    </row>
    <row r="11" spans="1:36" ht="18" customHeight="1">
      <c r="A11" s="95" t="s">
        <v>174</v>
      </c>
      <c r="B11" s="96" t="s">
        <v>18</v>
      </c>
      <c r="C11" s="151"/>
      <c r="D11" s="153"/>
      <c r="E11" s="151"/>
      <c r="F11" s="151"/>
      <c r="G11" s="151"/>
      <c r="H11" s="151"/>
      <c r="I11" s="148"/>
      <c r="J11" s="151"/>
      <c r="K11" s="148"/>
      <c r="L11" s="151">
        <v>1</v>
      </c>
      <c r="M11" s="151">
        <v>1</v>
      </c>
      <c r="N11" s="151"/>
      <c r="O11" s="151"/>
      <c r="P11" s="148"/>
      <c r="Q11" s="151"/>
      <c r="R11" s="148"/>
      <c r="S11" s="151"/>
      <c r="T11" s="151"/>
      <c r="U11" s="151"/>
      <c r="V11" s="151"/>
      <c r="W11" s="148"/>
      <c r="X11" s="151"/>
      <c r="Y11" s="148"/>
      <c r="Z11" s="151">
        <v>1</v>
      </c>
      <c r="AA11" s="151"/>
      <c r="AB11" s="151">
        <v>1</v>
      </c>
      <c r="AC11" s="151"/>
      <c r="AD11" s="148"/>
      <c r="AE11" s="148"/>
      <c r="AF11" s="148"/>
      <c r="AG11" s="66">
        <f t="shared" si="1"/>
        <v>4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122" t="s">
        <v>19</v>
      </c>
      <c r="C12" s="151"/>
      <c r="D12" s="153"/>
      <c r="E12" s="151">
        <v>1</v>
      </c>
      <c r="F12" s="151"/>
      <c r="G12" s="151"/>
      <c r="H12" s="151">
        <v>1</v>
      </c>
      <c r="I12" s="148"/>
      <c r="J12" s="151">
        <v>1</v>
      </c>
      <c r="K12" s="148"/>
      <c r="L12" s="151">
        <v>1</v>
      </c>
      <c r="M12" s="151">
        <v>1</v>
      </c>
      <c r="N12" s="151"/>
      <c r="O12" s="151">
        <v>1</v>
      </c>
      <c r="P12" s="148"/>
      <c r="Q12" s="151">
        <v>1</v>
      </c>
      <c r="R12" s="148"/>
      <c r="S12" s="151"/>
      <c r="T12" s="151"/>
      <c r="U12" s="151"/>
      <c r="V12" s="151">
        <v>1</v>
      </c>
      <c r="W12" s="148"/>
      <c r="X12" s="151">
        <v>1</v>
      </c>
      <c r="Y12" s="148"/>
      <c r="Z12" s="151">
        <v>1</v>
      </c>
      <c r="AA12" s="151"/>
      <c r="AB12" s="151"/>
      <c r="AC12" s="151"/>
      <c r="AD12" s="148"/>
      <c r="AE12" s="148"/>
      <c r="AF12" s="148"/>
      <c r="AG12" s="66">
        <f t="shared" si="1"/>
        <v>10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151"/>
      <c r="D13" s="153"/>
      <c r="E13" s="151"/>
      <c r="F13" s="151"/>
      <c r="G13" s="151">
        <v>1</v>
      </c>
      <c r="H13" s="151"/>
      <c r="I13" s="148"/>
      <c r="J13" s="151">
        <v>1</v>
      </c>
      <c r="K13" s="148"/>
      <c r="L13" s="151">
        <v>1</v>
      </c>
      <c r="M13" s="151">
        <v>1</v>
      </c>
      <c r="N13" s="151"/>
      <c r="O13" s="151">
        <v>1</v>
      </c>
      <c r="P13" s="148"/>
      <c r="Q13" s="151"/>
      <c r="R13" s="148"/>
      <c r="S13" s="151"/>
      <c r="T13" s="151"/>
      <c r="U13" s="151"/>
      <c r="V13" s="151"/>
      <c r="W13" s="148"/>
      <c r="X13" s="151"/>
      <c r="Y13" s="148"/>
      <c r="Z13" s="151"/>
      <c r="AA13" s="151"/>
      <c r="AB13" s="151">
        <v>1</v>
      </c>
      <c r="AC13" s="151">
        <v>1</v>
      </c>
      <c r="AD13" s="148"/>
      <c r="AE13" s="148"/>
      <c r="AF13" s="148"/>
      <c r="AG13" s="66">
        <f t="shared" si="1"/>
        <v>7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151"/>
      <c r="D14" s="153"/>
      <c r="E14" s="151"/>
      <c r="F14" s="151"/>
      <c r="G14" s="151"/>
      <c r="H14" s="151"/>
      <c r="I14" s="148"/>
      <c r="J14" s="151"/>
      <c r="K14" s="148"/>
      <c r="L14" s="151">
        <v>1</v>
      </c>
      <c r="M14" s="151"/>
      <c r="N14" s="151"/>
      <c r="O14" s="151"/>
      <c r="P14" s="148"/>
      <c r="Q14" s="151"/>
      <c r="R14" s="148"/>
      <c r="S14" s="151"/>
      <c r="T14" s="151"/>
      <c r="U14" s="151"/>
      <c r="V14" s="151"/>
      <c r="W14" s="148"/>
      <c r="X14" s="151"/>
      <c r="Y14" s="148"/>
      <c r="Z14" s="151">
        <v>1</v>
      </c>
      <c r="AA14" s="151"/>
      <c r="AB14" s="151"/>
      <c r="AC14" s="151"/>
      <c r="AD14" s="148"/>
      <c r="AE14" s="148"/>
      <c r="AF14" s="148"/>
      <c r="AG14" s="66">
        <f t="shared" si="1"/>
        <v>2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151"/>
      <c r="D15" s="153"/>
      <c r="E15" s="151"/>
      <c r="F15" s="151"/>
      <c r="G15" s="151">
        <v>1</v>
      </c>
      <c r="H15" s="151">
        <v>1</v>
      </c>
      <c r="I15" s="148"/>
      <c r="J15" s="151">
        <v>1</v>
      </c>
      <c r="K15" s="148"/>
      <c r="L15" s="151">
        <v>1</v>
      </c>
      <c r="M15" s="151">
        <v>1</v>
      </c>
      <c r="N15" s="151">
        <v>1</v>
      </c>
      <c r="O15" s="151">
        <v>1</v>
      </c>
      <c r="P15" s="148"/>
      <c r="Q15" s="151">
        <v>1</v>
      </c>
      <c r="R15" s="148"/>
      <c r="S15" s="151"/>
      <c r="T15" s="151">
        <v>1</v>
      </c>
      <c r="U15" s="151"/>
      <c r="V15" s="151">
        <v>1</v>
      </c>
      <c r="W15" s="148"/>
      <c r="X15" s="151">
        <v>1</v>
      </c>
      <c r="Y15" s="148"/>
      <c r="Z15" s="151">
        <v>1</v>
      </c>
      <c r="AA15" s="151"/>
      <c r="AB15" s="151"/>
      <c r="AC15" s="151"/>
      <c r="AD15" s="148"/>
      <c r="AE15" s="148"/>
      <c r="AF15" s="148"/>
      <c r="AG15" s="66">
        <f t="shared" si="1"/>
        <v>12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0"/>
    </row>
    <row r="16" spans="1:36" ht="18" customHeight="1">
      <c r="A16" s="95" t="s">
        <v>174</v>
      </c>
      <c r="B16" s="96" t="s">
        <v>21</v>
      </c>
      <c r="C16" s="151"/>
      <c r="D16" s="153"/>
      <c r="E16" s="151"/>
      <c r="F16" s="151"/>
      <c r="G16" s="151"/>
      <c r="H16" s="151"/>
      <c r="I16" s="148"/>
      <c r="J16" s="151"/>
      <c r="K16" s="148"/>
      <c r="L16" s="151">
        <v>1</v>
      </c>
      <c r="M16" s="151"/>
      <c r="N16" s="151">
        <v>1</v>
      </c>
      <c r="O16" s="151"/>
      <c r="P16" s="148"/>
      <c r="Q16" s="151"/>
      <c r="R16" s="148"/>
      <c r="S16" s="151"/>
      <c r="T16" s="151"/>
      <c r="U16" s="151"/>
      <c r="V16" s="151"/>
      <c r="W16" s="148"/>
      <c r="X16" s="151"/>
      <c r="Y16" s="148"/>
      <c r="Z16" s="151"/>
      <c r="AA16" s="151"/>
      <c r="AB16" s="151"/>
      <c r="AC16" s="151"/>
      <c r="AD16" s="148"/>
      <c r="AE16" s="148"/>
      <c r="AF16" s="148"/>
      <c r="AG16" s="66">
        <f t="shared" si="1"/>
        <v>2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151">
        <v>1</v>
      </c>
      <c r="D17" s="153"/>
      <c r="E17" s="151">
        <v>1</v>
      </c>
      <c r="F17" s="151"/>
      <c r="G17" s="151">
        <v>1</v>
      </c>
      <c r="H17" s="151">
        <v>1</v>
      </c>
      <c r="I17" s="148"/>
      <c r="J17" s="151">
        <v>1</v>
      </c>
      <c r="K17" s="148"/>
      <c r="L17" s="151">
        <v>1</v>
      </c>
      <c r="M17" s="151"/>
      <c r="N17" s="151">
        <v>1</v>
      </c>
      <c r="O17" s="151">
        <v>1</v>
      </c>
      <c r="P17" s="148"/>
      <c r="Q17" s="151">
        <v>1</v>
      </c>
      <c r="R17" s="148"/>
      <c r="S17" s="151"/>
      <c r="T17" s="151">
        <v>1</v>
      </c>
      <c r="U17" s="151"/>
      <c r="V17" s="151">
        <v>1</v>
      </c>
      <c r="W17" s="148"/>
      <c r="X17" s="151">
        <v>1</v>
      </c>
      <c r="Y17" s="148"/>
      <c r="Z17" s="151">
        <v>1</v>
      </c>
      <c r="AA17" s="151"/>
      <c r="AB17" s="151">
        <v>1</v>
      </c>
      <c r="AC17" s="151">
        <v>1</v>
      </c>
      <c r="AD17" s="148"/>
      <c r="AE17" s="148"/>
      <c r="AF17" s="148"/>
      <c r="AG17" s="66">
        <f t="shared" si="1"/>
        <v>15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99"/>
      <c r="D18" s="153"/>
      <c r="E18" s="99">
        <v>1</v>
      </c>
      <c r="F18" s="99"/>
      <c r="G18" s="99"/>
      <c r="H18" s="99">
        <v>1</v>
      </c>
      <c r="I18" s="148"/>
      <c r="J18" s="99"/>
      <c r="K18" s="148"/>
      <c r="L18" s="99">
        <v>1</v>
      </c>
      <c r="M18" s="99"/>
      <c r="N18" s="99"/>
      <c r="O18" s="99">
        <v>1</v>
      </c>
      <c r="P18" s="148"/>
      <c r="Q18" s="99"/>
      <c r="R18" s="148"/>
      <c r="S18" s="99"/>
      <c r="T18" s="99"/>
      <c r="U18" s="99"/>
      <c r="V18" s="99">
        <v>1</v>
      </c>
      <c r="W18" s="148"/>
      <c r="X18" s="99"/>
      <c r="Y18" s="148"/>
      <c r="Z18" s="99"/>
      <c r="AA18" s="99">
        <v>1</v>
      </c>
      <c r="AB18" s="99"/>
      <c r="AC18" s="99"/>
      <c r="AD18" s="148"/>
      <c r="AE18" s="148"/>
      <c r="AF18" s="148"/>
      <c r="AG18" s="66">
        <f t="shared" si="1"/>
        <v>6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99">
        <v>1</v>
      </c>
      <c r="D19" s="153"/>
      <c r="E19" s="99">
        <v>1</v>
      </c>
      <c r="F19" s="99"/>
      <c r="G19" s="99"/>
      <c r="H19" s="99">
        <v>1</v>
      </c>
      <c r="I19" s="148"/>
      <c r="J19" s="99"/>
      <c r="K19" s="148"/>
      <c r="L19" s="99">
        <v>1</v>
      </c>
      <c r="M19" s="99">
        <v>1</v>
      </c>
      <c r="N19" s="99"/>
      <c r="O19" s="99"/>
      <c r="P19" s="148"/>
      <c r="Q19" s="99"/>
      <c r="R19" s="148"/>
      <c r="S19" s="99"/>
      <c r="T19" s="99"/>
      <c r="U19" s="99"/>
      <c r="V19" s="99"/>
      <c r="W19" s="148"/>
      <c r="X19" s="99"/>
      <c r="Y19" s="148"/>
      <c r="Z19" s="99">
        <v>1</v>
      </c>
      <c r="AA19" s="99"/>
      <c r="AB19" s="99"/>
      <c r="AC19" s="99">
        <v>1</v>
      </c>
      <c r="AD19" s="148"/>
      <c r="AE19" s="148"/>
      <c r="AF19" s="148"/>
      <c r="AG19" s="66">
        <f t="shared" si="1"/>
        <v>7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174</v>
      </c>
      <c r="B20" s="100" t="s">
        <v>91</v>
      </c>
      <c r="C20" s="99"/>
      <c r="D20" s="153"/>
      <c r="E20" s="99"/>
      <c r="F20" s="99"/>
      <c r="G20" s="99"/>
      <c r="H20" s="99"/>
      <c r="I20" s="148"/>
      <c r="J20" s="99">
        <v>1</v>
      </c>
      <c r="K20" s="148"/>
      <c r="L20" s="99">
        <v>1</v>
      </c>
      <c r="M20" s="99">
        <v>1</v>
      </c>
      <c r="N20" s="99"/>
      <c r="O20" s="99"/>
      <c r="P20" s="148"/>
      <c r="Q20" s="99"/>
      <c r="R20" s="148"/>
      <c r="S20" s="99"/>
      <c r="T20" s="99"/>
      <c r="U20" s="99"/>
      <c r="V20" s="99"/>
      <c r="W20" s="148"/>
      <c r="X20" s="99"/>
      <c r="Y20" s="148"/>
      <c r="Z20" s="99"/>
      <c r="AA20" s="99"/>
      <c r="AB20" s="99"/>
      <c r="AC20" s="99"/>
      <c r="AD20" s="148"/>
      <c r="AE20" s="148"/>
      <c r="AF20" s="148"/>
      <c r="AG20" s="66">
        <f t="shared" si="1"/>
        <v>3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柔柔</v>
      </c>
      <c r="AJ20" s="80"/>
    </row>
    <row r="21" spans="1:36" ht="18" customHeight="1">
      <c r="A21" s="99" t="s">
        <v>174</v>
      </c>
      <c r="B21" s="100" t="s">
        <v>92</v>
      </c>
      <c r="C21" s="99"/>
      <c r="D21" s="153"/>
      <c r="E21" s="99">
        <v>1</v>
      </c>
      <c r="F21" s="99"/>
      <c r="G21" s="99">
        <v>1</v>
      </c>
      <c r="H21" s="99"/>
      <c r="I21" s="148"/>
      <c r="J21" s="99"/>
      <c r="K21" s="148"/>
      <c r="L21" s="99">
        <v>1</v>
      </c>
      <c r="M21" s="99">
        <v>1</v>
      </c>
      <c r="N21" s="99"/>
      <c r="O21" s="99"/>
      <c r="P21" s="148"/>
      <c r="Q21" s="99"/>
      <c r="R21" s="148"/>
      <c r="S21" s="99"/>
      <c r="T21" s="99"/>
      <c r="U21" s="99"/>
      <c r="V21" s="99"/>
      <c r="W21" s="148"/>
      <c r="X21" s="99"/>
      <c r="Y21" s="148"/>
      <c r="Z21" s="99">
        <v>1</v>
      </c>
      <c r="AA21" s="99"/>
      <c r="AB21" s="99">
        <v>1</v>
      </c>
      <c r="AC21" s="99"/>
      <c r="AD21" s="148"/>
      <c r="AE21" s="148"/>
      <c r="AF21" s="148"/>
      <c r="AG21" s="66">
        <f t="shared" si="1"/>
        <v>6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婉晴</v>
      </c>
      <c r="AJ21" s="80"/>
    </row>
    <row r="22" spans="1:36" ht="18" customHeight="1">
      <c r="A22" s="99" t="s">
        <v>174</v>
      </c>
      <c r="B22" s="100" t="s">
        <v>93</v>
      </c>
      <c r="C22" s="99"/>
      <c r="D22" s="153"/>
      <c r="E22" s="99"/>
      <c r="F22" s="99"/>
      <c r="G22" s="99"/>
      <c r="H22" s="99"/>
      <c r="I22" s="148"/>
      <c r="J22" s="99"/>
      <c r="K22" s="148"/>
      <c r="L22" s="99"/>
      <c r="M22" s="99"/>
      <c r="N22" s="99">
        <v>1</v>
      </c>
      <c r="O22" s="99">
        <v>1</v>
      </c>
      <c r="P22" s="148"/>
      <c r="Q22" s="99"/>
      <c r="R22" s="148"/>
      <c r="S22" s="99"/>
      <c r="T22" s="99"/>
      <c r="U22" s="99"/>
      <c r="V22" s="99">
        <v>1</v>
      </c>
      <c r="W22" s="148"/>
      <c r="X22" s="99"/>
      <c r="Y22" s="148"/>
      <c r="Z22" s="99">
        <v>1</v>
      </c>
      <c r="AA22" s="99"/>
      <c r="AB22" s="99"/>
      <c r="AC22" s="99"/>
      <c r="AD22" s="148"/>
      <c r="AE22" s="148"/>
      <c r="AF22" s="148"/>
      <c r="AG22" s="66">
        <f t="shared" si="1"/>
        <v>4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153"/>
      <c r="E23" s="99"/>
      <c r="F23" s="99"/>
      <c r="G23" s="99"/>
      <c r="H23" s="99"/>
      <c r="I23" s="148"/>
      <c r="J23" s="99"/>
      <c r="K23" s="148"/>
      <c r="L23" s="99"/>
      <c r="M23" s="99"/>
      <c r="N23" s="99"/>
      <c r="O23" s="99"/>
      <c r="P23" s="148"/>
      <c r="Q23" s="99"/>
      <c r="R23" s="148"/>
      <c r="S23" s="99"/>
      <c r="T23" s="99"/>
      <c r="U23" s="99"/>
      <c r="V23" s="99"/>
      <c r="W23" s="148"/>
      <c r="X23" s="99"/>
      <c r="Y23" s="148"/>
      <c r="Z23" s="99"/>
      <c r="AA23" s="99"/>
      <c r="AB23" s="99"/>
      <c r="AC23" s="99"/>
      <c r="AD23" s="148"/>
      <c r="AE23" s="148"/>
      <c r="AF23" s="148"/>
      <c r="AG23" s="66">
        <f t="shared" si="1"/>
        <v>0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153"/>
      <c r="E24" s="99"/>
      <c r="F24" s="99"/>
      <c r="G24" s="99"/>
      <c r="H24" s="99"/>
      <c r="I24" s="148"/>
      <c r="J24" s="99"/>
      <c r="K24" s="148"/>
      <c r="L24" s="99"/>
      <c r="M24" s="99"/>
      <c r="N24" s="99"/>
      <c r="O24" s="99"/>
      <c r="P24" s="148"/>
      <c r="Q24" s="99"/>
      <c r="R24" s="148"/>
      <c r="S24" s="99"/>
      <c r="T24" s="99">
        <v>1</v>
      </c>
      <c r="U24" s="99">
        <v>1</v>
      </c>
      <c r="V24" s="99">
        <v>1</v>
      </c>
      <c r="W24" s="148"/>
      <c r="X24" s="99">
        <v>1</v>
      </c>
      <c r="Y24" s="148"/>
      <c r="Z24" s="99"/>
      <c r="AA24" s="99"/>
      <c r="AB24" s="99"/>
      <c r="AC24" s="99"/>
      <c r="AD24" s="148"/>
      <c r="AE24" s="148"/>
      <c r="AF24" s="148"/>
      <c r="AG24" s="66">
        <f t="shared" si="1"/>
        <v>4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高麗菜</v>
      </c>
      <c r="AJ24" s="80"/>
    </row>
    <row r="25" spans="1:36" ht="18" customHeight="1">
      <c r="A25" s="99" t="s">
        <v>174</v>
      </c>
      <c r="B25" s="100" t="s">
        <v>113</v>
      </c>
      <c r="C25" s="99"/>
      <c r="D25" s="153"/>
      <c r="E25" s="99"/>
      <c r="F25" s="99"/>
      <c r="G25" s="99"/>
      <c r="H25" s="99"/>
      <c r="I25" s="148"/>
      <c r="J25" s="99"/>
      <c r="K25" s="148"/>
      <c r="L25" s="99"/>
      <c r="M25" s="99"/>
      <c r="N25" s="99"/>
      <c r="O25" s="99"/>
      <c r="P25" s="148"/>
      <c r="Q25" s="99"/>
      <c r="R25" s="148"/>
      <c r="S25" s="99"/>
      <c r="T25" s="99"/>
      <c r="U25" s="99"/>
      <c r="V25" s="99"/>
      <c r="W25" s="148"/>
      <c r="X25" s="99"/>
      <c r="Y25" s="148"/>
      <c r="Z25" s="99"/>
      <c r="AA25" s="99"/>
      <c r="AB25" s="99"/>
      <c r="AC25" s="99"/>
      <c r="AD25" s="148"/>
      <c r="AE25" s="148"/>
      <c r="AF25" s="148"/>
      <c r="AG25" s="66">
        <f t="shared" si="1"/>
        <v>0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容容</v>
      </c>
      <c r="AJ25" s="82"/>
    </row>
    <row r="26" spans="1:36" ht="18" customHeight="1">
      <c r="A26" s="99" t="s">
        <v>174</v>
      </c>
      <c r="B26" s="100" t="s">
        <v>94</v>
      </c>
      <c r="C26" s="99"/>
      <c r="D26" s="153"/>
      <c r="E26" s="99">
        <v>1</v>
      </c>
      <c r="F26" s="99"/>
      <c r="G26" s="99">
        <v>1</v>
      </c>
      <c r="H26" s="99"/>
      <c r="I26" s="148"/>
      <c r="J26" s="99"/>
      <c r="K26" s="148"/>
      <c r="L26" s="99">
        <v>1</v>
      </c>
      <c r="M26" s="99"/>
      <c r="N26" s="99"/>
      <c r="O26" s="99"/>
      <c r="P26" s="148"/>
      <c r="Q26" s="99"/>
      <c r="R26" s="148"/>
      <c r="S26" s="99"/>
      <c r="T26" s="99"/>
      <c r="U26" s="99"/>
      <c r="V26" s="99"/>
      <c r="W26" s="148"/>
      <c r="X26" s="99"/>
      <c r="Y26" s="148"/>
      <c r="Z26" s="99">
        <v>1</v>
      </c>
      <c r="AA26" s="99"/>
      <c r="AB26" s="99"/>
      <c r="AC26" s="99"/>
      <c r="AD26" s="148"/>
      <c r="AE26" s="148"/>
      <c r="AF26" s="148"/>
      <c r="AG26" s="66">
        <f t="shared" si="1"/>
        <v>4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小花</v>
      </c>
      <c r="AJ26" s="80"/>
    </row>
    <row r="27" spans="1:36" ht="18" customHeight="1">
      <c r="A27" s="99" t="s">
        <v>174</v>
      </c>
      <c r="B27" s="100" t="s">
        <v>95</v>
      </c>
      <c r="C27" s="99"/>
      <c r="D27" s="153"/>
      <c r="E27" s="99">
        <v>1</v>
      </c>
      <c r="F27" s="99"/>
      <c r="G27" s="99"/>
      <c r="H27" s="99">
        <v>1</v>
      </c>
      <c r="I27" s="148"/>
      <c r="J27" s="99"/>
      <c r="K27" s="148"/>
      <c r="L27" s="99">
        <v>1</v>
      </c>
      <c r="M27" s="99"/>
      <c r="N27" s="99">
        <v>1</v>
      </c>
      <c r="O27" s="99">
        <v>1</v>
      </c>
      <c r="P27" s="148"/>
      <c r="Q27" s="99">
        <v>1</v>
      </c>
      <c r="R27" s="148"/>
      <c r="S27" s="99"/>
      <c r="T27" s="99"/>
      <c r="U27" s="99"/>
      <c r="V27" s="99">
        <v>1</v>
      </c>
      <c r="W27" s="148"/>
      <c r="X27" s="99">
        <v>1</v>
      </c>
      <c r="Y27" s="148"/>
      <c r="Z27" s="99">
        <v>1</v>
      </c>
      <c r="AA27" s="99"/>
      <c r="AB27" s="99"/>
      <c r="AC27" s="99"/>
      <c r="AD27" s="148"/>
      <c r="AE27" s="148"/>
      <c r="AF27" s="148"/>
      <c r="AG27" s="66">
        <f t="shared" si="1"/>
        <v>9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2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153"/>
      <c r="E28" s="99"/>
      <c r="F28" s="99"/>
      <c r="G28" s="99"/>
      <c r="H28" s="99"/>
      <c r="I28" s="148"/>
      <c r="J28" s="99"/>
      <c r="K28" s="148"/>
      <c r="L28" s="99">
        <v>1</v>
      </c>
      <c r="M28" s="99"/>
      <c r="N28" s="99"/>
      <c r="O28" s="99"/>
      <c r="P28" s="148"/>
      <c r="Q28" s="99"/>
      <c r="R28" s="148"/>
      <c r="S28" s="99"/>
      <c r="T28" s="99"/>
      <c r="U28" s="99"/>
      <c r="V28" s="99"/>
      <c r="W28" s="148"/>
      <c r="X28" s="99"/>
      <c r="Y28" s="148"/>
      <c r="Z28" s="99"/>
      <c r="AA28" s="99"/>
      <c r="AB28" s="99"/>
      <c r="AC28" s="99"/>
      <c r="AD28" s="148"/>
      <c r="AE28" s="148"/>
      <c r="AF28" s="148"/>
      <c r="AG28" s="66">
        <f t="shared" si="1"/>
        <v>1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2"/>
        <v>飛飛</v>
      </c>
      <c r="AJ28" s="81"/>
    </row>
    <row r="29" spans="1:36" ht="18" customHeight="1">
      <c r="A29" s="99" t="s">
        <v>174</v>
      </c>
      <c r="B29" s="100" t="s">
        <v>147</v>
      </c>
      <c r="C29" s="99"/>
      <c r="D29" s="153"/>
      <c r="E29" s="99"/>
      <c r="F29" s="99"/>
      <c r="G29" s="99"/>
      <c r="H29" s="99"/>
      <c r="I29" s="148"/>
      <c r="J29" s="99"/>
      <c r="K29" s="148"/>
      <c r="L29" s="99"/>
      <c r="M29" s="99"/>
      <c r="N29" s="99"/>
      <c r="O29" s="99"/>
      <c r="P29" s="148"/>
      <c r="Q29" s="99"/>
      <c r="R29" s="148"/>
      <c r="S29" s="99"/>
      <c r="T29" s="99"/>
      <c r="U29" s="99"/>
      <c r="V29" s="99"/>
      <c r="W29" s="148"/>
      <c r="X29" s="99"/>
      <c r="Y29" s="148"/>
      <c r="Z29" s="99"/>
      <c r="AA29" s="99"/>
      <c r="AB29" s="99"/>
      <c r="AC29" s="99"/>
      <c r="AD29" s="148"/>
      <c r="AE29" s="148"/>
      <c r="AF29" s="148"/>
      <c r="AG29" s="66">
        <f t="shared" si="1"/>
        <v>0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2"/>
        <v>湘苡</v>
      </c>
      <c r="AJ29" s="80"/>
    </row>
    <row r="30" spans="1:36" ht="18" customHeight="1">
      <c r="A30" s="99" t="s">
        <v>174</v>
      </c>
      <c r="B30" s="100" t="s">
        <v>148</v>
      </c>
      <c r="C30" s="99"/>
      <c r="D30" s="153"/>
      <c r="E30" s="99"/>
      <c r="F30" s="99"/>
      <c r="G30" s="99"/>
      <c r="H30" s="99"/>
      <c r="I30" s="148"/>
      <c r="J30" s="99"/>
      <c r="K30" s="148"/>
      <c r="L30" s="99"/>
      <c r="M30" s="99"/>
      <c r="N30" s="99"/>
      <c r="O30" s="99"/>
      <c r="P30" s="148"/>
      <c r="Q30" s="99"/>
      <c r="R30" s="148"/>
      <c r="S30" s="99"/>
      <c r="T30" s="99"/>
      <c r="U30" s="99"/>
      <c r="V30" s="99"/>
      <c r="W30" s="148"/>
      <c r="X30" s="99"/>
      <c r="Y30" s="148"/>
      <c r="Z30" s="99"/>
      <c r="AA30" s="99"/>
      <c r="AB30" s="99"/>
      <c r="AC30" s="99"/>
      <c r="AD30" s="148"/>
      <c r="AE30" s="148"/>
      <c r="AF30" s="148"/>
      <c r="AG30" s="66">
        <f t="shared" si="1"/>
        <v>0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2"/>
        <v>雅雅</v>
      </c>
      <c r="AJ30" s="82"/>
    </row>
    <row r="31" spans="1:36" ht="18" customHeight="1">
      <c r="A31" s="101" t="s">
        <v>174</v>
      </c>
      <c r="B31" s="102" t="s">
        <v>103</v>
      </c>
      <c r="C31" s="101">
        <v>1</v>
      </c>
      <c r="D31" s="153"/>
      <c r="E31" s="101">
        <v>1</v>
      </c>
      <c r="F31" s="101"/>
      <c r="G31" s="101">
        <v>1</v>
      </c>
      <c r="H31" s="101">
        <v>1</v>
      </c>
      <c r="I31" s="148"/>
      <c r="J31" s="101">
        <v>1</v>
      </c>
      <c r="K31" s="148"/>
      <c r="L31" s="101">
        <v>1</v>
      </c>
      <c r="M31" s="101">
        <v>1</v>
      </c>
      <c r="N31" s="101">
        <v>1</v>
      </c>
      <c r="O31" s="101">
        <v>1</v>
      </c>
      <c r="P31" s="148"/>
      <c r="Q31" s="101">
        <v>1</v>
      </c>
      <c r="R31" s="148"/>
      <c r="S31" s="101"/>
      <c r="T31" s="101">
        <v>1</v>
      </c>
      <c r="U31" s="101">
        <v>1</v>
      </c>
      <c r="V31" s="101">
        <v>1</v>
      </c>
      <c r="W31" s="148"/>
      <c r="X31" s="101">
        <v>1</v>
      </c>
      <c r="Y31" s="148"/>
      <c r="Z31" s="101">
        <v>1</v>
      </c>
      <c r="AA31" s="101"/>
      <c r="AB31" s="101">
        <v>1</v>
      </c>
      <c r="AC31" s="101">
        <v>1</v>
      </c>
      <c r="AD31" s="148"/>
      <c r="AE31" s="148"/>
      <c r="AF31" s="148"/>
      <c r="AG31" s="66">
        <f t="shared" si="1"/>
        <v>17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圈圈</v>
      </c>
      <c r="AJ31" s="90"/>
    </row>
    <row r="32" spans="1:36" ht="18" customHeight="1">
      <c r="A32" s="101" t="s">
        <v>174</v>
      </c>
      <c r="B32" s="102" t="s">
        <v>104</v>
      </c>
      <c r="C32" s="101"/>
      <c r="D32" s="153"/>
      <c r="E32" s="101"/>
      <c r="F32" s="101"/>
      <c r="G32" s="101">
        <v>1</v>
      </c>
      <c r="H32" s="101"/>
      <c r="I32" s="148"/>
      <c r="J32" s="101"/>
      <c r="K32" s="148"/>
      <c r="L32" s="101"/>
      <c r="M32" s="101"/>
      <c r="N32" s="101"/>
      <c r="O32" s="101"/>
      <c r="P32" s="148"/>
      <c r="Q32" s="101"/>
      <c r="R32" s="148"/>
      <c r="S32" s="101"/>
      <c r="T32" s="101"/>
      <c r="U32" s="101"/>
      <c r="V32" s="101"/>
      <c r="W32" s="148"/>
      <c r="X32" s="101"/>
      <c r="Y32" s="148"/>
      <c r="Z32" s="101"/>
      <c r="AA32" s="101"/>
      <c r="AB32" s="101"/>
      <c r="AC32" s="101"/>
      <c r="AD32" s="148"/>
      <c r="AE32" s="148"/>
      <c r="AF32" s="148"/>
      <c r="AG32" s="66">
        <f t="shared" si="1"/>
        <v>1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2"/>
        <v>卡丘</v>
      </c>
      <c r="AJ32" s="90"/>
    </row>
    <row r="33" spans="1:36" ht="18" customHeight="1">
      <c r="A33" s="101" t="s">
        <v>174</v>
      </c>
      <c r="B33" s="102" t="s">
        <v>105</v>
      </c>
      <c r="C33" s="101"/>
      <c r="D33" s="153"/>
      <c r="E33" s="101">
        <v>1</v>
      </c>
      <c r="F33" s="101"/>
      <c r="G33" s="101"/>
      <c r="H33" s="101">
        <v>1</v>
      </c>
      <c r="I33" s="148"/>
      <c r="J33" s="101">
        <v>1</v>
      </c>
      <c r="K33" s="148"/>
      <c r="L33" s="101"/>
      <c r="M33" s="101"/>
      <c r="N33" s="101"/>
      <c r="O33" s="101"/>
      <c r="P33" s="148"/>
      <c r="Q33" s="101"/>
      <c r="R33" s="148"/>
      <c r="S33" s="101"/>
      <c r="T33" s="101"/>
      <c r="U33" s="101"/>
      <c r="V33" s="101"/>
      <c r="W33" s="148"/>
      <c r="X33" s="101"/>
      <c r="Y33" s="148"/>
      <c r="Z33" s="101">
        <v>1</v>
      </c>
      <c r="AA33" s="101"/>
      <c r="AB33" s="101"/>
      <c r="AC33" s="101"/>
      <c r="AD33" s="148"/>
      <c r="AE33" s="148"/>
      <c r="AF33" s="148"/>
      <c r="AG33" s="66">
        <f t="shared" si="1"/>
        <v>4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2"/>
        <v>琬蓁</v>
      </c>
      <c r="AJ33" s="90"/>
    </row>
    <row r="34" spans="1:36" ht="18" customHeight="1">
      <c r="A34" s="101" t="s">
        <v>174</v>
      </c>
      <c r="B34" s="102" t="s">
        <v>116</v>
      </c>
      <c r="C34" s="101"/>
      <c r="D34" s="153"/>
      <c r="E34" s="101"/>
      <c r="F34" s="101"/>
      <c r="G34" s="101"/>
      <c r="H34" s="101"/>
      <c r="I34" s="148"/>
      <c r="J34" s="101"/>
      <c r="K34" s="148"/>
      <c r="L34" s="101"/>
      <c r="M34" s="101"/>
      <c r="N34" s="101"/>
      <c r="O34" s="101">
        <v>1</v>
      </c>
      <c r="P34" s="148"/>
      <c r="Q34" s="101"/>
      <c r="R34" s="148"/>
      <c r="S34" s="101"/>
      <c r="T34" s="101"/>
      <c r="U34" s="101"/>
      <c r="V34" s="101"/>
      <c r="W34" s="148"/>
      <c r="X34" s="101">
        <v>1</v>
      </c>
      <c r="Y34" s="148"/>
      <c r="Z34" s="101"/>
      <c r="AA34" s="101"/>
      <c r="AB34" s="101"/>
      <c r="AC34" s="101"/>
      <c r="AD34" s="148"/>
      <c r="AE34" s="148"/>
      <c r="AF34" s="148"/>
      <c r="AG34" s="66">
        <f t="shared" si="1"/>
        <v>2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2"/>
        <v>大汪</v>
      </c>
      <c r="AJ34" s="89"/>
    </row>
    <row r="35" spans="1:36" ht="18" customHeight="1">
      <c r="A35" s="101" t="s">
        <v>174</v>
      </c>
      <c r="B35" s="102" t="s">
        <v>117</v>
      </c>
      <c r="C35" s="101"/>
      <c r="D35" s="153"/>
      <c r="E35" s="101"/>
      <c r="F35" s="101"/>
      <c r="G35" s="101"/>
      <c r="H35" s="101"/>
      <c r="I35" s="148"/>
      <c r="J35" s="101"/>
      <c r="K35" s="148"/>
      <c r="L35" s="101"/>
      <c r="M35" s="101"/>
      <c r="N35" s="101"/>
      <c r="O35" s="101"/>
      <c r="P35" s="148"/>
      <c r="Q35" s="101"/>
      <c r="R35" s="148"/>
      <c r="S35" s="101"/>
      <c r="T35" s="101"/>
      <c r="U35" s="101"/>
      <c r="V35" s="101"/>
      <c r="W35" s="148"/>
      <c r="X35" s="101"/>
      <c r="Y35" s="148"/>
      <c r="Z35" s="101"/>
      <c r="AA35" s="101"/>
      <c r="AB35" s="101"/>
      <c r="AC35" s="101"/>
      <c r="AD35" s="148"/>
      <c r="AE35" s="148"/>
      <c r="AF35" s="148"/>
      <c r="AG35" s="66">
        <f t="shared" si="1"/>
        <v>0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2"/>
        <v>依凡</v>
      </c>
      <c r="AJ35" s="89"/>
    </row>
    <row r="36" spans="1:36" ht="18" customHeight="1">
      <c r="A36" s="101" t="s">
        <v>174</v>
      </c>
      <c r="B36" s="102" t="s">
        <v>118</v>
      </c>
      <c r="C36" s="101"/>
      <c r="D36" s="153"/>
      <c r="E36" s="101"/>
      <c r="F36" s="101"/>
      <c r="G36" s="101"/>
      <c r="H36" s="101"/>
      <c r="I36" s="148"/>
      <c r="J36" s="101"/>
      <c r="K36" s="148"/>
      <c r="L36" s="101"/>
      <c r="M36" s="101"/>
      <c r="N36" s="101"/>
      <c r="O36" s="101"/>
      <c r="P36" s="148"/>
      <c r="Q36" s="101"/>
      <c r="R36" s="148"/>
      <c r="S36" s="101"/>
      <c r="T36" s="101"/>
      <c r="U36" s="101"/>
      <c r="V36" s="101"/>
      <c r="W36" s="148"/>
      <c r="X36" s="101"/>
      <c r="Y36" s="148"/>
      <c r="Z36" s="101"/>
      <c r="AA36" s="101"/>
      <c r="AB36" s="101"/>
      <c r="AC36" s="101"/>
      <c r="AD36" s="148"/>
      <c r="AE36" s="148"/>
      <c r="AF36" s="148"/>
      <c r="AG36" s="66">
        <f t="shared" ref="AG36:AG67" si="3">COUNTA(C36:AF36)</f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4">B36</f>
        <v>雅筑</v>
      </c>
      <c r="AJ36" s="89"/>
    </row>
    <row r="37" spans="1:36" ht="18" customHeight="1">
      <c r="A37" s="101" t="s">
        <v>174</v>
      </c>
      <c r="B37" s="102" t="s">
        <v>119</v>
      </c>
      <c r="C37" s="101"/>
      <c r="D37" s="153"/>
      <c r="E37" s="101"/>
      <c r="F37" s="101"/>
      <c r="G37" s="101"/>
      <c r="H37" s="101"/>
      <c r="I37" s="148"/>
      <c r="J37" s="101"/>
      <c r="K37" s="148"/>
      <c r="L37" s="101"/>
      <c r="M37" s="101"/>
      <c r="N37" s="101"/>
      <c r="O37" s="101"/>
      <c r="P37" s="148"/>
      <c r="Q37" s="101"/>
      <c r="R37" s="148"/>
      <c r="S37" s="101"/>
      <c r="T37" s="101"/>
      <c r="U37" s="101"/>
      <c r="V37" s="101"/>
      <c r="W37" s="148"/>
      <c r="X37" s="101"/>
      <c r="Y37" s="148"/>
      <c r="Z37" s="101"/>
      <c r="AA37" s="101"/>
      <c r="AB37" s="101"/>
      <c r="AC37" s="101"/>
      <c r="AD37" s="148"/>
      <c r="AE37" s="148"/>
      <c r="AF37" s="148"/>
      <c r="AG37" s="66">
        <f t="shared" si="3"/>
        <v>0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4"/>
        <v>ABBY</v>
      </c>
      <c r="AJ37" s="90"/>
    </row>
    <row r="38" spans="1:36" ht="18" customHeight="1">
      <c r="A38" s="101" t="s">
        <v>174</v>
      </c>
      <c r="B38" s="102" t="s">
        <v>120</v>
      </c>
      <c r="C38" s="101"/>
      <c r="D38" s="153"/>
      <c r="E38" s="101"/>
      <c r="F38" s="101"/>
      <c r="G38" s="101"/>
      <c r="H38" s="101"/>
      <c r="I38" s="148"/>
      <c r="J38" s="101"/>
      <c r="K38" s="148"/>
      <c r="L38" s="101"/>
      <c r="M38" s="101"/>
      <c r="N38" s="101"/>
      <c r="O38" s="101"/>
      <c r="P38" s="148"/>
      <c r="Q38" s="101"/>
      <c r="R38" s="148"/>
      <c r="S38" s="101"/>
      <c r="T38" s="101"/>
      <c r="U38" s="101"/>
      <c r="V38" s="101"/>
      <c r="W38" s="148"/>
      <c r="X38" s="101"/>
      <c r="Y38" s="148"/>
      <c r="Z38" s="101"/>
      <c r="AA38" s="101">
        <v>1</v>
      </c>
      <c r="AB38" s="101"/>
      <c r="AC38" s="101"/>
      <c r="AD38" s="148"/>
      <c r="AE38" s="148"/>
      <c r="AF38" s="148"/>
      <c r="AG38" s="66">
        <f t="shared" si="3"/>
        <v>1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4"/>
        <v>品君</v>
      </c>
      <c r="AJ38" s="90"/>
    </row>
    <row r="39" spans="1:36" ht="18" customHeight="1">
      <c r="A39" s="101" t="s">
        <v>174</v>
      </c>
      <c r="B39" s="102" t="s">
        <v>121</v>
      </c>
      <c r="C39" s="101">
        <v>1</v>
      </c>
      <c r="D39" s="153"/>
      <c r="E39" s="101"/>
      <c r="F39" s="101"/>
      <c r="G39" s="101">
        <v>1</v>
      </c>
      <c r="H39" s="101"/>
      <c r="I39" s="148"/>
      <c r="J39" s="101">
        <v>1</v>
      </c>
      <c r="K39" s="148"/>
      <c r="L39" s="101">
        <v>1</v>
      </c>
      <c r="M39" s="101">
        <v>1</v>
      </c>
      <c r="N39" s="101">
        <v>1</v>
      </c>
      <c r="O39" s="101"/>
      <c r="P39" s="148"/>
      <c r="Q39" s="101"/>
      <c r="R39" s="148"/>
      <c r="S39" s="101"/>
      <c r="T39" s="101"/>
      <c r="U39" s="101">
        <v>1</v>
      </c>
      <c r="V39" s="101">
        <v>1</v>
      </c>
      <c r="W39" s="148"/>
      <c r="X39" s="101">
        <v>1</v>
      </c>
      <c r="Y39" s="148"/>
      <c r="Z39" s="101">
        <v>1</v>
      </c>
      <c r="AA39" s="101"/>
      <c r="AB39" s="101"/>
      <c r="AC39" s="101"/>
      <c r="AD39" s="148"/>
      <c r="AE39" s="148"/>
      <c r="AF39" s="148"/>
      <c r="AG39" s="66">
        <f t="shared" si="3"/>
        <v>10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4"/>
        <v>冰沙</v>
      </c>
      <c r="AJ39" s="90"/>
    </row>
    <row r="40" spans="1:36" ht="18" customHeight="1">
      <c r="A40" s="101" t="s">
        <v>174</v>
      </c>
      <c r="B40" s="102" t="s">
        <v>122</v>
      </c>
      <c r="C40" s="101"/>
      <c r="D40" s="153"/>
      <c r="E40" s="101"/>
      <c r="F40" s="101"/>
      <c r="G40" s="101"/>
      <c r="H40" s="101"/>
      <c r="I40" s="148"/>
      <c r="J40" s="101"/>
      <c r="K40" s="148"/>
      <c r="L40" s="101"/>
      <c r="M40" s="101"/>
      <c r="N40" s="101"/>
      <c r="O40" s="101"/>
      <c r="P40" s="148"/>
      <c r="Q40" s="101"/>
      <c r="R40" s="148"/>
      <c r="S40" s="101"/>
      <c r="T40" s="101"/>
      <c r="U40" s="101"/>
      <c r="V40" s="101"/>
      <c r="W40" s="148"/>
      <c r="X40" s="101"/>
      <c r="Y40" s="148"/>
      <c r="Z40" s="101"/>
      <c r="AA40" s="101"/>
      <c r="AB40" s="101"/>
      <c r="AC40" s="101"/>
      <c r="AD40" s="148"/>
      <c r="AE40" s="148"/>
      <c r="AF40" s="148"/>
      <c r="AG40" s="66">
        <f t="shared" si="3"/>
        <v>0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4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153"/>
      <c r="E41" s="101"/>
      <c r="F41" s="101"/>
      <c r="G41" s="101"/>
      <c r="H41" s="101"/>
      <c r="I41" s="148"/>
      <c r="J41" s="101"/>
      <c r="K41" s="148"/>
      <c r="L41" s="101"/>
      <c r="M41" s="101"/>
      <c r="N41" s="101"/>
      <c r="O41" s="101"/>
      <c r="P41" s="148"/>
      <c r="Q41" s="101"/>
      <c r="R41" s="148"/>
      <c r="S41" s="101"/>
      <c r="T41" s="101"/>
      <c r="U41" s="101"/>
      <c r="V41" s="101"/>
      <c r="W41" s="148"/>
      <c r="X41" s="101"/>
      <c r="Y41" s="148"/>
      <c r="Z41" s="101"/>
      <c r="AA41" s="101"/>
      <c r="AB41" s="101"/>
      <c r="AC41" s="101"/>
      <c r="AD41" s="148"/>
      <c r="AE41" s="148"/>
      <c r="AF41" s="148"/>
      <c r="AG41" s="66">
        <f t="shared" si="3"/>
        <v>0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4"/>
        <v>瑤瑤</v>
      </c>
      <c r="AJ41" s="89"/>
    </row>
    <row r="42" spans="1:36" ht="18" customHeight="1">
      <c r="A42" s="95" t="s">
        <v>58</v>
      </c>
      <c r="B42" s="96" t="s">
        <v>23</v>
      </c>
      <c r="C42" s="120"/>
      <c r="D42" s="153"/>
      <c r="E42" s="120">
        <v>1</v>
      </c>
      <c r="F42" s="120"/>
      <c r="G42" s="120">
        <v>1</v>
      </c>
      <c r="H42" s="120"/>
      <c r="I42" s="148"/>
      <c r="J42" s="120">
        <v>1</v>
      </c>
      <c r="K42" s="148"/>
      <c r="L42" s="120"/>
      <c r="M42" s="120">
        <v>1</v>
      </c>
      <c r="N42" s="120"/>
      <c r="O42" s="120">
        <v>1</v>
      </c>
      <c r="P42" s="148"/>
      <c r="Q42" s="120"/>
      <c r="R42" s="148"/>
      <c r="S42" s="120"/>
      <c r="T42" s="120"/>
      <c r="U42" s="120"/>
      <c r="V42" s="120"/>
      <c r="W42" s="148"/>
      <c r="X42" s="120"/>
      <c r="Y42" s="148"/>
      <c r="Z42" s="120">
        <v>1</v>
      </c>
      <c r="AA42" s="120"/>
      <c r="AB42" s="120"/>
      <c r="AC42" s="120"/>
      <c r="AD42" s="148"/>
      <c r="AE42" s="148"/>
      <c r="AF42" s="148"/>
      <c r="AG42" s="66">
        <f t="shared" si="3"/>
        <v>6</v>
      </c>
      <c r="AH42" s="68" t="e">
        <f ca="1">(IF(A42="O", (VALUE(_xludf.IFS(AG42=0,"0",AG42=1,"150",AG42=2,"300",AG42=3,"450",AG42=4,"600",AG42=5,"750",AG42&gt;=6,"800"))),(VALUE(_xludf.IFS(AG42=0,"0",AG42=1,"150",AG42=2,"300",AG42=3,"450",AG42=4,"600",AG42=5,"750",AG42=6,"900",AG42&gt;=7,"1,000")))))</f>
        <v>#NAME?</v>
      </c>
      <c r="AI42" s="69" t="str">
        <f t="shared" si="4"/>
        <v>ㄈㄈ</v>
      </c>
      <c r="AJ42" s="73"/>
    </row>
    <row r="43" spans="1:36" ht="18" customHeight="1">
      <c r="A43" s="95" t="s">
        <v>58</v>
      </c>
      <c r="B43" s="96" t="s">
        <v>24</v>
      </c>
      <c r="C43" s="120"/>
      <c r="D43" s="153"/>
      <c r="E43" s="120">
        <v>1</v>
      </c>
      <c r="F43" s="120"/>
      <c r="G43" s="120"/>
      <c r="H43" s="120"/>
      <c r="I43" s="148"/>
      <c r="J43" s="120">
        <v>1</v>
      </c>
      <c r="K43" s="148"/>
      <c r="L43" s="120"/>
      <c r="M43" s="120">
        <v>1</v>
      </c>
      <c r="N43" s="120"/>
      <c r="O43" s="120">
        <v>1</v>
      </c>
      <c r="P43" s="148"/>
      <c r="Q43" s="120"/>
      <c r="R43" s="148"/>
      <c r="S43" s="120"/>
      <c r="T43" s="120">
        <v>1</v>
      </c>
      <c r="U43" s="120"/>
      <c r="V43" s="120">
        <v>1</v>
      </c>
      <c r="W43" s="148"/>
      <c r="X43" s="120"/>
      <c r="Y43" s="148"/>
      <c r="Z43" s="120"/>
      <c r="AA43" s="120"/>
      <c r="AB43" s="120"/>
      <c r="AC43" s="120"/>
      <c r="AD43" s="148"/>
      <c r="AE43" s="148"/>
      <c r="AF43" s="148"/>
      <c r="AG43" s="66">
        <f t="shared" si="3"/>
        <v>6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4"/>
        <v>大熊</v>
      </c>
      <c r="AJ43" s="73"/>
    </row>
    <row r="44" spans="1:36" ht="18" customHeight="1">
      <c r="A44" s="95" t="s">
        <v>58</v>
      </c>
      <c r="B44" s="96" t="s">
        <v>64</v>
      </c>
      <c r="C44" s="120"/>
      <c r="D44" s="153"/>
      <c r="E44" s="120">
        <v>1</v>
      </c>
      <c r="F44" s="120"/>
      <c r="G44" s="120"/>
      <c r="H44" s="120">
        <v>1</v>
      </c>
      <c r="I44" s="148"/>
      <c r="J44" s="120"/>
      <c r="K44" s="148"/>
      <c r="L44" s="120"/>
      <c r="M44" s="120"/>
      <c r="N44" s="120"/>
      <c r="O44" s="120"/>
      <c r="P44" s="148"/>
      <c r="Q44" s="120">
        <v>1</v>
      </c>
      <c r="R44" s="148"/>
      <c r="S44" s="120"/>
      <c r="T44" s="120"/>
      <c r="U44" s="120"/>
      <c r="V44" s="120"/>
      <c r="W44" s="148"/>
      <c r="X44" s="120">
        <v>1</v>
      </c>
      <c r="Y44" s="148"/>
      <c r="Z44" s="120"/>
      <c r="AA44" s="120"/>
      <c r="AB44" s="120"/>
      <c r="AC44" s="120"/>
      <c r="AD44" s="148"/>
      <c r="AE44" s="148"/>
      <c r="AF44" s="148"/>
      <c r="AG44" s="66">
        <f t="shared" si="3"/>
        <v>4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4"/>
        <v>園棠</v>
      </c>
      <c r="AJ44" s="73"/>
    </row>
    <row r="45" spans="1:36" ht="18" customHeight="1">
      <c r="A45" s="95" t="s">
        <v>58</v>
      </c>
      <c r="B45" s="96" t="s">
        <v>178</v>
      </c>
      <c r="C45" s="120"/>
      <c r="D45" s="153"/>
      <c r="E45" s="120">
        <v>1</v>
      </c>
      <c r="F45" s="120"/>
      <c r="G45" s="120">
        <v>1</v>
      </c>
      <c r="H45" s="120"/>
      <c r="I45" s="148"/>
      <c r="J45" s="120">
        <v>1</v>
      </c>
      <c r="K45" s="148"/>
      <c r="L45" s="120"/>
      <c r="M45" s="120">
        <v>1</v>
      </c>
      <c r="N45" s="120"/>
      <c r="O45" s="120">
        <v>1</v>
      </c>
      <c r="P45" s="148"/>
      <c r="Q45" s="120"/>
      <c r="R45" s="148"/>
      <c r="S45" s="120"/>
      <c r="T45" s="120"/>
      <c r="U45" s="120"/>
      <c r="V45" s="120">
        <v>1</v>
      </c>
      <c r="W45" s="148"/>
      <c r="X45" s="120">
        <v>1</v>
      </c>
      <c r="Y45" s="148"/>
      <c r="Z45" s="120"/>
      <c r="AA45" s="120"/>
      <c r="AB45" s="120"/>
      <c r="AC45" s="120">
        <v>1</v>
      </c>
      <c r="AD45" s="148"/>
      <c r="AE45" s="148"/>
      <c r="AF45" s="148"/>
      <c r="AG45" s="66">
        <f t="shared" si="3"/>
        <v>8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4"/>
        <v>Fish</v>
      </c>
      <c r="AJ45" s="73"/>
    </row>
    <row r="46" spans="1:36" ht="18" customHeight="1">
      <c r="A46" s="95" t="s">
        <v>58</v>
      </c>
      <c r="B46" s="96" t="s">
        <v>25</v>
      </c>
      <c r="C46" s="120"/>
      <c r="D46" s="153"/>
      <c r="E46" s="120"/>
      <c r="F46" s="120"/>
      <c r="G46" s="120">
        <v>1</v>
      </c>
      <c r="H46" s="120">
        <v>1</v>
      </c>
      <c r="I46" s="148"/>
      <c r="J46" s="120">
        <v>1</v>
      </c>
      <c r="K46" s="148"/>
      <c r="L46" s="120"/>
      <c r="M46" s="120"/>
      <c r="N46" s="120"/>
      <c r="O46" s="120"/>
      <c r="P46" s="148"/>
      <c r="Q46" s="120">
        <v>1</v>
      </c>
      <c r="R46" s="148"/>
      <c r="S46" s="120"/>
      <c r="T46" s="120"/>
      <c r="U46" s="120">
        <v>1</v>
      </c>
      <c r="V46" s="120">
        <v>1</v>
      </c>
      <c r="W46" s="148"/>
      <c r="X46" s="120">
        <v>1</v>
      </c>
      <c r="Y46" s="148"/>
      <c r="Z46" s="120">
        <v>1</v>
      </c>
      <c r="AA46" s="120"/>
      <c r="AB46" s="120"/>
      <c r="AC46" s="120"/>
      <c r="AD46" s="148"/>
      <c r="AE46" s="148"/>
      <c r="AF46" s="148"/>
      <c r="AG46" s="66">
        <f t="shared" si="3"/>
        <v>8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4"/>
        <v>潘潘</v>
      </c>
      <c r="AJ46" s="73"/>
    </row>
    <row r="47" spans="1:36" ht="18" customHeight="1">
      <c r="A47" s="95" t="s">
        <v>58</v>
      </c>
      <c r="B47" s="96" t="s">
        <v>63</v>
      </c>
      <c r="C47" s="120"/>
      <c r="D47" s="153"/>
      <c r="E47" s="120"/>
      <c r="F47" s="120"/>
      <c r="G47" s="120"/>
      <c r="H47" s="120"/>
      <c r="I47" s="148"/>
      <c r="J47" s="120"/>
      <c r="K47" s="148"/>
      <c r="L47" s="120"/>
      <c r="M47" s="120"/>
      <c r="N47" s="120"/>
      <c r="O47" s="120"/>
      <c r="P47" s="148"/>
      <c r="Q47" s="120"/>
      <c r="R47" s="148"/>
      <c r="S47" s="120"/>
      <c r="T47" s="120"/>
      <c r="U47" s="120"/>
      <c r="V47" s="120"/>
      <c r="W47" s="148"/>
      <c r="X47" s="120"/>
      <c r="Y47" s="148"/>
      <c r="Z47" s="120"/>
      <c r="AA47" s="120"/>
      <c r="AB47" s="120"/>
      <c r="AC47" s="120"/>
      <c r="AD47" s="148"/>
      <c r="AE47" s="148"/>
      <c r="AF47" s="148"/>
      <c r="AG47" s="66">
        <f t="shared" si="3"/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4"/>
        <v>芒果</v>
      </c>
      <c r="AJ47" s="73"/>
    </row>
    <row r="48" spans="1:36" ht="18" customHeight="1">
      <c r="A48" s="95" t="s">
        <v>58</v>
      </c>
      <c r="B48" s="96" t="s">
        <v>62</v>
      </c>
      <c r="C48" s="120"/>
      <c r="D48" s="153"/>
      <c r="E48" s="120"/>
      <c r="F48" s="120"/>
      <c r="G48" s="120"/>
      <c r="H48" s="120"/>
      <c r="I48" s="148"/>
      <c r="J48" s="120">
        <v>1</v>
      </c>
      <c r="K48" s="148"/>
      <c r="L48" s="120"/>
      <c r="M48" s="120">
        <v>1</v>
      </c>
      <c r="N48" s="120">
        <v>1</v>
      </c>
      <c r="O48" s="120"/>
      <c r="P48" s="148"/>
      <c r="Q48" s="120">
        <v>1</v>
      </c>
      <c r="R48" s="148"/>
      <c r="S48" s="120"/>
      <c r="T48" s="120"/>
      <c r="U48" s="120"/>
      <c r="V48" s="120"/>
      <c r="W48" s="148"/>
      <c r="X48" s="120"/>
      <c r="Y48" s="148"/>
      <c r="Z48" s="120">
        <v>1</v>
      </c>
      <c r="AA48" s="120"/>
      <c r="AB48" s="120"/>
      <c r="AC48" s="120"/>
      <c r="AD48" s="148"/>
      <c r="AE48" s="148"/>
      <c r="AF48" s="148"/>
      <c r="AG48" s="66">
        <f t="shared" si="3"/>
        <v>5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4"/>
        <v>國源</v>
      </c>
      <c r="AJ48" s="73"/>
    </row>
    <row r="49" spans="1:36" ht="18" customHeight="1">
      <c r="A49" s="95" t="s">
        <v>58</v>
      </c>
      <c r="B49" s="96" t="s">
        <v>26</v>
      </c>
      <c r="C49" s="120"/>
      <c r="D49" s="153"/>
      <c r="E49" s="120">
        <v>1</v>
      </c>
      <c r="F49" s="120"/>
      <c r="G49" s="120"/>
      <c r="H49" s="120"/>
      <c r="I49" s="148"/>
      <c r="J49" s="120"/>
      <c r="K49" s="148"/>
      <c r="L49" s="120">
        <v>1</v>
      </c>
      <c r="M49" s="120"/>
      <c r="N49" s="120"/>
      <c r="O49" s="120"/>
      <c r="P49" s="148"/>
      <c r="Q49" s="120"/>
      <c r="R49" s="148"/>
      <c r="S49" s="120"/>
      <c r="T49" s="120"/>
      <c r="U49" s="120"/>
      <c r="V49" s="120"/>
      <c r="W49" s="148"/>
      <c r="X49" s="120"/>
      <c r="Y49" s="148"/>
      <c r="Z49" s="120"/>
      <c r="AA49" s="120"/>
      <c r="AB49" s="120"/>
      <c r="AC49" s="120"/>
      <c r="AD49" s="148"/>
      <c r="AE49" s="148"/>
      <c r="AF49" s="148"/>
      <c r="AG49" s="66">
        <f t="shared" si="3"/>
        <v>2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4"/>
        <v>曉強</v>
      </c>
      <c r="AJ49" s="73"/>
    </row>
    <row r="50" spans="1:36" ht="18" customHeight="1">
      <c r="A50" s="95" t="s">
        <v>58</v>
      </c>
      <c r="B50" s="96" t="s">
        <v>59</v>
      </c>
      <c r="C50" s="120"/>
      <c r="D50" s="153"/>
      <c r="E50" s="120"/>
      <c r="F50" s="120"/>
      <c r="G50" s="120"/>
      <c r="H50" s="120"/>
      <c r="I50" s="148"/>
      <c r="J50" s="120"/>
      <c r="K50" s="148"/>
      <c r="L50" s="120"/>
      <c r="M50" s="120"/>
      <c r="N50" s="120"/>
      <c r="O50" s="120"/>
      <c r="P50" s="148"/>
      <c r="Q50" s="120"/>
      <c r="R50" s="148"/>
      <c r="S50" s="120"/>
      <c r="T50" s="120"/>
      <c r="U50" s="120"/>
      <c r="V50" s="120"/>
      <c r="W50" s="148"/>
      <c r="X50" s="120"/>
      <c r="Y50" s="148"/>
      <c r="Z50" s="120"/>
      <c r="AA50" s="120"/>
      <c r="AB50" s="120"/>
      <c r="AC50" s="120"/>
      <c r="AD50" s="148"/>
      <c r="AE50" s="148"/>
      <c r="AF50" s="148"/>
      <c r="AG50" s="66">
        <f t="shared" si="3"/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4"/>
        <v>阿幹</v>
      </c>
      <c r="AJ50" s="73"/>
    </row>
    <row r="51" spans="1:36" ht="18" customHeight="1">
      <c r="A51" s="95" t="s">
        <v>58</v>
      </c>
      <c r="B51" s="96" t="s">
        <v>27</v>
      </c>
      <c r="C51" s="120"/>
      <c r="D51" s="153"/>
      <c r="E51" s="120"/>
      <c r="F51" s="120"/>
      <c r="G51" s="120"/>
      <c r="H51" s="120"/>
      <c r="I51" s="148"/>
      <c r="J51" s="120"/>
      <c r="K51" s="148"/>
      <c r="L51" s="120"/>
      <c r="M51" s="120"/>
      <c r="N51" s="120"/>
      <c r="O51" s="120"/>
      <c r="P51" s="148"/>
      <c r="Q51" s="120"/>
      <c r="R51" s="148"/>
      <c r="S51" s="120"/>
      <c r="T51" s="120"/>
      <c r="U51" s="120"/>
      <c r="V51" s="120"/>
      <c r="W51" s="148"/>
      <c r="X51" s="120">
        <v>1</v>
      </c>
      <c r="Y51" s="148"/>
      <c r="Z51" s="120"/>
      <c r="AA51" s="120"/>
      <c r="AB51" s="120"/>
      <c r="AC51" s="120"/>
      <c r="AD51" s="148"/>
      <c r="AE51" s="148"/>
      <c r="AF51" s="148"/>
      <c r="AG51" s="66">
        <f t="shared" si="3"/>
        <v>1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4"/>
        <v>芋圓</v>
      </c>
      <c r="AJ51" s="73"/>
    </row>
    <row r="52" spans="1:36" ht="18" customHeight="1">
      <c r="A52" s="95" t="s">
        <v>58</v>
      </c>
      <c r="B52" s="96" t="s">
        <v>28</v>
      </c>
      <c r="C52" s="120"/>
      <c r="D52" s="153"/>
      <c r="E52" s="120">
        <v>1</v>
      </c>
      <c r="F52" s="120"/>
      <c r="G52" s="120"/>
      <c r="H52" s="120">
        <v>1</v>
      </c>
      <c r="I52" s="148"/>
      <c r="J52" s="120"/>
      <c r="K52" s="148"/>
      <c r="L52" s="120"/>
      <c r="M52" s="120"/>
      <c r="N52" s="120">
        <v>1</v>
      </c>
      <c r="O52" s="120">
        <v>1</v>
      </c>
      <c r="P52" s="148"/>
      <c r="Q52" s="120"/>
      <c r="R52" s="148"/>
      <c r="S52" s="120"/>
      <c r="T52" s="120"/>
      <c r="U52" s="120"/>
      <c r="V52" s="120">
        <v>1</v>
      </c>
      <c r="W52" s="148"/>
      <c r="X52" s="120">
        <v>1</v>
      </c>
      <c r="Y52" s="148"/>
      <c r="Z52" s="120"/>
      <c r="AA52" s="120"/>
      <c r="AB52" s="120"/>
      <c r="AC52" s="120"/>
      <c r="AD52" s="148"/>
      <c r="AE52" s="148"/>
      <c r="AF52" s="148"/>
      <c r="AG52" s="66">
        <f t="shared" si="3"/>
        <v>6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4"/>
        <v>克勤</v>
      </c>
      <c r="AJ52" s="73"/>
    </row>
    <row r="53" spans="1:36" ht="18" customHeight="1">
      <c r="A53" s="95" t="s">
        <v>58</v>
      </c>
      <c r="B53" s="96" t="s">
        <v>29</v>
      </c>
      <c r="C53" s="120"/>
      <c r="D53" s="153"/>
      <c r="E53" s="120">
        <v>1</v>
      </c>
      <c r="F53" s="120"/>
      <c r="G53" s="120"/>
      <c r="H53" s="120">
        <v>1</v>
      </c>
      <c r="I53" s="148"/>
      <c r="J53" s="120"/>
      <c r="K53" s="148"/>
      <c r="L53" s="120">
        <v>1</v>
      </c>
      <c r="M53" s="120"/>
      <c r="N53" s="120"/>
      <c r="O53" s="120">
        <v>1</v>
      </c>
      <c r="P53" s="148"/>
      <c r="Q53" s="120"/>
      <c r="R53" s="148"/>
      <c r="S53" s="120"/>
      <c r="T53" s="120"/>
      <c r="U53" s="120"/>
      <c r="V53" s="120">
        <v>1</v>
      </c>
      <c r="W53" s="148"/>
      <c r="X53" s="120"/>
      <c r="Y53" s="148"/>
      <c r="Z53" s="120"/>
      <c r="AA53" s="120">
        <v>1</v>
      </c>
      <c r="AB53" s="120"/>
      <c r="AC53" s="120"/>
      <c r="AD53" s="148"/>
      <c r="AE53" s="148"/>
      <c r="AF53" s="148"/>
      <c r="AG53" s="66">
        <f t="shared" si="3"/>
        <v>6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4"/>
        <v>大頭</v>
      </c>
      <c r="AJ53" s="73"/>
    </row>
    <row r="54" spans="1:36" ht="18" customHeight="1">
      <c r="A54" s="95" t="s">
        <v>58</v>
      </c>
      <c r="B54" s="96" t="s">
        <v>65</v>
      </c>
      <c r="C54" s="120"/>
      <c r="D54" s="153"/>
      <c r="E54" s="120"/>
      <c r="F54" s="120"/>
      <c r="G54" s="120"/>
      <c r="H54" s="120">
        <v>1</v>
      </c>
      <c r="I54" s="148"/>
      <c r="J54" s="120"/>
      <c r="K54" s="148"/>
      <c r="L54" s="120"/>
      <c r="M54" s="120"/>
      <c r="N54" s="120"/>
      <c r="O54" s="120">
        <v>1</v>
      </c>
      <c r="P54" s="148"/>
      <c r="Q54" s="120"/>
      <c r="R54" s="148"/>
      <c r="S54" s="120"/>
      <c r="T54" s="120">
        <v>1</v>
      </c>
      <c r="U54" s="120">
        <v>1</v>
      </c>
      <c r="V54" s="120">
        <v>1</v>
      </c>
      <c r="W54" s="148"/>
      <c r="X54" s="120">
        <v>1</v>
      </c>
      <c r="Y54" s="148"/>
      <c r="Z54" s="120">
        <v>1</v>
      </c>
      <c r="AA54" s="120"/>
      <c r="AB54" s="120"/>
      <c r="AC54" s="120"/>
      <c r="AD54" s="148"/>
      <c r="AE54" s="148"/>
      <c r="AF54" s="148"/>
      <c r="AG54" s="66">
        <f t="shared" si="3"/>
        <v>7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4"/>
        <v>文淵</v>
      </c>
      <c r="AJ54" s="73"/>
    </row>
    <row r="55" spans="1:36" ht="18" customHeight="1">
      <c r="A55" s="95" t="s">
        <v>58</v>
      </c>
      <c r="B55" s="96" t="s">
        <v>72</v>
      </c>
      <c r="C55" s="120"/>
      <c r="D55" s="153"/>
      <c r="E55" s="120"/>
      <c r="F55" s="120"/>
      <c r="G55" s="120"/>
      <c r="H55" s="120"/>
      <c r="I55" s="148"/>
      <c r="J55" s="120"/>
      <c r="K55" s="148"/>
      <c r="L55" s="120"/>
      <c r="M55" s="120"/>
      <c r="N55" s="120"/>
      <c r="O55" s="120"/>
      <c r="P55" s="148"/>
      <c r="Q55" s="120"/>
      <c r="R55" s="148"/>
      <c r="S55" s="120"/>
      <c r="T55" s="120"/>
      <c r="U55" s="120"/>
      <c r="V55" s="120"/>
      <c r="W55" s="148"/>
      <c r="X55" s="120"/>
      <c r="Y55" s="148"/>
      <c r="Z55" s="120"/>
      <c r="AA55" s="120"/>
      <c r="AB55" s="120"/>
      <c r="AC55" s="120"/>
      <c r="AD55" s="148"/>
      <c r="AE55" s="148"/>
      <c r="AF55" s="148"/>
      <c r="AG55" s="66">
        <f t="shared" si="3"/>
        <v>0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4"/>
        <v>八卦</v>
      </c>
      <c r="AJ55" s="73"/>
    </row>
    <row r="56" spans="1:36" ht="18" customHeight="1">
      <c r="A56" s="95" t="s">
        <v>58</v>
      </c>
      <c r="B56" s="96" t="s">
        <v>66</v>
      </c>
      <c r="C56" s="120"/>
      <c r="D56" s="153"/>
      <c r="E56" s="120"/>
      <c r="F56" s="120"/>
      <c r="G56" s="120"/>
      <c r="H56" s="120"/>
      <c r="I56" s="148"/>
      <c r="J56" s="120"/>
      <c r="K56" s="148"/>
      <c r="L56" s="120"/>
      <c r="M56" s="120"/>
      <c r="N56" s="120"/>
      <c r="O56" s="120"/>
      <c r="P56" s="148"/>
      <c r="Q56" s="120"/>
      <c r="R56" s="148"/>
      <c r="S56" s="120"/>
      <c r="T56" s="120"/>
      <c r="U56" s="120"/>
      <c r="V56" s="120"/>
      <c r="W56" s="148"/>
      <c r="X56" s="120"/>
      <c r="Y56" s="148"/>
      <c r="Z56" s="120">
        <v>1</v>
      </c>
      <c r="AA56" s="120"/>
      <c r="AB56" s="120"/>
      <c r="AC56" s="120"/>
      <c r="AD56" s="148"/>
      <c r="AE56" s="148"/>
      <c r="AF56" s="148"/>
      <c r="AG56" s="66">
        <f t="shared" si="3"/>
        <v>1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4"/>
        <v>昆佑</v>
      </c>
      <c r="AJ56" s="73"/>
    </row>
    <row r="57" spans="1:36" ht="18" customHeight="1">
      <c r="A57" s="95" t="s">
        <v>58</v>
      </c>
      <c r="B57" s="96" t="s">
        <v>68</v>
      </c>
      <c r="C57" s="120"/>
      <c r="D57" s="153"/>
      <c r="E57" s="120"/>
      <c r="F57" s="120"/>
      <c r="G57" s="120"/>
      <c r="H57" s="120"/>
      <c r="I57" s="148"/>
      <c r="J57" s="120"/>
      <c r="K57" s="148"/>
      <c r="L57" s="120"/>
      <c r="M57" s="120"/>
      <c r="N57" s="120"/>
      <c r="O57" s="120"/>
      <c r="P57" s="148"/>
      <c r="Q57" s="120"/>
      <c r="R57" s="148"/>
      <c r="S57" s="120"/>
      <c r="T57" s="120"/>
      <c r="U57" s="120"/>
      <c r="V57" s="120"/>
      <c r="W57" s="148"/>
      <c r="X57" s="120"/>
      <c r="Y57" s="148"/>
      <c r="Z57" s="120"/>
      <c r="AA57" s="120"/>
      <c r="AB57" s="120"/>
      <c r="AC57" s="120"/>
      <c r="AD57" s="148"/>
      <c r="AE57" s="148"/>
      <c r="AF57" s="148"/>
      <c r="AG57" s="66">
        <f t="shared" si="3"/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4"/>
        <v>兔子</v>
      </c>
      <c r="AJ57" s="73"/>
    </row>
    <row r="58" spans="1:36" ht="18" customHeight="1">
      <c r="A58" s="95" t="s">
        <v>58</v>
      </c>
      <c r="B58" s="96" t="s">
        <v>69</v>
      </c>
      <c r="C58" s="120"/>
      <c r="D58" s="153"/>
      <c r="E58" s="120"/>
      <c r="F58" s="120"/>
      <c r="G58" s="120"/>
      <c r="H58" s="120"/>
      <c r="I58" s="148"/>
      <c r="J58" s="120"/>
      <c r="K58" s="148"/>
      <c r="L58" s="120"/>
      <c r="M58" s="120"/>
      <c r="N58" s="120"/>
      <c r="O58" s="120"/>
      <c r="P58" s="148"/>
      <c r="Q58" s="120"/>
      <c r="R58" s="148"/>
      <c r="S58" s="120"/>
      <c r="T58" s="120"/>
      <c r="U58" s="120"/>
      <c r="V58" s="120"/>
      <c r="W58" s="148"/>
      <c r="X58" s="120"/>
      <c r="Y58" s="148"/>
      <c r="Z58" s="120"/>
      <c r="AA58" s="120"/>
      <c r="AB58" s="120"/>
      <c r="AC58" s="120"/>
      <c r="AD58" s="148"/>
      <c r="AE58" s="148"/>
      <c r="AF58" s="148"/>
      <c r="AG58" s="66">
        <f t="shared" si="3"/>
        <v>0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4"/>
        <v>小馬</v>
      </c>
      <c r="AJ58" s="73"/>
    </row>
    <row r="59" spans="1:36" ht="18" customHeight="1">
      <c r="A59" s="95" t="s">
        <v>58</v>
      </c>
      <c r="B59" s="96" t="s">
        <v>70</v>
      </c>
      <c r="C59" s="120"/>
      <c r="D59" s="153"/>
      <c r="E59" s="120"/>
      <c r="F59" s="120"/>
      <c r="G59" s="120"/>
      <c r="H59" s="120"/>
      <c r="I59" s="148"/>
      <c r="J59" s="120"/>
      <c r="K59" s="148"/>
      <c r="L59" s="120"/>
      <c r="M59" s="120"/>
      <c r="N59" s="120"/>
      <c r="O59" s="120"/>
      <c r="P59" s="148"/>
      <c r="Q59" s="120"/>
      <c r="R59" s="148"/>
      <c r="S59" s="120"/>
      <c r="T59" s="120"/>
      <c r="U59" s="120"/>
      <c r="V59" s="120"/>
      <c r="W59" s="148"/>
      <c r="X59" s="120"/>
      <c r="Y59" s="148"/>
      <c r="Z59" s="120"/>
      <c r="AA59" s="120"/>
      <c r="AB59" s="120"/>
      <c r="AC59" s="120"/>
      <c r="AD59" s="148"/>
      <c r="AE59" s="148"/>
      <c r="AF59" s="148"/>
      <c r="AG59" s="66">
        <f t="shared" si="3"/>
        <v>0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4"/>
        <v>Allen</v>
      </c>
      <c r="AJ59" s="73"/>
    </row>
    <row r="60" spans="1:36" ht="18" customHeight="1">
      <c r="A60" s="95" t="s">
        <v>58</v>
      </c>
      <c r="B60" s="96" t="s">
        <v>71</v>
      </c>
      <c r="C60" s="120"/>
      <c r="D60" s="153"/>
      <c r="E60" s="120"/>
      <c r="F60" s="120"/>
      <c r="G60" s="120"/>
      <c r="H60" s="120"/>
      <c r="I60" s="148"/>
      <c r="J60" s="120"/>
      <c r="K60" s="148"/>
      <c r="L60" s="120"/>
      <c r="M60" s="120"/>
      <c r="N60" s="120"/>
      <c r="O60" s="120"/>
      <c r="P60" s="148"/>
      <c r="Q60" s="120"/>
      <c r="R60" s="148"/>
      <c r="S60" s="120"/>
      <c r="T60" s="120"/>
      <c r="U60" s="120"/>
      <c r="V60" s="120"/>
      <c r="W60" s="148"/>
      <c r="X60" s="120"/>
      <c r="Y60" s="148"/>
      <c r="Z60" s="120"/>
      <c r="AA60" s="120"/>
      <c r="AB60" s="120"/>
      <c r="AC60" s="120"/>
      <c r="AD60" s="148"/>
      <c r="AE60" s="148"/>
      <c r="AF60" s="148"/>
      <c r="AG60" s="66">
        <f t="shared" si="3"/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4"/>
        <v>嘴嘴</v>
      </c>
      <c r="AJ60" s="73"/>
    </row>
    <row r="61" spans="1:36" ht="18" customHeight="1">
      <c r="A61" s="95" t="s">
        <v>58</v>
      </c>
      <c r="B61" s="96" t="s">
        <v>74</v>
      </c>
      <c r="C61" s="120"/>
      <c r="D61" s="153"/>
      <c r="E61" s="120"/>
      <c r="F61" s="120"/>
      <c r="G61" s="120"/>
      <c r="H61" s="120"/>
      <c r="I61" s="148"/>
      <c r="J61" s="120"/>
      <c r="K61" s="148"/>
      <c r="L61" s="120"/>
      <c r="M61" s="120"/>
      <c r="N61" s="120"/>
      <c r="O61" s="120"/>
      <c r="P61" s="148"/>
      <c r="Q61" s="120"/>
      <c r="R61" s="148"/>
      <c r="S61" s="120"/>
      <c r="T61" s="120"/>
      <c r="U61" s="120"/>
      <c r="V61" s="120"/>
      <c r="W61" s="148"/>
      <c r="X61" s="120"/>
      <c r="Y61" s="148"/>
      <c r="Z61" s="120"/>
      <c r="AA61" s="120"/>
      <c r="AB61" s="120"/>
      <c r="AC61" s="120"/>
      <c r="AD61" s="148"/>
      <c r="AE61" s="148"/>
      <c r="AF61" s="148"/>
      <c r="AG61" s="66">
        <f t="shared" si="3"/>
        <v>0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4"/>
        <v>蘆葦</v>
      </c>
      <c r="AJ61" s="73"/>
    </row>
    <row r="62" spans="1:36" ht="18" customHeight="1">
      <c r="A62" s="95" t="s">
        <v>58</v>
      </c>
      <c r="B62" s="96" t="s">
        <v>30</v>
      </c>
      <c r="C62" s="120"/>
      <c r="D62" s="153"/>
      <c r="E62" s="120"/>
      <c r="F62" s="120"/>
      <c r="G62" s="120"/>
      <c r="H62" s="120">
        <v>1</v>
      </c>
      <c r="I62" s="148"/>
      <c r="J62" s="120"/>
      <c r="K62" s="148"/>
      <c r="L62" s="120"/>
      <c r="M62" s="120"/>
      <c r="N62" s="120"/>
      <c r="O62" s="120"/>
      <c r="P62" s="148"/>
      <c r="Q62" s="120">
        <v>1</v>
      </c>
      <c r="R62" s="148"/>
      <c r="S62" s="120"/>
      <c r="T62" s="120"/>
      <c r="U62" s="120"/>
      <c r="V62" s="120"/>
      <c r="W62" s="148"/>
      <c r="X62" s="120">
        <v>1</v>
      </c>
      <c r="Y62" s="148"/>
      <c r="Z62" s="120"/>
      <c r="AA62" s="120">
        <v>1</v>
      </c>
      <c r="AB62" s="120"/>
      <c r="AC62" s="120"/>
      <c r="AD62" s="148"/>
      <c r="AE62" s="148"/>
      <c r="AF62" s="148"/>
      <c r="AG62" s="66">
        <f t="shared" si="3"/>
        <v>4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4"/>
        <v>鯰魚</v>
      </c>
      <c r="AJ62" s="73"/>
    </row>
    <row r="63" spans="1:36" ht="18" customHeight="1">
      <c r="A63" s="95" t="s">
        <v>58</v>
      </c>
      <c r="B63" s="96" t="s">
        <v>31</v>
      </c>
      <c r="C63" s="120"/>
      <c r="D63" s="153"/>
      <c r="E63" s="120"/>
      <c r="F63" s="120"/>
      <c r="G63" s="120"/>
      <c r="H63" s="120"/>
      <c r="I63" s="148"/>
      <c r="J63" s="120"/>
      <c r="K63" s="148"/>
      <c r="L63" s="120"/>
      <c r="M63" s="120"/>
      <c r="N63" s="120"/>
      <c r="O63" s="120"/>
      <c r="P63" s="148"/>
      <c r="Q63" s="120"/>
      <c r="R63" s="148"/>
      <c r="S63" s="120"/>
      <c r="T63" s="120"/>
      <c r="U63" s="120"/>
      <c r="V63" s="120"/>
      <c r="W63" s="148"/>
      <c r="X63" s="120"/>
      <c r="Y63" s="148"/>
      <c r="Z63" s="120"/>
      <c r="AA63" s="120"/>
      <c r="AB63" s="120"/>
      <c r="AC63" s="120"/>
      <c r="AD63" s="148"/>
      <c r="AE63" s="148"/>
      <c r="AF63" s="148"/>
      <c r="AG63" s="66">
        <f t="shared" si="3"/>
        <v>0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4"/>
        <v>阿美</v>
      </c>
      <c r="AJ63" s="73"/>
    </row>
    <row r="64" spans="1:36" ht="18" customHeight="1">
      <c r="A64" s="95" t="s">
        <v>58</v>
      </c>
      <c r="B64" s="96" t="s">
        <v>73</v>
      </c>
      <c r="C64" s="120"/>
      <c r="D64" s="153"/>
      <c r="E64" s="120"/>
      <c r="F64" s="120"/>
      <c r="G64" s="120"/>
      <c r="H64" s="120"/>
      <c r="I64" s="148"/>
      <c r="J64" s="120"/>
      <c r="K64" s="148"/>
      <c r="L64" s="120"/>
      <c r="M64" s="120"/>
      <c r="N64" s="120"/>
      <c r="O64" s="120"/>
      <c r="P64" s="148"/>
      <c r="Q64" s="120"/>
      <c r="R64" s="148"/>
      <c r="S64" s="120"/>
      <c r="T64" s="120"/>
      <c r="U64" s="120"/>
      <c r="V64" s="120"/>
      <c r="W64" s="148"/>
      <c r="X64" s="120"/>
      <c r="Y64" s="148"/>
      <c r="Z64" s="120"/>
      <c r="AA64" s="120"/>
      <c r="AB64" s="120"/>
      <c r="AC64" s="120"/>
      <c r="AD64" s="148"/>
      <c r="AE64" s="148"/>
      <c r="AF64" s="148"/>
      <c r="AG64" s="66">
        <f t="shared" si="3"/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4"/>
        <v>冠軍</v>
      </c>
      <c r="AJ64" s="73"/>
    </row>
    <row r="65" spans="1:36" ht="18" customHeight="1">
      <c r="A65" s="95" t="s">
        <v>58</v>
      </c>
      <c r="B65" s="96" t="s">
        <v>198</v>
      </c>
      <c r="C65" s="120"/>
      <c r="D65" s="153"/>
      <c r="E65" s="120"/>
      <c r="F65" s="120"/>
      <c r="G65" s="120"/>
      <c r="H65" s="120"/>
      <c r="I65" s="148"/>
      <c r="J65" s="120"/>
      <c r="K65" s="148"/>
      <c r="L65" s="120"/>
      <c r="M65" s="120"/>
      <c r="N65" s="120"/>
      <c r="O65" s="120"/>
      <c r="P65" s="148"/>
      <c r="Q65" s="120"/>
      <c r="R65" s="148"/>
      <c r="S65" s="120"/>
      <c r="T65" s="120">
        <v>1</v>
      </c>
      <c r="U65" s="120"/>
      <c r="V65" s="120"/>
      <c r="W65" s="148"/>
      <c r="X65" s="120"/>
      <c r="Y65" s="148"/>
      <c r="Z65" s="120"/>
      <c r="AA65" s="120"/>
      <c r="AB65" s="120"/>
      <c r="AC65" s="120"/>
      <c r="AD65" s="148"/>
      <c r="AE65" s="148"/>
      <c r="AF65" s="148"/>
      <c r="AG65" s="66">
        <f t="shared" si="3"/>
        <v>1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4"/>
        <v>郁翔</v>
      </c>
      <c r="AJ65" s="73"/>
    </row>
    <row r="66" spans="1:36" ht="18" customHeight="1">
      <c r="A66" s="95" t="s">
        <v>58</v>
      </c>
      <c r="B66" s="96" t="s">
        <v>67</v>
      </c>
      <c r="C66" s="120"/>
      <c r="D66" s="153"/>
      <c r="E66" s="120"/>
      <c r="F66" s="120"/>
      <c r="G66" s="120"/>
      <c r="H66" s="120"/>
      <c r="I66" s="148"/>
      <c r="J66" s="120"/>
      <c r="K66" s="148"/>
      <c r="L66" s="120"/>
      <c r="M66" s="120"/>
      <c r="N66" s="120"/>
      <c r="O66" s="120"/>
      <c r="P66" s="148"/>
      <c r="Q66" s="120"/>
      <c r="R66" s="148"/>
      <c r="S66" s="120"/>
      <c r="T66" s="120"/>
      <c r="U66" s="120"/>
      <c r="V66" s="120"/>
      <c r="W66" s="148"/>
      <c r="X66" s="120"/>
      <c r="Y66" s="148"/>
      <c r="Z66" s="120"/>
      <c r="AA66" s="120"/>
      <c r="AB66" s="120"/>
      <c r="AC66" s="120"/>
      <c r="AD66" s="148"/>
      <c r="AE66" s="148"/>
      <c r="AF66" s="148"/>
      <c r="AG66" s="66">
        <f t="shared" si="3"/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4"/>
        <v>歐吉</v>
      </c>
      <c r="AJ66" s="73"/>
    </row>
    <row r="67" spans="1:36" ht="18" customHeight="1">
      <c r="A67" s="95" t="s">
        <v>58</v>
      </c>
      <c r="B67" s="96" t="s">
        <v>75</v>
      </c>
      <c r="C67" s="120"/>
      <c r="D67" s="153"/>
      <c r="E67" s="120"/>
      <c r="F67" s="120"/>
      <c r="G67" s="120"/>
      <c r="H67" s="120"/>
      <c r="I67" s="148"/>
      <c r="J67" s="120"/>
      <c r="K67" s="148"/>
      <c r="L67" s="120">
        <v>1</v>
      </c>
      <c r="M67" s="120"/>
      <c r="N67" s="120"/>
      <c r="O67" s="120"/>
      <c r="P67" s="148"/>
      <c r="Q67" s="120"/>
      <c r="R67" s="148"/>
      <c r="S67" s="120"/>
      <c r="T67" s="120"/>
      <c r="U67" s="120"/>
      <c r="V67" s="120"/>
      <c r="W67" s="148"/>
      <c r="X67" s="120"/>
      <c r="Y67" s="148"/>
      <c r="Z67" s="120"/>
      <c r="AA67" s="120"/>
      <c r="AB67" s="120"/>
      <c r="AC67" s="120"/>
      <c r="AD67" s="148"/>
      <c r="AE67" s="148"/>
      <c r="AF67" s="148"/>
      <c r="AG67" s="66">
        <f t="shared" si="3"/>
        <v>1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4"/>
        <v>叮噹</v>
      </c>
      <c r="AJ67" s="73"/>
    </row>
    <row r="68" spans="1:36" ht="18" customHeight="1">
      <c r="A68" s="95" t="s">
        <v>58</v>
      </c>
      <c r="B68" s="96" t="s">
        <v>76</v>
      </c>
      <c r="C68" s="120"/>
      <c r="D68" s="153"/>
      <c r="E68" s="120"/>
      <c r="F68" s="120"/>
      <c r="G68" s="120"/>
      <c r="H68" s="120"/>
      <c r="I68" s="148"/>
      <c r="J68" s="120"/>
      <c r="K68" s="148"/>
      <c r="L68" s="120"/>
      <c r="M68" s="120"/>
      <c r="N68" s="120"/>
      <c r="O68" s="120"/>
      <c r="P68" s="148"/>
      <c r="Q68" s="120"/>
      <c r="R68" s="148"/>
      <c r="S68" s="120"/>
      <c r="T68" s="120"/>
      <c r="U68" s="120"/>
      <c r="V68" s="120"/>
      <c r="W68" s="148"/>
      <c r="X68" s="120"/>
      <c r="Y68" s="148"/>
      <c r="Z68" s="120"/>
      <c r="AA68" s="120"/>
      <c r="AB68" s="120"/>
      <c r="AC68" s="120"/>
      <c r="AD68" s="148"/>
      <c r="AE68" s="148"/>
      <c r="AF68" s="148"/>
      <c r="AG68" s="66">
        <f t="shared" ref="AG68:AG99" si="5">COUNTA(C68:AF68)</f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88" si="6">B68</f>
        <v>肥肥</v>
      </c>
      <c r="AJ68" s="73"/>
    </row>
    <row r="69" spans="1:36" ht="18" customHeight="1">
      <c r="A69" s="95" t="s">
        <v>58</v>
      </c>
      <c r="B69" s="96" t="s">
        <v>77</v>
      </c>
      <c r="C69" s="120"/>
      <c r="D69" s="153"/>
      <c r="E69" s="120"/>
      <c r="F69" s="120"/>
      <c r="G69" s="120"/>
      <c r="H69" s="120"/>
      <c r="I69" s="148"/>
      <c r="J69" s="120"/>
      <c r="K69" s="148"/>
      <c r="L69" s="120"/>
      <c r="M69" s="120"/>
      <c r="N69" s="120"/>
      <c r="O69" s="120"/>
      <c r="P69" s="148"/>
      <c r="Q69" s="120"/>
      <c r="R69" s="148"/>
      <c r="S69" s="120"/>
      <c r="T69" s="120"/>
      <c r="U69" s="120"/>
      <c r="V69" s="120"/>
      <c r="W69" s="148"/>
      <c r="X69" s="120"/>
      <c r="Y69" s="148"/>
      <c r="Z69" s="120"/>
      <c r="AA69" s="120"/>
      <c r="AB69" s="120"/>
      <c r="AC69" s="120"/>
      <c r="AD69" s="148"/>
      <c r="AE69" s="148"/>
      <c r="AF69" s="148"/>
      <c r="AG69" s="66">
        <f t="shared" si="5"/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6"/>
        <v>小夫</v>
      </c>
      <c r="AJ69" s="73"/>
    </row>
    <row r="70" spans="1:36" ht="18" customHeight="1">
      <c r="A70" s="95" t="s">
        <v>58</v>
      </c>
      <c r="B70" s="96" t="s">
        <v>78</v>
      </c>
      <c r="C70" s="120"/>
      <c r="D70" s="153"/>
      <c r="E70" s="120"/>
      <c r="F70" s="120"/>
      <c r="G70" s="120"/>
      <c r="H70" s="120"/>
      <c r="I70" s="148"/>
      <c r="J70" s="120"/>
      <c r="K70" s="148"/>
      <c r="L70" s="120"/>
      <c r="M70" s="120"/>
      <c r="N70" s="120"/>
      <c r="O70" s="120"/>
      <c r="P70" s="148"/>
      <c r="Q70" s="120"/>
      <c r="R70" s="148"/>
      <c r="S70" s="120"/>
      <c r="T70" s="120"/>
      <c r="U70" s="120"/>
      <c r="V70" s="120"/>
      <c r="W70" s="148"/>
      <c r="X70" s="120"/>
      <c r="Y70" s="148"/>
      <c r="Z70" s="120"/>
      <c r="AA70" s="120"/>
      <c r="AB70" s="120"/>
      <c r="AC70" s="120"/>
      <c r="AD70" s="148"/>
      <c r="AE70" s="148"/>
      <c r="AF70" s="148"/>
      <c r="AG70" s="66">
        <f t="shared" si="5"/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6"/>
        <v>小邱</v>
      </c>
      <c r="AJ70" s="73"/>
    </row>
    <row r="71" spans="1:36" ht="18" customHeight="1">
      <c r="A71" s="95" t="s">
        <v>58</v>
      </c>
      <c r="B71" s="96" t="s">
        <v>79</v>
      </c>
      <c r="C71" s="120"/>
      <c r="D71" s="153"/>
      <c r="E71" s="120"/>
      <c r="F71" s="120"/>
      <c r="G71" s="120"/>
      <c r="H71" s="120"/>
      <c r="I71" s="148"/>
      <c r="J71" s="120"/>
      <c r="K71" s="148"/>
      <c r="L71" s="120"/>
      <c r="M71" s="120"/>
      <c r="N71" s="120"/>
      <c r="O71" s="120"/>
      <c r="P71" s="148"/>
      <c r="Q71" s="120"/>
      <c r="R71" s="148"/>
      <c r="S71" s="120"/>
      <c r="T71" s="120"/>
      <c r="U71" s="120"/>
      <c r="V71" s="120"/>
      <c r="W71" s="148"/>
      <c r="X71" s="120"/>
      <c r="Y71" s="148"/>
      <c r="Z71" s="120"/>
      <c r="AA71" s="120"/>
      <c r="AB71" s="120"/>
      <c r="AC71" s="120"/>
      <c r="AD71" s="148"/>
      <c r="AE71" s="148"/>
      <c r="AF71" s="148"/>
      <c r="AG71" s="66">
        <f t="shared" si="5"/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6"/>
        <v>淳淳</v>
      </c>
      <c r="AJ71" s="73"/>
    </row>
    <row r="72" spans="1:36" ht="18" customHeight="1">
      <c r="A72" s="95" t="s">
        <v>58</v>
      </c>
      <c r="B72" s="96" t="s">
        <v>80</v>
      </c>
      <c r="C72" s="120"/>
      <c r="D72" s="153"/>
      <c r="E72" s="120"/>
      <c r="F72" s="120"/>
      <c r="G72" s="120"/>
      <c r="H72" s="120"/>
      <c r="I72" s="148"/>
      <c r="J72" s="120"/>
      <c r="K72" s="148"/>
      <c r="L72" s="120"/>
      <c r="M72" s="120"/>
      <c r="N72" s="120"/>
      <c r="O72" s="120"/>
      <c r="P72" s="148"/>
      <c r="Q72" s="120"/>
      <c r="R72" s="148"/>
      <c r="S72" s="120"/>
      <c r="T72" s="120"/>
      <c r="U72" s="120"/>
      <c r="V72" s="120"/>
      <c r="W72" s="148"/>
      <c r="X72" s="120"/>
      <c r="Y72" s="148"/>
      <c r="Z72" s="120"/>
      <c r="AA72" s="120"/>
      <c r="AB72" s="120"/>
      <c r="AC72" s="120"/>
      <c r="AD72" s="148"/>
      <c r="AE72" s="148"/>
      <c r="AF72" s="148"/>
      <c r="AG72" s="66">
        <f t="shared" si="5"/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6"/>
        <v>禿鷹</v>
      </c>
      <c r="AJ72" s="73"/>
    </row>
    <row r="73" spans="1:36" ht="18" customHeight="1">
      <c r="A73" s="95" t="s">
        <v>58</v>
      </c>
      <c r="B73" s="96" t="s">
        <v>81</v>
      </c>
      <c r="C73" s="120"/>
      <c r="D73" s="153"/>
      <c r="E73" s="120"/>
      <c r="F73" s="120"/>
      <c r="G73" s="120"/>
      <c r="H73" s="120"/>
      <c r="I73" s="148"/>
      <c r="J73" s="120"/>
      <c r="K73" s="148"/>
      <c r="L73" s="120"/>
      <c r="M73" s="120"/>
      <c r="N73" s="120"/>
      <c r="O73" s="120"/>
      <c r="P73" s="148"/>
      <c r="Q73" s="120"/>
      <c r="R73" s="148"/>
      <c r="S73" s="120"/>
      <c r="T73" s="120"/>
      <c r="U73" s="120"/>
      <c r="V73" s="120"/>
      <c r="W73" s="148"/>
      <c r="X73" s="120"/>
      <c r="Y73" s="148"/>
      <c r="Z73" s="120"/>
      <c r="AA73" s="120"/>
      <c r="AB73" s="120"/>
      <c r="AC73" s="120"/>
      <c r="AD73" s="148"/>
      <c r="AE73" s="148"/>
      <c r="AF73" s="148"/>
      <c r="AG73" s="66">
        <f t="shared" si="5"/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6"/>
        <v>王宏</v>
      </c>
      <c r="AJ73" s="73"/>
    </row>
    <row r="74" spans="1:36" ht="18" customHeight="1">
      <c r="A74" s="95" t="s">
        <v>58</v>
      </c>
      <c r="B74" s="96" t="s">
        <v>82</v>
      </c>
      <c r="C74" s="120"/>
      <c r="D74" s="153"/>
      <c r="E74" s="120"/>
      <c r="F74" s="120"/>
      <c r="G74" s="120"/>
      <c r="H74" s="120"/>
      <c r="I74" s="148"/>
      <c r="J74" s="120"/>
      <c r="K74" s="148"/>
      <c r="L74" s="120"/>
      <c r="M74" s="120"/>
      <c r="N74" s="120"/>
      <c r="O74" s="120"/>
      <c r="P74" s="148"/>
      <c r="Q74" s="120"/>
      <c r="R74" s="148"/>
      <c r="S74" s="120"/>
      <c r="T74" s="120"/>
      <c r="U74" s="120"/>
      <c r="V74" s="120"/>
      <c r="W74" s="148"/>
      <c r="X74" s="120"/>
      <c r="Y74" s="148"/>
      <c r="Z74" s="120"/>
      <c r="AA74" s="120"/>
      <c r="AB74" s="120"/>
      <c r="AC74" s="120"/>
      <c r="AD74" s="148"/>
      <c r="AE74" s="148"/>
      <c r="AF74" s="148"/>
      <c r="AG74" s="66">
        <f t="shared" si="5"/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6"/>
        <v>犀牛</v>
      </c>
      <c r="AJ74" s="73"/>
    </row>
    <row r="75" spans="1:36" ht="18" customHeight="1">
      <c r="A75" s="95" t="s">
        <v>58</v>
      </c>
      <c r="B75" s="96" t="s">
        <v>83</v>
      </c>
      <c r="C75" s="120"/>
      <c r="D75" s="153"/>
      <c r="E75" s="120"/>
      <c r="F75" s="120"/>
      <c r="G75" s="120"/>
      <c r="H75" s="120"/>
      <c r="I75" s="148"/>
      <c r="J75" s="120"/>
      <c r="K75" s="148"/>
      <c r="L75" s="120"/>
      <c r="M75" s="120"/>
      <c r="N75" s="120"/>
      <c r="O75" s="120"/>
      <c r="P75" s="148"/>
      <c r="Q75" s="120"/>
      <c r="R75" s="148"/>
      <c r="S75" s="120"/>
      <c r="T75" s="120"/>
      <c r="U75" s="120"/>
      <c r="V75" s="120"/>
      <c r="W75" s="148"/>
      <c r="X75" s="120"/>
      <c r="Y75" s="148"/>
      <c r="Z75" s="120"/>
      <c r="AA75" s="120"/>
      <c r="AB75" s="120"/>
      <c r="AC75" s="120"/>
      <c r="AD75" s="148"/>
      <c r="AE75" s="148"/>
      <c r="AF75" s="148"/>
      <c r="AG75" s="66">
        <f t="shared" si="5"/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6"/>
        <v>來福</v>
      </c>
      <c r="AJ75" s="73"/>
    </row>
    <row r="76" spans="1:36" ht="18" customHeight="1">
      <c r="A76" s="95" t="s">
        <v>58</v>
      </c>
      <c r="B76" s="96" t="s">
        <v>84</v>
      </c>
      <c r="C76" s="120"/>
      <c r="D76" s="153"/>
      <c r="E76" s="120"/>
      <c r="F76" s="120"/>
      <c r="G76" s="120"/>
      <c r="H76" s="120"/>
      <c r="I76" s="148"/>
      <c r="J76" s="120"/>
      <c r="K76" s="148"/>
      <c r="L76" s="120"/>
      <c r="M76" s="120"/>
      <c r="N76" s="120"/>
      <c r="O76" s="120"/>
      <c r="P76" s="148"/>
      <c r="Q76" s="120"/>
      <c r="R76" s="148"/>
      <c r="S76" s="120"/>
      <c r="T76" s="120"/>
      <c r="U76" s="120"/>
      <c r="V76" s="120"/>
      <c r="W76" s="148"/>
      <c r="X76" s="120"/>
      <c r="Y76" s="148"/>
      <c r="Z76" s="120"/>
      <c r="AA76" s="120"/>
      <c r="AB76" s="120"/>
      <c r="AC76" s="120"/>
      <c r="AD76" s="148"/>
      <c r="AE76" s="148"/>
      <c r="AF76" s="148"/>
      <c r="AG76" s="66">
        <f t="shared" si="5"/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6"/>
        <v>誌誌</v>
      </c>
      <c r="AJ76" s="73"/>
    </row>
    <row r="77" spans="1:36" ht="18" customHeight="1">
      <c r="A77" s="95" t="s">
        <v>58</v>
      </c>
      <c r="B77" s="96" t="s">
        <v>86</v>
      </c>
      <c r="C77" s="120"/>
      <c r="D77" s="153"/>
      <c r="E77" s="120"/>
      <c r="F77" s="120"/>
      <c r="G77" s="120"/>
      <c r="H77" s="120"/>
      <c r="I77" s="148"/>
      <c r="J77" s="120"/>
      <c r="K77" s="148"/>
      <c r="L77" s="120"/>
      <c r="M77" s="120"/>
      <c r="N77" s="120"/>
      <c r="O77" s="120"/>
      <c r="P77" s="148"/>
      <c r="Q77" s="120"/>
      <c r="R77" s="148"/>
      <c r="S77" s="120"/>
      <c r="T77" s="120"/>
      <c r="U77" s="120">
        <v>1</v>
      </c>
      <c r="V77" s="120"/>
      <c r="W77" s="148"/>
      <c r="X77" s="120"/>
      <c r="Y77" s="148"/>
      <c r="Z77" s="120"/>
      <c r="AA77" s="120"/>
      <c r="AB77" s="120"/>
      <c r="AC77" s="120"/>
      <c r="AD77" s="148"/>
      <c r="AE77" s="148"/>
      <c r="AF77" s="148"/>
      <c r="AG77" s="66">
        <f t="shared" si="5"/>
        <v>1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6"/>
        <v>正誼</v>
      </c>
      <c r="AJ77" s="73"/>
    </row>
    <row r="78" spans="1:36" ht="18" customHeight="1">
      <c r="A78" s="95" t="s">
        <v>58</v>
      </c>
      <c r="B78" s="96" t="s">
        <v>32</v>
      </c>
      <c r="C78" s="120"/>
      <c r="D78" s="153"/>
      <c r="E78" s="120"/>
      <c r="F78" s="120"/>
      <c r="G78" s="120"/>
      <c r="H78" s="120"/>
      <c r="I78" s="148"/>
      <c r="J78" s="120"/>
      <c r="K78" s="148"/>
      <c r="L78" s="120"/>
      <c r="M78" s="120"/>
      <c r="N78" s="120"/>
      <c r="O78" s="120"/>
      <c r="P78" s="148"/>
      <c r="Q78" s="120"/>
      <c r="R78" s="148"/>
      <c r="S78" s="120"/>
      <c r="T78" s="120"/>
      <c r="U78" s="120"/>
      <c r="V78" s="120"/>
      <c r="W78" s="148"/>
      <c r="X78" s="120"/>
      <c r="Y78" s="148"/>
      <c r="Z78" s="120">
        <v>1</v>
      </c>
      <c r="AA78" s="120"/>
      <c r="AB78" s="120"/>
      <c r="AC78" s="120"/>
      <c r="AD78" s="148"/>
      <c r="AE78" s="148"/>
      <c r="AF78" s="148"/>
      <c r="AG78" s="66">
        <f t="shared" si="5"/>
        <v>1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6"/>
        <v>小翔</v>
      </c>
      <c r="AJ78" s="73"/>
    </row>
    <row r="79" spans="1:36" ht="18" customHeight="1">
      <c r="A79" s="95" t="s">
        <v>58</v>
      </c>
      <c r="B79" s="96" t="s">
        <v>179</v>
      </c>
      <c r="C79" s="120"/>
      <c r="D79" s="153"/>
      <c r="E79" s="120"/>
      <c r="F79" s="120"/>
      <c r="G79" s="120"/>
      <c r="H79" s="120"/>
      <c r="I79" s="148"/>
      <c r="J79" s="120"/>
      <c r="K79" s="148"/>
      <c r="L79" s="120"/>
      <c r="M79" s="120"/>
      <c r="N79" s="120"/>
      <c r="O79" s="120"/>
      <c r="P79" s="148"/>
      <c r="Q79" s="120"/>
      <c r="R79" s="148"/>
      <c r="S79" s="120"/>
      <c r="T79" s="120"/>
      <c r="U79" s="120"/>
      <c r="V79" s="120"/>
      <c r="W79" s="148"/>
      <c r="X79" s="120"/>
      <c r="Y79" s="148"/>
      <c r="Z79" s="120"/>
      <c r="AA79" s="120"/>
      <c r="AB79" s="120"/>
      <c r="AC79" s="120"/>
      <c r="AD79" s="148"/>
      <c r="AE79" s="148"/>
      <c r="AF79" s="148"/>
      <c r="AG79" s="66">
        <f t="shared" si="5"/>
        <v>0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6"/>
        <v>玹玹</v>
      </c>
      <c r="AJ79" s="73"/>
    </row>
    <row r="80" spans="1:36" ht="18" customHeight="1">
      <c r="A80" s="95" t="s">
        <v>58</v>
      </c>
      <c r="B80" s="96" t="s">
        <v>85</v>
      </c>
      <c r="C80" s="120"/>
      <c r="D80" s="153"/>
      <c r="E80" s="120"/>
      <c r="F80" s="120"/>
      <c r="G80" s="120"/>
      <c r="H80" s="120"/>
      <c r="I80" s="148"/>
      <c r="J80" s="120"/>
      <c r="K80" s="148"/>
      <c r="L80" s="120"/>
      <c r="M80" s="120"/>
      <c r="N80" s="120"/>
      <c r="O80" s="120"/>
      <c r="P80" s="148"/>
      <c r="Q80" s="120"/>
      <c r="R80" s="148"/>
      <c r="S80" s="120"/>
      <c r="T80" s="120"/>
      <c r="U80" s="120"/>
      <c r="V80" s="120"/>
      <c r="W80" s="148"/>
      <c r="X80" s="120"/>
      <c r="Y80" s="148"/>
      <c r="Z80" s="120"/>
      <c r="AA80" s="120"/>
      <c r="AB80" s="120"/>
      <c r="AC80" s="120"/>
      <c r="AD80" s="148"/>
      <c r="AE80" s="148"/>
      <c r="AF80" s="148"/>
      <c r="AG80" s="66">
        <f t="shared" si="5"/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6"/>
        <v>阿璽</v>
      </c>
      <c r="AJ80" s="73"/>
    </row>
    <row r="81" spans="1:36" ht="18" customHeight="1">
      <c r="A81" s="95" t="s">
        <v>58</v>
      </c>
      <c r="B81" s="96" t="s">
        <v>33</v>
      </c>
      <c r="C81" s="120"/>
      <c r="D81" s="153"/>
      <c r="E81" s="120"/>
      <c r="F81" s="120"/>
      <c r="G81" s="120"/>
      <c r="H81" s="120"/>
      <c r="I81" s="148"/>
      <c r="J81" s="120"/>
      <c r="K81" s="148"/>
      <c r="L81" s="120"/>
      <c r="M81" s="120"/>
      <c r="N81" s="120"/>
      <c r="O81" s="120"/>
      <c r="P81" s="148"/>
      <c r="Q81" s="120"/>
      <c r="R81" s="148"/>
      <c r="S81" s="120"/>
      <c r="T81" s="120"/>
      <c r="U81" s="120"/>
      <c r="V81" s="120"/>
      <c r="W81" s="148"/>
      <c r="X81" s="120"/>
      <c r="Y81" s="148"/>
      <c r="Z81" s="120"/>
      <c r="AA81" s="120"/>
      <c r="AB81" s="120"/>
      <c r="AC81" s="120"/>
      <c r="AD81" s="148"/>
      <c r="AE81" s="148"/>
      <c r="AF81" s="148"/>
      <c r="AG81" s="66">
        <f t="shared" si="5"/>
        <v>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6"/>
        <v>一飛</v>
      </c>
      <c r="AJ81" s="73"/>
    </row>
    <row r="82" spans="1:36" ht="18" customHeight="1">
      <c r="A82" s="95" t="s">
        <v>58</v>
      </c>
      <c r="B82" s="96" t="s">
        <v>34</v>
      </c>
      <c r="C82" s="120"/>
      <c r="D82" s="153"/>
      <c r="E82" s="120"/>
      <c r="F82" s="120"/>
      <c r="G82" s="120"/>
      <c r="H82" s="120"/>
      <c r="I82" s="148"/>
      <c r="J82" s="120"/>
      <c r="K82" s="148"/>
      <c r="L82" s="120"/>
      <c r="M82" s="120"/>
      <c r="N82" s="120"/>
      <c r="O82" s="120"/>
      <c r="P82" s="148"/>
      <c r="Q82" s="120"/>
      <c r="R82" s="148"/>
      <c r="S82" s="120"/>
      <c r="T82" s="120"/>
      <c r="U82" s="120"/>
      <c r="V82" s="120"/>
      <c r="W82" s="148"/>
      <c r="X82" s="120"/>
      <c r="Y82" s="148"/>
      <c r="Z82" s="120"/>
      <c r="AA82" s="120"/>
      <c r="AB82" s="120"/>
      <c r="AC82" s="120"/>
      <c r="AD82" s="148"/>
      <c r="AE82" s="148"/>
      <c r="AF82" s="148"/>
      <c r="AG82" s="66">
        <f t="shared" si="5"/>
        <v>0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6"/>
        <v>雲翔</v>
      </c>
      <c r="AJ82" s="70"/>
    </row>
    <row r="83" spans="1:36" ht="18" customHeight="1">
      <c r="A83" s="95" t="s">
        <v>58</v>
      </c>
      <c r="B83" s="96" t="s">
        <v>88</v>
      </c>
      <c r="C83" s="120"/>
      <c r="D83" s="153"/>
      <c r="E83" s="120"/>
      <c r="F83" s="120"/>
      <c r="G83" s="120"/>
      <c r="H83" s="120"/>
      <c r="I83" s="148"/>
      <c r="J83" s="120"/>
      <c r="K83" s="148"/>
      <c r="L83" s="120"/>
      <c r="M83" s="120"/>
      <c r="N83" s="120"/>
      <c r="O83" s="120"/>
      <c r="P83" s="148"/>
      <c r="Q83" s="120"/>
      <c r="R83" s="148"/>
      <c r="S83" s="120"/>
      <c r="T83" s="120"/>
      <c r="U83" s="120"/>
      <c r="V83" s="120"/>
      <c r="W83" s="148"/>
      <c r="X83" s="120"/>
      <c r="Y83" s="148"/>
      <c r="Z83" s="120"/>
      <c r="AA83" s="120"/>
      <c r="AB83" s="120"/>
      <c r="AC83" s="120"/>
      <c r="AD83" s="148"/>
      <c r="AE83" s="148"/>
      <c r="AF83" s="148"/>
      <c r="AG83" s="66">
        <f t="shared" si="5"/>
        <v>0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6"/>
        <v>皓皓</v>
      </c>
      <c r="AJ83" s="70"/>
    </row>
    <row r="84" spans="1:36" ht="18" customHeight="1">
      <c r="A84" s="95" t="s">
        <v>58</v>
      </c>
      <c r="B84" s="96" t="s">
        <v>35</v>
      </c>
      <c r="C84" s="120"/>
      <c r="D84" s="153"/>
      <c r="E84" s="120"/>
      <c r="F84" s="120"/>
      <c r="G84" s="120"/>
      <c r="H84" s="120"/>
      <c r="I84" s="148"/>
      <c r="J84" s="120"/>
      <c r="K84" s="148"/>
      <c r="L84" s="120"/>
      <c r="M84" s="120"/>
      <c r="N84" s="120"/>
      <c r="O84" s="120"/>
      <c r="P84" s="148"/>
      <c r="Q84" s="120"/>
      <c r="R84" s="148"/>
      <c r="S84" s="120"/>
      <c r="T84" s="120"/>
      <c r="U84" s="120"/>
      <c r="V84" s="120"/>
      <c r="W84" s="148"/>
      <c r="X84" s="120"/>
      <c r="Y84" s="148"/>
      <c r="Z84" s="120"/>
      <c r="AA84" s="120"/>
      <c r="AB84" s="120"/>
      <c r="AC84" s="120"/>
      <c r="AD84" s="148"/>
      <c r="AE84" s="148"/>
      <c r="AF84" s="148"/>
      <c r="AG84" s="66">
        <f t="shared" si="5"/>
        <v>0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6"/>
        <v>阿戴</v>
      </c>
      <c r="AJ84" s="70"/>
    </row>
    <row r="85" spans="1:36" ht="18" customHeight="1">
      <c r="A85" s="95" t="s">
        <v>58</v>
      </c>
      <c r="B85" s="96" t="s">
        <v>36</v>
      </c>
      <c r="C85" s="120"/>
      <c r="D85" s="153"/>
      <c r="E85" s="120"/>
      <c r="F85" s="120"/>
      <c r="G85" s="120"/>
      <c r="H85" s="120"/>
      <c r="I85" s="148"/>
      <c r="J85" s="120"/>
      <c r="K85" s="148"/>
      <c r="L85" s="120"/>
      <c r="M85" s="120"/>
      <c r="N85" s="120"/>
      <c r="O85" s="120"/>
      <c r="P85" s="148"/>
      <c r="Q85" s="120"/>
      <c r="R85" s="148"/>
      <c r="S85" s="120"/>
      <c r="T85" s="120"/>
      <c r="U85" s="120"/>
      <c r="V85" s="120"/>
      <c r="W85" s="148"/>
      <c r="X85" s="120"/>
      <c r="Y85" s="148"/>
      <c r="Z85" s="120"/>
      <c r="AA85" s="120"/>
      <c r="AB85" s="120"/>
      <c r="AC85" s="120"/>
      <c r="AD85" s="148"/>
      <c r="AE85" s="148"/>
      <c r="AF85" s="148"/>
      <c r="AG85" s="66">
        <f t="shared" si="5"/>
        <v>0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6"/>
        <v>子澔</v>
      </c>
      <c r="AJ85" s="70"/>
    </row>
    <row r="86" spans="1:36" ht="18" customHeight="1">
      <c r="A86" s="95" t="s">
        <v>58</v>
      </c>
      <c r="B86" s="96" t="s">
        <v>37</v>
      </c>
      <c r="C86" s="120"/>
      <c r="D86" s="153"/>
      <c r="E86" s="120"/>
      <c r="F86" s="120"/>
      <c r="G86" s="120"/>
      <c r="H86" s="120"/>
      <c r="I86" s="148"/>
      <c r="J86" s="120"/>
      <c r="K86" s="148"/>
      <c r="L86" s="120"/>
      <c r="M86" s="120"/>
      <c r="N86" s="120"/>
      <c r="O86" s="120"/>
      <c r="P86" s="148"/>
      <c r="Q86" s="120"/>
      <c r="R86" s="148"/>
      <c r="S86" s="120"/>
      <c r="T86" s="120"/>
      <c r="U86" s="120"/>
      <c r="V86" s="120">
        <v>1</v>
      </c>
      <c r="W86" s="148"/>
      <c r="X86" s="120">
        <v>1</v>
      </c>
      <c r="Y86" s="148"/>
      <c r="Z86" s="120">
        <v>1</v>
      </c>
      <c r="AA86" s="120"/>
      <c r="AB86" s="120"/>
      <c r="AC86" s="120"/>
      <c r="AD86" s="148"/>
      <c r="AE86" s="148"/>
      <c r="AF86" s="148"/>
      <c r="AG86" s="66">
        <f t="shared" si="5"/>
        <v>3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6"/>
        <v>魚仔</v>
      </c>
      <c r="AJ86" s="70"/>
    </row>
    <row r="87" spans="1:36" ht="18" customHeight="1">
      <c r="A87" s="95" t="s">
        <v>58</v>
      </c>
      <c r="B87" s="96" t="s">
        <v>87</v>
      </c>
      <c r="C87" s="120"/>
      <c r="D87" s="153"/>
      <c r="E87" s="120">
        <v>1</v>
      </c>
      <c r="F87" s="120"/>
      <c r="G87" s="120"/>
      <c r="H87" s="120"/>
      <c r="I87" s="148"/>
      <c r="J87" s="120"/>
      <c r="K87" s="148"/>
      <c r="L87" s="120"/>
      <c r="M87" s="120"/>
      <c r="N87" s="120"/>
      <c r="O87" s="120">
        <v>1</v>
      </c>
      <c r="P87" s="148"/>
      <c r="Q87" s="120">
        <v>1</v>
      </c>
      <c r="R87" s="148"/>
      <c r="S87" s="120"/>
      <c r="T87" s="120"/>
      <c r="U87" s="120"/>
      <c r="V87" s="120">
        <v>1</v>
      </c>
      <c r="W87" s="148"/>
      <c r="X87" s="120">
        <v>1</v>
      </c>
      <c r="Y87" s="148"/>
      <c r="Z87" s="120">
        <v>1</v>
      </c>
      <c r="AA87" s="120"/>
      <c r="AB87" s="120"/>
      <c r="AC87" s="120"/>
      <c r="AD87" s="148"/>
      <c r="AE87" s="148"/>
      <c r="AF87" s="148"/>
      <c r="AG87" s="66">
        <f t="shared" si="5"/>
        <v>6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6"/>
        <v>Mango</v>
      </c>
      <c r="AJ87" s="70"/>
    </row>
    <row r="88" spans="1:36" ht="18" customHeight="1">
      <c r="A88" s="95" t="s">
        <v>58</v>
      </c>
      <c r="B88" s="96" t="s">
        <v>38</v>
      </c>
      <c r="C88" s="120"/>
      <c r="D88" s="153"/>
      <c r="E88" s="120"/>
      <c r="F88" s="120"/>
      <c r="G88" s="120"/>
      <c r="H88" s="120"/>
      <c r="I88" s="148"/>
      <c r="J88" s="120"/>
      <c r="K88" s="148"/>
      <c r="L88" s="120"/>
      <c r="M88" s="120"/>
      <c r="N88" s="120"/>
      <c r="O88" s="120"/>
      <c r="P88" s="148"/>
      <c r="Q88" s="120"/>
      <c r="R88" s="148"/>
      <c r="S88" s="120"/>
      <c r="T88" s="120"/>
      <c r="U88" s="120"/>
      <c r="V88" s="120"/>
      <c r="W88" s="148"/>
      <c r="X88" s="120"/>
      <c r="Y88" s="148"/>
      <c r="Z88" s="120"/>
      <c r="AA88" s="120"/>
      <c r="AB88" s="120"/>
      <c r="AC88" s="120"/>
      <c r="AD88" s="148"/>
      <c r="AE88" s="148"/>
      <c r="AF88" s="148"/>
      <c r="AG88" s="66">
        <f t="shared" si="5"/>
        <v>0</v>
      </c>
      <c r="AH88" s="6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69" t="str">
        <f t="shared" si="6"/>
        <v>阿龍</v>
      </c>
      <c r="AJ88" s="70"/>
    </row>
    <row r="89" spans="1:36" ht="18" customHeight="1">
      <c r="A89" s="95" t="s">
        <v>58</v>
      </c>
      <c r="B89" s="96" t="s">
        <v>39</v>
      </c>
      <c r="C89" s="120">
        <v>1</v>
      </c>
      <c r="D89" s="153"/>
      <c r="E89" s="120"/>
      <c r="F89" s="120"/>
      <c r="G89" s="120">
        <v>1</v>
      </c>
      <c r="H89" s="120"/>
      <c r="I89" s="148"/>
      <c r="J89" s="120">
        <v>1</v>
      </c>
      <c r="K89" s="148"/>
      <c r="L89" s="120"/>
      <c r="M89" s="120"/>
      <c r="N89" s="120"/>
      <c r="O89" s="120">
        <v>1</v>
      </c>
      <c r="P89" s="148"/>
      <c r="Q89" s="120"/>
      <c r="R89" s="148"/>
      <c r="S89" s="120">
        <v>1</v>
      </c>
      <c r="T89" s="120">
        <v>1</v>
      </c>
      <c r="U89" s="120">
        <v>1</v>
      </c>
      <c r="V89" s="120">
        <v>1</v>
      </c>
      <c r="W89" s="148"/>
      <c r="X89" s="120">
        <v>1</v>
      </c>
      <c r="Y89" s="148"/>
      <c r="Z89" s="120">
        <v>1</v>
      </c>
      <c r="AA89" s="120"/>
      <c r="AB89" s="120">
        <v>1</v>
      </c>
      <c r="AC89" s="120"/>
      <c r="AD89" s="148"/>
      <c r="AE89" s="148"/>
      <c r="AF89" s="148"/>
      <c r="AG89" s="66">
        <f t="shared" si="5"/>
        <v>11</v>
      </c>
      <c r="AH89" s="6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69" t="s">
        <v>39</v>
      </c>
      <c r="AJ89" s="70"/>
    </row>
    <row r="90" spans="1:36" ht="18" customHeight="1">
      <c r="A90" s="95" t="s">
        <v>58</v>
      </c>
      <c r="B90" s="96" t="s">
        <v>223</v>
      </c>
      <c r="C90" s="120"/>
      <c r="D90" s="153"/>
      <c r="E90" s="120"/>
      <c r="F90" s="120"/>
      <c r="G90" s="120">
        <v>1</v>
      </c>
      <c r="H90" s="120"/>
      <c r="I90" s="148"/>
      <c r="J90" s="120"/>
      <c r="K90" s="148"/>
      <c r="L90" s="120">
        <v>1</v>
      </c>
      <c r="M90" s="120"/>
      <c r="N90" s="120">
        <v>1</v>
      </c>
      <c r="O90" s="120"/>
      <c r="P90" s="148"/>
      <c r="Q90" s="120"/>
      <c r="R90" s="148"/>
      <c r="S90" s="120"/>
      <c r="T90" s="120"/>
      <c r="U90" s="120"/>
      <c r="V90" s="160">
        <v>1</v>
      </c>
      <c r="W90" s="161"/>
      <c r="X90" s="160">
        <v>1</v>
      </c>
      <c r="Y90" s="161"/>
      <c r="Z90" s="160">
        <v>1</v>
      </c>
      <c r="AA90" s="120"/>
      <c r="AB90" s="120"/>
      <c r="AC90" s="120"/>
      <c r="AD90" s="148"/>
      <c r="AE90" s="148"/>
      <c r="AF90" s="148"/>
      <c r="AG90" s="66">
        <f t="shared" si="5"/>
        <v>6</v>
      </c>
      <c r="AH90" s="6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69" t="s">
        <v>223</v>
      </c>
      <c r="AJ90" s="70"/>
    </row>
    <row r="91" spans="1:36" ht="18" customHeight="1">
      <c r="A91" s="95"/>
      <c r="B91" s="96"/>
      <c r="C91" s="120"/>
      <c r="D91" s="153"/>
      <c r="E91" s="120"/>
      <c r="F91" s="120"/>
      <c r="G91" s="120"/>
      <c r="H91" s="120"/>
      <c r="I91" s="148"/>
      <c r="J91" s="120"/>
      <c r="K91" s="148"/>
      <c r="L91" s="120"/>
      <c r="M91" s="120"/>
      <c r="N91" s="120"/>
      <c r="O91" s="120"/>
      <c r="P91" s="148"/>
      <c r="Q91" s="120"/>
      <c r="R91" s="148"/>
      <c r="S91" s="120"/>
      <c r="T91" s="120"/>
      <c r="U91" s="120"/>
      <c r="V91" s="120"/>
      <c r="W91" s="148"/>
      <c r="X91" s="120"/>
      <c r="Y91" s="148"/>
      <c r="Z91" s="120"/>
      <c r="AA91" s="120"/>
      <c r="AB91" s="120"/>
      <c r="AC91" s="120"/>
      <c r="AD91" s="148"/>
      <c r="AE91" s="148"/>
      <c r="AF91" s="148"/>
      <c r="AG91" s="66"/>
      <c r="AH91" s="68"/>
      <c r="AI91" s="69"/>
      <c r="AJ91" s="70"/>
    </row>
    <row r="92" spans="1:36" ht="18" customHeight="1">
      <c r="A92" s="95"/>
      <c r="B92" s="96"/>
      <c r="C92" s="120"/>
      <c r="D92" s="153"/>
      <c r="E92" s="120"/>
      <c r="F92" s="120"/>
      <c r="G92" s="120"/>
      <c r="H92" s="120"/>
      <c r="I92" s="148"/>
      <c r="J92" s="120"/>
      <c r="K92" s="148"/>
      <c r="L92" s="120"/>
      <c r="M92" s="120"/>
      <c r="N92" s="120"/>
      <c r="O92" s="120"/>
      <c r="P92" s="148"/>
      <c r="Q92" s="120"/>
      <c r="R92" s="148"/>
      <c r="S92" s="120"/>
      <c r="T92" s="120"/>
      <c r="U92" s="120"/>
      <c r="V92" s="120"/>
      <c r="W92" s="148"/>
      <c r="X92" s="120"/>
      <c r="Y92" s="148"/>
      <c r="Z92" s="120"/>
      <c r="AA92" s="120"/>
      <c r="AB92" s="120"/>
      <c r="AC92" s="120"/>
      <c r="AD92" s="148"/>
      <c r="AE92" s="148"/>
      <c r="AF92" s="148"/>
      <c r="AG92" s="66"/>
      <c r="AH92" s="142"/>
      <c r="AI92" s="69"/>
      <c r="AJ92" s="70"/>
    </row>
    <row r="93" spans="1:36" ht="18" customHeight="1">
      <c r="A93" s="99" t="s">
        <v>58</v>
      </c>
      <c r="B93" s="100" t="s">
        <v>151</v>
      </c>
      <c r="C93" s="99"/>
      <c r="D93" s="153"/>
      <c r="E93" s="99">
        <v>1</v>
      </c>
      <c r="F93" s="99"/>
      <c r="G93" s="99"/>
      <c r="H93" s="99"/>
      <c r="I93" s="148"/>
      <c r="J93" s="99"/>
      <c r="K93" s="148"/>
      <c r="L93" s="99"/>
      <c r="M93" s="99"/>
      <c r="N93" s="99"/>
      <c r="O93" s="99"/>
      <c r="P93" s="148"/>
      <c r="Q93" s="99">
        <v>1</v>
      </c>
      <c r="R93" s="148"/>
      <c r="S93" s="99"/>
      <c r="T93" s="99"/>
      <c r="U93" s="99"/>
      <c r="V93" s="99"/>
      <c r="W93" s="148"/>
      <c r="X93" s="99">
        <v>1</v>
      </c>
      <c r="Y93" s="148"/>
      <c r="Z93" s="99"/>
      <c r="AA93" s="99"/>
      <c r="AB93" s="99"/>
      <c r="AC93" s="99"/>
      <c r="AD93" s="148"/>
      <c r="AE93" s="148"/>
      <c r="AF93" s="148"/>
      <c r="AG93" s="66">
        <f t="shared" ref="AG93:AG140" si="7">COUNTA(C93:AF93)</f>
        <v>3</v>
      </c>
      <c r="AH93" s="9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79" t="str">
        <f t="shared" ref="AI93:AI112" si="8">B93</f>
        <v>宇嬅</v>
      </c>
      <c r="AJ93" s="82"/>
    </row>
    <row r="94" spans="1:36" ht="18" customHeight="1">
      <c r="A94" s="99" t="s">
        <v>58</v>
      </c>
      <c r="B94" s="100" t="s">
        <v>152</v>
      </c>
      <c r="C94" s="99"/>
      <c r="D94" s="153"/>
      <c r="E94" s="99"/>
      <c r="F94" s="99"/>
      <c r="G94" s="99"/>
      <c r="H94" s="99"/>
      <c r="I94" s="148"/>
      <c r="J94" s="99"/>
      <c r="K94" s="148"/>
      <c r="L94" s="99"/>
      <c r="M94" s="99"/>
      <c r="N94" s="99"/>
      <c r="O94" s="99"/>
      <c r="P94" s="148"/>
      <c r="Q94" s="99"/>
      <c r="R94" s="148"/>
      <c r="S94" s="99"/>
      <c r="T94" s="99"/>
      <c r="U94" s="99"/>
      <c r="V94" s="99"/>
      <c r="W94" s="148"/>
      <c r="X94" s="99"/>
      <c r="Y94" s="148"/>
      <c r="Z94" s="99"/>
      <c r="AA94" s="99"/>
      <c r="AB94" s="99"/>
      <c r="AC94" s="99"/>
      <c r="AD94" s="148"/>
      <c r="AE94" s="148"/>
      <c r="AF94" s="148"/>
      <c r="AG94" s="66">
        <f t="shared" si="7"/>
        <v>0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si="8"/>
        <v>阿俗</v>
      </c>
      <c r="AJ94" s="81"/>
    </row>
    <row r="95" spans="1:36" ht="18" customHeight="1">
      <c r="A95" s="99" t="s">
        <v>58</v>
      </c>
      <c r="B95" s="100" t="s">
        <v>153</v>
      </c>
      <c r="C95" s="99"/>
      <c r="D95" s="153"/>
      <c r="E95" s="99"/>
      <c r="F95" s="99"/>
      <c r="G95" s="99"/>
      <c r="H95" s="99"/>
      <c r="I95" s="148"/>
      <c r="J95" s="99"/>
      <c r="K95" s="148"/>
      <c r="L95" s="99"/>
      <c r="M95" s="99"/>
      <c r="N95" s="99"/>
      <c r="O95" s="99"/>
      <c r="P95" s="148"/>
      <c r="Q95" s="99"/>
      <c r="R95" s="148"/>
      <c r="S95" s="99"/>
      <c r="T95" s="99"/>
      <c r="U95" s="99"/>
      <c r="V95" s="99"/>
      <c r="W95" s="148"/>
      <c r="X95" s="99"/>
      <c r="Y95" s="148"/>
      <c r="Z95" s="99"/>
      <c r="AA95" s="99"/>
      <c r="AB95" s="99"/>
      <c r="AC95" s="99"/>
      <c r="AD95" s="148"/>
      <c r="AE95" s="148"/>
      <c r="AF95" s="148"/>
      <c r="AG95" s="66">
        <f t="shared" si="7"/>
        <v>0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8"/>
        <v>傻妹</v>
      </c>
      <c r="AJ95" s="81"/>
    </row>
    <row r="96" spans="1:36" ht="18" customHeight="1">
      <c r="A96" s="99" t="s">
        <v>58</v>
      </c>
      <c r="B96" s="100" t="s">
        <v>96</v>
      </c>
      <c r="C96" s="99"/>
      <c r="D96" s="153"/>
      <c r="E96" s="99"/>
      <c r="F96" s="99"/>
      <c r="G96" s="99"/>
      <c r="H96" s="99"/>
      <c r="I96" s="148"/>
      <c r="J96" s="99"/>
      <c r="K96" s="148"/>
      <c r="L96" s="99"/>
      <c r="M96" s="99"/>
      <c r="N96" s="99"/>
      <c r="O96" s="99"/>
      <c r="P96" s="148"/>
      <c r="Q96" s="99"/>
      <c r="R96" s="148"/>
      <c r="S96" s="99"/>
      <c r="T96" s="99"/>
      <c r="U96" s="99"/>
      <c r="V96" s="99"/>
      <c r="W96" s="148"/>
      <c r="X96" s="99"/>
      <c r="Y96" s="148"/>
      <c r="Z96" s="99"/>
      <c r="AA96" s="99"/>
      <c r="AB96" s="99"/>
      <c r="AC96" s="99"/>
      <c r="AD96" s="148"/>
      <c r="AE96" s="148"/>
      <c r="AF96" s="148"/>
      <c r="AG96" s="66">
        <f t="shared" si="7"/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8"/>
        <v>靜婷</v>
      </c>
      <c r="AJ96" s="81"/>
    </row>
    <row r="97" spans="1:36" ht="18" customHeight="1">
      <c r="A97" s="99" t="s">
        <v>58</v>
      </c>
      <c r="B97" s="100" t="s">
        <v>154</v>
      </c>
      <c r="C97" s="99"/>
      <c r="D97" s="153"/>
      <c r="E97" s="99"/>
      <c r="F97" s="99"/>
      <c r="G97" s="99"/>
      <c r="H97" s="99"/>
      <c r="I97" s="148"/>
      <c r="J97" s="99"/>
      <c r="K97" s="148"/>
      <c r="L97" s="99"/>
      <c r="M97" s="99"/>
      <c r="N97" s="99"/>
      <c r="O97" s="99"/>
      <c r="P97" s="148"/>
      <c r="Q97" s="99"/>
      <c r="R97" s="148"/>
      <c r="S97" s="99"/>
      <c r="T97" s="99"/>
      <c r="U97" s="99"/>
      <c r="V97" s="99"/>
      <c r="W97" s="148"/>
      <c r="X97" s="99"/>
      <c r="Y97" s="148"/>
      <c r="Z97" s="99"/>
      <c r="AA97" s="99"/>
      <c r="AB97" s="99"/>
      <c r="AC97" s="99"/>
      <c r="AD97" s="148"/>
      <c r="AE97" s="148"/>
      <c r="AF97" s="148"/>
      <c r="AG97" s="66">
        <f t="shared" si="7"/>
        <v>0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8"/>
        <v>筱攸</v>
      </c>
      <c r="AJ97" s="81"/>
    </row>
    <row r="98" spans="1:36" ht="18" customHeight="1">
      <c r="A98" s="99" t="s">
        <v>58</v>
      </c>
      <c r="B98" s="100" t="s">
        <v>155</v>
      </c>
      <c r="C98" s="99"/>
      <c r="D98" s="153"/>
      <c r="E98" s="99"/>
      <c r="F98" s="99"/>
      <c r="G98" s="99">
        <v>1</v>
      </c>
      <c r="H98" s="99"/>
      <c r="I98" s="148"/>
      <c r="J98" s="99">
        <v>1</v>
      </c>
      <c r="K98" s="148"/>
      <c r="L98" s="99"/>
      <c r="M98" s="99">
        <v>1</v>
      </c>
      <c r="N98" s="99"/>
      <c r="O98" s="99">
        <v>1</v>
      </c>
      <c r="P98" s="148"/>
      <c r="Q98" s="99"/>
      <c r="R98" s="148"/>
      <c r="S98" s="99"/>
      <c r="T98" s="99"/>
      <c r="U98" s="99"/>
      <c r="V98" s="99"/>
      <c r="W98" s="148"/>
      <c r="X98" s="99"/>
      <c r="Y98" s="148"/>
      <c r="Z98" s="99"/>
      <c r="AA98" s="99"/>
      <c r="AB98" s="99"/>
      <c r="AC98" s="99"/>
      <c r="AD98" s="148"/>
      <c r="AE98" s="148"/>
      <c r="AF98" s="148"/>
      <c r="AG98" s="66">
        <f t="shared" si="7"/>
        <v>4</v>
      </c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8"/>
        <v>康康</v>
      </c>
      <c r="AJ98" s="81"/>
    </row>
    <row r="99" spans="1:36" ht="18" customHeight="1">
      <c r="A99" s="99" t="s">
        <v>58</v>
      </c>
      <c r="B99" s="100" t="s">
        <v>156</v>
      </c>
      <c r="C99" s="99"/>
      <c r="D99" s="153"/>
      <c r="E99" s="99"/>
      <c r="F99" s="99"/>
      <c r="G99" s="99"/>
      <c r="H99" s="99"/>
      <c r="I99" s="148"/>
      <c r="J99" s="99"/>
      <c r="K99" s="148"/>
      <c r="L99" s="99"/>
      <c r="M99" s="99"/>
      <c r="N99" s="99"/>
      <c r="O99" s="99"/>
      <c r="P99" s="148"/>
      <c r="Q99" s="99"/>
      <c r="R99" s="148"/>
      <c r="S99" s="99"/>
      <c r="T99" s="99"/>
      <c r="U99" s="99"/>
      <c r="V99" s="99"/>
      <c r="W99" s="148"/>
      <c r="X99" s="99"/>
      <c r="Y99" s="148"/>
      <c r="Z99" s="99"/>
      <c r="AA99" s="99"/>
      <c r="AB99" s="99"/>
      <c r="AC99" s="99"/>
      <c r="AD99" s="148"/>
      <c r="AE99" s="148"/>
      <c r="AF99" s="148"/>
      <c r="AG99" s="66">
        <f t="shared" si="7"/>
        <v>0</v>
      </c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8"/>
        <v>阿金</v>
      </c>
      <c r="AJ99" s="81"/>
    </row>
    <row r="100" spans="1:36" ht="18" customHeight="1">
      <c r="A100" s="99" t="s">
        <v>58</v>
      </c>
      <c r="B100" s="100" t="s">
        <v>157</v>
      </c>
      <c r="C100" s="99"/>
      <c r="D100" s="153"/>
      <c r="E100" s="99"/>
      <c r="F100" s="99"/>
      <c r="G100" s="99"/>
      <c r="H100" s="99"/>
      <c r="I100" s="148"/>
      <c r="J100" s="99"/>
      <c r="K100" s="148"/>
      <c r="L100" s="99"/>
      <c r="M100" s="99"/>
      <c r="N100" s="99"/>
      <c r="O100" s="99"/>
      <c r="P100" s="148"/>
      <c r="Q100" s="99"/>
      <c r="R100" s="148"/>
      <c r="S100" s="99"/>
      <c r="T100" s="99"/>
      <c r="U100" s="99"/>
      <c r="V100" s="99"/>
      <c r="W100" s="148"/>
      <c r="X100" s="99"/>
      <c r="Y100" s="148"/>
      <c r="Z100" s="99"/>
      <c r="AA100" s="99"/>
      <c r="AB100" s="99"/>
      <c r="AC100" s="99"/>
      <c r="AD100" s="148"/>
      <c r="AE100" s="148"/>
      <c r="AF100" s="148"/>
      <c r="AG100" s="66">
        <f t="shared" si="7"/>
        <v>0</v>
      </c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si="8"/>
        <v>派大</v>
      </c>
      <c r="AJ100" s="81"/>
    </row>
    <row r="101" spans="1:36" ht="18" customHeight="1">
      <c r="A101" s="99" t="s">
        <v>58</v>
      </c>
      <c r="B101" s="100" t="s">
        <v>158</v>
      </c>
      <c r="C101" s="99"/>
      <c r="D101" s="153"/>
      <c r="E101" s="99"/>
      <c r="F101" s="99"/>
      <c r="G101" s="99"/>
      <c r="H101" s="99"/>
      <c r="I101" s="148"/>
      <c r="J101" s="99"/>
      <c r="K101" s="148"/>
      <c r="L101" s="99"/>
      <c r="M101" s="99"/>
      <c r="N101" s="99"/>
      <c r="O101" s="99"/>
      <c r="P101" s="148"/>
      <c r="Q101" s="99"/>
      <c r="R101" s="148"/>
      <c r="S101" s="99"/>
      <c r="T101" s="99"/>
      <c r="U101" s="99"/>
      <c r="V101" s="99"/>
      <c r="W101" s="148"/>
      <c r="X101" s="99"/>
      <c r="Y101" s="148"/>
      <c r="Z101" s="99"/>
      <c r="AA101" s="99"/>
      <c r="AB101" s="99"/>
      <c r="AC101" s="99"/>
      <c r="AD101" s="148"/>
      <c r="AE101" s="148"/>
      <c r="AF101" s="148"/>
      <c r="AG101" s="66">
        <f t="shared" si="7"/>
        <v>0</v>
      </c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8"/>
        <v>吉娃</v>
      </c>
      <c r="AJ101" s="81"/>
    </row>
    <row r="102" spans="1:36" ht="18" customHeight="1">
      <c r="A102" s="99" t="s">
        <v>58</v>
      </c>
      <c r="B102" s="100" t="s">
        <v>159</v>
      </c>
      <c r="C102" s="99"/>
      <c r="D102" s="153"/>
      <c r="E102" s="99"/>
      <c r="F102" s="99"/>
      <c r="G102" s="99"/>
      <c r="H102" s="99"/>
      <c r="I102" s="148"/>
      <c r="J102" s="99"/>
      <c r="K102" s="148"/>
      <c r="L102" s="99"/>
      <c r="M102" s="99"/>
      <c r="N102" s="99"/>
      <c r="O102" s="99"/>
      <c r="P102" s="148"/>
      <c r="Q102" s="99"/>
      <c r="R102" s="148"/>
      <c r="S102" s="99"/>
      <c r="T102" s="99"/>
      <c r="U102" s="99"/>
      <c r="V102" s="99"/>
      <c r="W102" s="148"/>
      <c r="X102" s="99"/>
      <c r="Y102" s="148"/>
      <c r="Z102" s="99"/>
      <c r="AA102" s="99"/>
      <c r="AB102" s="99"/>
      <c r="AC102" s="99"/>
      <c r="AD102" s="148"/>
      <c r="AE102" s="148"/>
      <c r="AF102" s="148"/>
      <c r="AG102" s="66">
        <f t="shared" si="7"/>
        <v>0</v>
      </c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8"/>
        <v>小寧</v>
      </c>
      <c r="AJ102" s="81"/>
    </row>
    <row r="103" spans="1:36" ht="18" customHeight="1">
      <c r="A103" s="99" t="s">
        <v>58</v>
      </c>
      <c r="B103" s="100" t="s">
        <v>160</v>
      </c>
      <c r="C103" s="99"/>
      <c r="D103" s="153"/>
      <c r="E103" s="99"/>
      <c r="F103" s="99"/>
      <c r="G103" s="99"/>
      <c r="H103" s="99"/>
      <c r="I103" s="148"/>
      <c r="J103" s="99"/>
      <c r="K103" s="148"/>
      <c r="L103" s="99"/>
      <c r="M103" s="99"/>
      <c r="N103" s="99"/>
      <c r="O103" s="99"/>
      <c r="P103" s="148"/>
      <c r="Q103" s="99"/>
      <c r="R103" s="148"/>
      <c r="S103" s="99"/>
      <c r="T103" s="99"/>
      <c r="U103" s="99"/>
      <c r="V103" s="99"/>
      <c r="W103" s="148"/>
      <c r="X103" s="99"/>
      <c r="Y103" s="148"/>
      <c r="Z103" s="99"/>
      <c r="AA103" s="99"/>
      <c r="AB103" s="99"/>
      <c r="AC103" s="99"/>
      <c r="AD103" s="148"/>
      <c r="AE103" s="148"/>
      <c r="AF103" s="148"/>
      <c r="AG103" s="66">
        <f t="shared" si="7"/>
        <v>0</v>
      </c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8"/>
        <v>小妹</v>
      </c>
      <c r="AJ103" s="81"/>
    </row>
    <row r="104" spans="1:36" ht="18" customHeight="1">
      <c r="A104" s="99" t="s">
        <v>58</v>
      </c>
      <c r="B104" s="100" t="s">
        <v>101</v>
      </c>
      <c r="C104" s="99"/>
      <c r="D104" s="153"/>
      <c r="E104" s="99"/>
      <c r="F104" s="99"/>
      <c r="G104" s="99"/>
      <c r="H104" s="99"/>
      <c r="I104" s="148"/>
      <c r="J104" s="99"/>
      <c r="K104" s="148"/>
      <c r="L104" s="99"/>
      <c r="M104" s="99"/>
      <c r="N104" s="99"/>
      <c r="O104" s="99"/>
      <c r="P104" s="148"/>
      <c r="Q104" s="99"/>
      <c r="R104" s="148"/>
      <c r="S104" s="99"/>
      <c r="T104" s="99"/>
      <c r="U104" s="99"/>
      <c r="V104" s="99"/>
      <c r="W104" s="148"/>
      <c r="X104" s="99"/>
      <c r="Y104" s="148"/>
      <c r="Z104" s="99"/>
      <c r="AA104" s="99"/>
      <c r="AB104" s="99"/>
      <c r="AC104" s="99"/>
      <c r="AD104" s="148"/>
      <c r="AE104" s="148"/>
      <c r="AF104" s="148"/>
      <c r="AG104" s="66">
        <f t="shared" si="7"/>
        <v>0</v>
      </c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8"/>
        <v>文媛</v>
      </c>
      <c r="AJ104" s="81"/>
    </row>
    <row r="105" spans="1:36" ht="18" customHeight="1">
      <c r="A105" s="99" t="s">
        <v>58</v>
      </c>
      <c r="B105" s="100" t="s">
        <v>161</v>
      </c>
      <c r="C105" s="99"/>
      <c r="D105" s="153"/>
      <c r="E105" s="99"/>
      <c r="F105" s="99"/>
      <c r="G105" s="99"/>
      <c r="H105" s="99"/>
      <c r="I105" s="148"/>
      <c r="J105" s="99"/>
      <c r="K105" s="148"/>
      <c r="L105" s="99"/>
      <c r="M105" s="99"/>
      <c r="N105" s="99"/>
      <c r="O105" s="99"/>
      <c r="P105" s="148"/>
      <c r="Q105" s="99"/>
      <c r="R105" s="148"/>
      <c r="S105" s="99"/>
      <c r="T105" s="99"/>
      <c r="U105" s="99"/>
      <c r="V105" s="99"/>
      <c r="W105" s="148"/>
      <c r="X105" s="99"/>
      <c r="Y105" s="148"/>
      <c r="Z105" s="99"/>
      <c r="AA105" s="99"/>
      <c r="AB105" s="99"/>
      <c r="AC105" s="99"/>
      <c r="AD105" s="148"/>
      <c r="AE105" s="148"/>
      <c r="AF105" s="148"/>
      <c r="AG105" s="66">
        <f t="shared" si="7"/>
        <v>0</v>
      </c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8"/>
        <v>佩鈺</v>
      </c>
      <c r="AJ105" s="81"/>
    </row>
    <row r="106" spans="1:36" ht="18" customHeight="1">
      <c r="A106" s="99" t="s">
        <v>58</v>
      </c>
      <c r="B106" s="100" t="s">
        <v>162</v>
      </c>
      <c r="C106" s="99"/>
      <c r="D106" s="153"/>
      <c r="E106" s="99"/>
      <c r="F106" s="99"/>
      <c r="G106" s="99"/>
      <c r="H106" s="99"/>
      <c r="I106" s="148"/>
      <c r="J106" s="99"/>
      <c r="K106" s="148"/>
      <c r="L106" s="99"/>
      <c r="M106" s="99"/>
      <c r="N106" s="99"/>
      <c r="O106" s="99"/>
      <c r="P106" s="148"/>
      <c r="Q106" s="99"/>
      <c r="R106" s="148"/>
      <c r="S106" s="99"/>
      <c r="T106" s="99"/>
      <c r="U106" s="99"/>
      <c r="V106" s="99"/>
      <c r="W106" s="148"/>
      <c r="X106" s="99"/>
      <c r="Y106" s="148"/>
      <c r="Z106" s="99"/>
      <c r="AA106" s="99"/>
      <c r="AB106" s="99"/>
      <c r="AC106" s="99"/>
      <c r="AD106" s="148"/>
      <c r="AE106" s="148"/>
      <c r="AF106" s="148"/>
      <c r="AG106" s="66">
        <f t="shared" si="7"/>
        <v>0</v>
      </c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8"/>
        <v>阿布</v>
      </c>
      <c r="AJ106" s="81"/>
    </row>
    <row r="107" spans="1:36" ht="18" customHeight="1">
      <c r="A107" s="99" t="s">
        <v>58</v>
      </c>
      <c r="B107" s="100" t="s">
        <v>100</v>
      </c>
      <c r="C107" s="99"/>
      <c r="D107" s="153"/>
      <c r="E107" s="99"/>
      <c r="F107" s="99"/>
      <c r="G107" s="99"/>
      <c r="H107" s="99"/>
      <c r="I107" s="148"/>
      <c r="J107" s="99"/>
      <c r="K107" s="148"/>
      <c r="L107" s="99"/>
      <c r="M107" s="99"/>
      <c r="N107" s="99"/>
      <c r="O107" s="99"/>
      <c r="P107" s="148"/>
      <c r="Q107" s="99">
        <v>1</v>
      </c>
      <c r="R107" s="148"/>
      <c r="S107" s="99"/>
      <c r="T107" s="99"/>
      <c r="U107" s="99"/>
      <c r="V107" s="99"/>
      <c r="W107" s="148"/>
      <c r="X107" s="99"/>
      <c r="Y107" s="148"/>
      <c r="Z107" s="99">
        <v>1</v>
      </c>
      <c r="AA107" s="99"/>
      <c r="AB107" s="99"/>
      <c r="AC107" s="99"/>
      <c r="AD107" s="148"/>
      <c r="AE107" s="148"/>
      <c r="AF107" s="148"/>
      <c r="AG107" s="66">
        <f t="shared" si="7"/>
        <v>2</v>
      </c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8"/>
        <v>餅餅</v>
      </c>
      <c r="AJ107" s="81"/>
    </row>
    <row r="108" spans="1:36" ht="18" customHeight="1">
      <c r="A108" s="99" t="s">
        <v>58</v>
      </c>
      <c r="B108" s="100" t="s">
        <v>163</v>
      </c>
      <c r="C108" s="99"/>
      <c r="D108" s="153"/>
      <c r="E108" s="99"/>
      <c r="F108" s="99"/>
      <c r="G108" s="99"/>
      <c r="H108" s="99"/>
      <c r="I108" s="148"/>
      <c r="J108" s="99"/>
      <c r="K108" s="148"/>
      <c r="L108" s="99"/>
      <c r="M108" s="99"/>
      <c r="N108" s="99"/>
      <c r="O108" s="99"/>
      <c r="P108" s="148"/>
      <c r="Q108" s="99"/>
      <c r="R108" s="148"/>
      <c r="S108" s="99"/>
      <c r="T108" s="99"/>
      <c r="U108" s="99"/>
      <c r="V108" s="99"/>
      <c r="W108" s="148"/>
      <c r="X108" s="99"/>
      <c r="Y108" s="148"/>
      <c r="Z108" s="99"/>
      <c r="AA108" s="99"/>
      <c r="AB108" s="99"/>
      <c r="AC108" s="99"/>
      <c r="AD108" s="148"/>
      <c r="AE108" s="148"/>
      <c r="AF108" s="148"/>
      <c r="AG108" s="66">
        <f t="shared" si="7"/>
        <v>0</v>
      </c>
      <c r="AH108" s="98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79" t="str">
        <f t="shared" si="8"/>
        <v>小個</v>
      </c>
      <c r="AJ108" s="81"/>
    </row>
    <row r="109" spans="1:36" ht="18" customHeight="1">
      <c r="A109" s="99" t="s">
        <v>58</v>
      </c>
      <c r="B109" s="100" t="s">
        <v>164</v>
      </c>
      <c r="C109" s="99"/>
      <c r="D109" s="153"/>
      <c r="E109" s="99"/>
      <c r="F109" s="99"/>
      <c r="G109" s="99"/>
      <c r="H109" s="99"/>
      <c r="I109" s="148"/>
      <c r="J109" s="99"/>
      <c r="K109" s="148"/>
      <c r="L109" s="99"/>
      <c r="M109" s="99"/>
      <c r="N109" s="99"/>
      <c r="O109" s="99"/>
      <c r="P109" s="148"/>
      <c r="Q109" s="99"/>
      <c r="R109" s="148"/>
      <c r="S109" s="99"/>
      <c r="T109" s="99"/>
      <c r="U109" s="99"/>
      <c r="V109" s="99"/>
      <c r="W109" s="148"/>
      <c r="X109" s="99"/>
      <c r="Y109" s="148"/>
      <c r="Z109" s="99"/>
      <c r="AA109" s="99"/>
      <c r="AB109" s="99"/>
      <c r="AC109" s="99"/>
      <c r="AD109" s="148"/>
      <c r="AE109" s="148"/>
      <c r="AF109" s="148"/>
      <c r="AG109" s="66">
        <f t="shared" si="7"/>
        <v>0</v>
      </c>
      <c r="AH109" s="98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79" t="str">
        <f t="shared" si="8"/>
        <v>小菜</v>
      </c>
      <c r="AJ109" s="81"/>
    </row>
    <row r="110" spans="1:36" ht="18" customHeight="1">
      <c r="A110" s="99" t="s">
        <v>58</v>
      </c>
      <c r="B110" s="100" t="s">
        <v>102</v>
      </c>
      <c r="C110" s="99"/>
      <c r="D110" s="153"/>
      <c r="E110" s="99"/>
      <c r="F110" s="99"/>
      <c r="G110" s="99"/>
      <c r="H110" s="99"/>
      <c r="I110" s="148"/>
      <c r="J110" s="99"/>
      <c r="K110" s="148"/>
      <c r="L110" s="99"/>
      <c r="M110" s="99"/>
      <c r="N110" s="99"/>
      <c r="O110" s="99"/>
      <c r="P110" s="148"/>
      <c r="Q110" s="99"/>
      <c r="R110" s="148"/>
      <c r="S110" s="99"/>
      <c r="T110" s="99"/>
      <c r="U110" s="99"/>
      <c r="V110" s="99"/>
      <c r="W110" s="148"/>
      <c r="X110" s="99"/>
      <c r="Y110" s="148"/>
      <c r="Z110" s="99"/>
      <c r="AA110" s="99"/>
      <c r="AB110" s="99"/>
      <c r="AC110" s="99"/>
      <c r="AD110" s="148"/>
      <c r="AE110" s="148"/>
      <c r="AF110" s="148"/>
      <c r="AG110" s="66">
        <f t="shared" si="7"/>
        <v>0</v>
      </c>
      <c r="AH110" s="98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79" t="str">
        <f t="shared" si="8"/>
        <v>妮妮</v>
      </c>
      <c r="AJ110" s="81"/>
    </row>
    <row r="111" spans="1:36" ht="18" customHeight="1">
      <c r="A111" s="99" t="s">
        <v>58</v>
      </c>
      <c r="B111" s="100" t="s">
        <v>165</v>
      </c>
      <c r="C111" s="99"/>
      <c r="D111" s="153"/>
      <c r="E111" s="99"/>
      <c r="F111" s="99"/>
      <c r="G111" s="99"/>
      <c r="H111" s="99"/>
      <c r="I111" s="148"/>
      <c r="J111" s="99"/>
      <c r="K111" s="148"/>
      <c r="L111" s="99"/>
      <c r="M111" s="99"/>
      <c r="N111" s="99"/>
      <c r="O111" s="99"/>
      <c r="P111" s="148"/>
      <c r="Q111" s="99"/>
      <c r="R111" s="148"/>
      <c r="S111" s="99"/>
      <c r="T111" s="99"/>
      <c r="U111" s="99"/>
      <c r="V111" s="99"/>
      <c r="W111" s="148"/>
      <c r="X111" s="99"/>
      <c r="Y111" s="148"/>
      <c r="Z111" s="99"/>
      <c r="AA111" s="99"/>
      <c r="AB111" s="99"/>
      <c r="AC111" s="99"/>
      <c r="AD111" s="148"/>
      <c r="AE111" s="148"/>
      <c r="AF111" s="148"/>
      <c r="AG111" s="66">
        <f t="shared" si="7"/>
        <v>0</v>
      </c>
      <c r="AH111" s="98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79" t="str">
        <f t="shared" si="8"/>
        <v>小貓</v>
      </c>
      <c r="AJ111" s="81"/>
    </row>
    <row r="112" spans="1:36" ht="18" customHeight="1">
      <c r="A112" s="99" t="s">
        <v>58</v>
      </c>
      <c r="B112" s="100" t="s">
        <v>166</v>
      </c>
      <c r="C112" s="99"/>
      <c r="D112" s="153"/>
      <c r="E112" s="99"/>
      <c r="F112" s="99"/>
      <c r="G112" s="99"/>
      <c r="H112" s="99"/>
      <c r="I112" s="148"/>
      <c r="J112" s="99"/>
      <c r="K112" s="148"/>
      <c r="L112" s="99"/>
      <c r="M112" s="99"/>
      <c r="N112" s="99"/>
      <c r="O112" s="99"/>
      <c r="P112" s="148"/>
      <c r="Q112" s="99"/>
      <c r="R112" s="148"/>
      <c r="S112" s="99"/>
      <c r="T112" s="99"/>
      <c r="U112" s="99"/>
      <c r="V112" s="99"/>
      <c r="W112" s="148"/>
      <c r="X112" s="99"/>
      <c r="Y112" s="148"/>
      <c r="Z112" s="99"/>
      <c r="AA112" s="99"/>
      <c r="AB112" s="99"/>
      <c r="AC112" s="99"/>
      <c r="AD112" s="148"/>
      <c r="AE112" s="148"/>
      <c r="AF112" s="148"/>
      <c r="AG112" s="66">
        <f t="shared" si="7"/>
        <v>0</v>
      </c>
      <c r="AH112" s="98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79" t="str">
        <f t="shared" si="8"/>
        <v>哈比</v>
      </c>
      <c r="AJ112" s="81"/>
    </row>
    <row r="113" spans="1:36" ht="18" customHeight="1">
      <c r="A113" s="99" t="s">
        <v>58</v>
      </c>
      <c r="B113" s="100" t="s">
        <v>97</v>
      </c>
      <c r="C113" s="99"/>
      <c r="D113" s="153"/>
      <c r="E113" s="99"/>
      <c r="F113" s="99"/>
      <c r="G113" s="99">
        <v>1</v>
      </c>
      <c r="H113" s="99"/>
      <c r="I113" s="148"/>
      <c r="J113" s="99"/>
      <c r="K113" s="148"/>
      <c r="L113" s="99"/>
      <c r="M113" s="99"/>
      <c r="N113" s="99"/>
      <c r="O113" s="99"/>
      <c r="P113" s="148"/>
      <c r="Q113" s="99"/>
      <c r="R113" s="148"/>
      <c r="S113" s="99"/>
      <c r="T113" s="99"/>
      <c r="U113" s="99"/>
      <c r="V113" s="99"/>
      <c r="W113" s="148"/>
      <c r="X113" s="99"/>
      <c r="Y113" s="148"/>
      <c r="Z113" s="99"/>
      <c r="AA113" s="99"/>
      <c r="AB113" s="99"/>
      <c r="AC113" s="99"/>
      <c r="AD113" s="148"/>
      <c r="AE113" s="148"/>
      <c r="AF113" s="148"/>
      <c r="AG113" s="66">
        <f t="shared" si="7"/>
        <v>1</v>
      </c>
      <c r="AH113" s="98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79" t="s">
        <v>97</v>
      </c>
      <c r="AJ113" s="81"/>
    </row>
    <row r="114" spans="1:36" ht="18" customHeight="1">
      <c r="A114" s="99" t="s">
        <v>58</v>
      </c>
      <c r="B114" s="100" t="s">
        <v>98</v>
      </c>
      <c r="C114" s="99"/>
      <c r="D114" s="153"/>
      <c r="E114" s="99"/>
      <c r="F114" s="99"/>
      <c r="G114" s="99"/>
      <c r="H114" s="99"/>
      <c r="I114" s="148"/>
      <c r="J114" s="99"/>
      <c r="K114" s="148"/>
      <c r="L114" s="99">
        <v>1</v>
      </c>
      <c r="M114" s="99"/>
      <c r="N114" s="99"/>
      <c r="O114" s="99"/>
      <c r="P114" s="148"/>
      <c r="Q114" s="99"/>
      <c r="R114" s="148"/>
      <c r="S114" s="99"/>
      <c r="T114" s="99"/>
      <c r="U114" s="99"/>
      <c r="V114" s="99"/>
      <c r="W114" s="148"/>
      <c r="X114" s="99">
        <v>1</v>
      </c>
      <c r="Y114" s="148"/>
      <c r="Z114" s="99"/>
      <c r="AA114" s="99"/>
      <c r="AB114" s="99"/>
      <c r="AC114" s="99"/>
      <c r="AD114" s="148"/>
      <c r="AE114" s="148"/>
      <c r="AF114" s="148"/>
      <c r="AG114" s="66">
        <f t="shared" si="7"/>
        <v>2</v>
      </c>
      <c r="AH114" s="98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79" t="s">
        <v>98</v>
      </c>
      <c r="AJ114" s="81"/>
    </row>
    <row r="115" spans="1:36" ht="18" customHeight="1">
      <c r="A115" s="99" t="s">
        <v>58</v>
      </c>
      <c r="B115" s="100" t="s">
        <v>99</v>
      </c>
      <c r="C115" s="99">
        <v>1</v>
      </c>
      <c r="D115" s="153"/>
      <c r="E115" s="99">
        <v>1</v>
      </c>
      <c r="F115" s="99"/>
      <c r="G115" s="99"/>
      <c r="H115" s="99"/>
      <c r="I115" s="148"/>
      <c r="J115" s="99"/>
      <c r="K115" s="148"/>
      <c r="L115" s="99"/>
      <c r="M115" s="99"/>
      <c r="N115" s="99">
        <v>1</v>
      </c>
      <c r="O115" s="99">
        <v>1</v>
      </c>
      <c r="P115" s="148"/>
      <c r="Q115" s="99"/>
      <c r="R115" s="148"/>
      <c r="S115" s="99"/>
      <c r="T115" s="99"/>
      <c r="U115" s="99"/>
      <c r="V115" s="99">
        <v>1</v>
      </c>
      <c r="W115" s="148"/>
      <c r="X115" s="99"/>
      <c r="Y115" s="148"/>
      <c r="Z115" s="99">
        <v>1</v>
      </c>
      <c r="AA115" s="99"/>
      <c r="AB115" s="99">
        <v>1</v>
      </c>
      <c r="AC115" s="99"/>
      <c r="AD115" s="148"/>
      <c r="AE115" s="148"/>
      <c r="AF115" s="148"/>
      <c r="AG115" s="66">
        <f t="shared" si="7"/>
        <v>7</v>
      </c>
      <c r="AH115" s="98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79" t="s">
        <v>99</v>
      </c>
      <c r="AJ115" s="81"/>
    </row>
    <row r="116" spans="1:36" ht="18" customHeight="1">
      <c r="A116" s="101" t="s">
        <v>58</v>
      </c>
      <c r="B116" s="102" t="s">
        <v>124</v>
      </c>
      <c r="C116" s="101"/>
      <c r="D116" s="153"/>
      <c r="E116" s="101"/>
      <c r="F116" s="101"/>
      <c r="G116" s="101"/>
      <c r="H116" s="101"/>
      <c r="I116" s="148"/>
      <c r="J116" s="101"/>
      <c r="K116" s="148"/>
      <c r="L116" s="101"/>
      <c r="M116" s="101"/>
      <c r="N116" s="101"/>
      <c r="O116" s="101"/>
      <c r="P116" s="148"/>
      <c r="Q116" s="101"/>
      <c r="R116" s="148"/>
      <c r="S116" s="101"/>
      <c r="T116" s="101"/>
      <c r="U116" s="101"/>
      <c r="V116" s="101"/>
      <c r="W116" s="148"/>
      <c r="X116" s="101"/>
      <c r="Y116" s="148"/>
      <c r="Z116" s="101"/>
      <c r="AA116" s="101"/>
      <c r="AB116" s="101"/>
      <c r="AC116" s="101"/>
      <c r="AD116" s="148"/>
      <c r="AE116" s="148"/>
      <c r="AF116" s="148"/>
      <c r="AG116" s="66">
        <f t="shared" si="7"/>
        <v>0</v>
      </c>
      <c r="AH116" s="103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88" t="str">
        <f t="shared" ref="AI116:AI140" si="9">B116</f>
        <v>玉蕙</v>
      </c>
      <c r="AJ116" s="89"/>
    </row>
    <row r="117" spans="1:36" ht="18" customHeight="1">
      <c r="A117" s="101" t="s">
        <v>58</v>
      </c>
      <c r="B117" s="102" t="s">
        <v>125</v>
      </c>
      <c r="C117" s="101"/>
      <c r="D117" s="153"/>
      <c r="E117" s="101"/>
      <c r="F117" s="101"/>
      <c r="G117" s="101"/>
      <c r="H117" s="101"/>
      <c r="I117" s="148"/>
      <c r="J117" s="101"/>
      <c r="K117" s="148"/>
      <c r="L117" s="101"/>
      <c r="M117" s="101"/>
      <c r="N117" s="101"/>
      <c r="O117" s="101"/>
      <c r="P117" s="148"/>
      <c r="Q117" s="101"/>
      <c r="R117" s="148"/>
      <c r="S117" s="101"/>
      <c r="T117" s="101"/>
      <c r="U117" s="101"/>
      <c r="V117" s="101"/>
      <c r="W117" s="148"/>
      <c r="X117" s="101"/>
      <c r="Y117" s="148"/>
      <c r="Z117" s="101"/>
      <c r="AA117" s="101"/>
      <c r="AB117" s="101"/>
      <c r="AC117" s="101"/>
      <c r="AD117" s="148"/>
      <c r="AE117" s="148"/>
      <c r="AF117" s="148"/>
      <c r="AG117" s="66">
        <f t="shared" si="7"/>
        <v>0</v>
      </c>
      <c r="AH117" s="103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si="9"/>
        <v>沛緁</v>
      </c>
      <c r="AJ117" s="89"/>
    </row>
    <row r="118" spans="1:36" ht="18" customHeight="1">
      <c r="A118" s="101" t="s">
        <v>58</v>
      </c>
      <c r="B118" s="102" t="s">
        <v>126</v>
      </c>
      <c r="C118" s="101"/>
      <c r="D118" s="153"/>
      <c r="E118" s="101"/>
      <c r="F118" s="101"/>
      <c r="G118" s="101"/>
      <c r="H118" s="101"/>
      <c r="I118" s="148"/>
      <c r="J118" s="101"/>
      <c r="K118" s="148"/>
      <c r="L118" s="101"/>
      <c r="M118" s="101"/>
      <c r="N118" s="101"/>
      <c r="O118" s="101"/>
      <c r="P118" s="148"/>
      <c r="Q118" s="101"/>
      <c r="R118" s="148"/>
      <c r="S118" s="101"/>
      <c r="T118" s="101"/>
      <c r="U118" s="101"/>
      <c r="V118" s="101"/>
      <c r="W118" s="148"/>
      <c r="X118" s="101"/>
      <c r="Y118" s="148"/>
      <c r="Z118" s="101"/>
      <c r="AA118" s="101"/>
      <c r="AB118" s="101"/>
      <c r="AC118" s="101"/>
      <c r="AD118" s="148"/>
      <c r="AE118" s="148"/>
      <c r="AF118" s="148"/>
      <c r="AG118" s="66">
        <f t="shared" si="7"/>
        <v>0</v>
      </c>
      <c r="AH118" s="103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9"/>
        <v>妹妹</v>
      </c>
      <c r="AJ118" s="89"/>
    </row>
    <row r="119" spans="1:36" ht="18" customHeight="1">
      <c r="A119" s="101" t="s">
        <v>58</v>
      </c>
      <c r="B119" s="102" t="s">
        <v>127</v>
      </c>
      <c r="C119" s="101"/>
      <c r="D119" s="153"/>
      <c r="E119" s="101">
        <v>1</v>
      </c>
      <c r="F119" s="101"/>
      <c r="G119" s="101">
        <v>1</v>
      </c>
      <c r="H119" s="101"/>
      <c r="I119" s="148"/>
      <c r="J119" s="101">
        <v>1</v>
      </c>
      <c r="K119" s="148"/>
      <c r="L119" s="101"/>
      <c r="M119" s="101">
        <v>1</v>
      </c>
      <c r="N119" s="101"/>
      <c r="O119" s="101">
        <v>1</v>
      </c>
      <c r="P119" s="148"/>
      <c r="Q119" s="101"/>
      <c r="R119" s="148"/>
      <c r="S119" s="101"/>
      <c r="T119" s="101"/>
      <c r="U119" s="101"/>
      <c r="V119" s="101"/>
      <c r="W119" s="148"/>
      <c r="X119" s="101">
        <v>1</v>
      </c>
      <c r="Y119" s="148"/>
      <c r="Z119" s="101"/>
      <c r="AA119" s="101"/>
      <c r="AB119" s="101">
        <v>1</v>
      </c>
      <c r="AC119" s="101">
        <v>1</v>
      </c>
      <c r="AD119" s="148"/>
      <c r="AE119" s="148"/>
      <c r="AF119" s="148"/>
      <c r="AG119" s="66">
        <f t="shared" si="7"/>
        <v>8</v>
      </c>
      <c r="AH119" s="103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9"/>
        <v>小雞</v>
      </c>
      <c r="AJ119" s="89"/>
    </row>
    <row r="120" spans="1:36" ht="18" customHeight="1">
      <c r="A120" s="101" t="s">
        <v>58</v>
      </c>
      <c r="B120" s="102" t="s">
        <v>128</v>
      </c>
      <c r="C120" s="101"/>
      <c r="D120" s="153"/>
      <c r="E120" s="101"/>
      <c r="F120" s="101"/>
      <c r="G120" s="101"/>
      <c r="H120" s="101"/>
      <c r="I120" s="148"/>
      <c r="J120" s="101"/>
      <c r="K120" s="148"/>
      <c r="L120" s="101"/>
      <c r="M120" s="101"/>
      <c r="N120" s="101"/>
      <c r="O120" s="101"/>
      <c r="P120" s="148"/>
      <c r="Q120" s="101"/>
      <c r="R120" s="148"/>
      <c r="S120" s="101"/>
      <c r="T120" s="101"/>
      <c r="U120" s="101"/>
      <c r="V120" s="101"/>
      <c r="W120" s="148"/>
      <c r="X120" s="101"/>
      <c r="Y120" s="148"/>
      <c r="Z120" s="101"/>
      <c r="AA120" s="101"/>
      <c r="AB120" s="101"/>
      <c r="AC120" s="101"/>
      <c r="AD120" s="148"/>
      <c r="AE120" s="148"/>
      <c r="AF120" s="148"/>
      <c r="AG120" s="66">
        <f t="shared" si="7"/>
        <v>0</v>
      </c>
      <c r="AH120" s="103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9"/>
        <v>雨昕</v>
      </c>
      <c r="AJ120" s="89"/>
    </row>
    <row r="121" spans="1:36" ht="18" customHeight="1">
      <c r="A121" s="101" t="s">
        <v>58</v>
      </c>
      <c r="B121" s="102" t="s">
        <v>129</v>
      </c>
      <c r="C121" s="101"/>
      <c r="D121" s="153"/>
      <c r="E121" s="101"/>
      <c r="F121" s="101"/>
      <c r="G121" s="101"/>
      <c r="H121" s="101"/>
      <c r="I121" s="148"/>
      <c r="J121" s="101"/>
      <c r="K121" s="148"/>
      <c r="L121" s="101"/>
      <c r="M121" s="101"/>
      <c r="N121" s="101"/>
      <c r="O121" s="101"/>
      <c r="P121" s="148"/>
      <c r="Q121" s="101"/>
      <c r="R121" s="148"/>
      <c r="S121" s="101"/>
      <c r="T121" s="101"/>
      <c r="U121" s="101"/>
      <c r="V121" s="101"/>
      <c r="W121" s="148"/>
      <c r="X121" s="101"/>
      <c r="Y121" s="148"/>
      <c r="Z121" s="101"/>
      <c r="AA121" s="101"/>
      <c r="AB121" s="101"/>
      <c r="AC121" s="101"/>
      <c r="AD121" s="148"/>
      <c r="AE121" s="148"/>
      <c r="AF121" s="148"/>
      <c r="AG121" s="66">
        <f t="shared" si="7"/>
        <v>0</v>
      </c>
      <c r="AH121" s="103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9"/>
        <v>矮矮</v>
      </c>
      <c r="AJ121" s="89"/>
    </row>
    <row r="122" spans="1:36" ht="18" customHeight="1">
      <c r="A122" s="101" t="s">
        <v>58</v>
      </c>
      <c r="B122" s="102" t="s">
        <v>130</v>
      </c>
      <c r="C122" s="101"/>
      <c r="D122" s="153"/>
      <c r="E122" s="101"/>
      <c r="F122" s="101"/>
      <c r="G122" s="101"/>
      <c r="H122" s="101"/>
      <c r="I122" s="148"/>
      <c r="J122" s="101"/>
      <c r="K122" s="148"/>
      <c r="L122" s="101"/>
      <c r="M122" s="101"/>
      <c r="N122" s="101"/>
      <c r="O122" s="101"/>
      <c r="P122" s="148"/>
      <c r="Q122" s="101"/>
      <c r="R122" s="148"/>
      <c r="S122" s="101"/>
      <c r="T122" s="101"/>
      <c r="U122" s="101"/>
      <c r="V122" s="101"/>
      <c r="W122" s="148"/>
      <c r="X122" s="101"/>
      <c r="Y122" s="148"/>
      <c r="Z122" s="101"/>
      <c r="AA122" s="101"/>
      <c r="AB122" s="101"/>
      <c r="AC122" s="101"/>
      <c r="AD122" s="148"/>
      <c r="AE122" s="148"/>
      <c r="AF122" s="148"/>
      <c r="AG122" s="66">
        <f t="shared" si="7"/>
        <v>0</v>
      </c>
      <c r="AH122" s="103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9"/>
        <v>猛女</v>
      </c>
      <c r="AJ122" s="89"/>
    </row>
    <row r="123" spans="1:36" ht="18" customHeight="1">
      <c r="A123" s="101" t="s">
        <v>58</v>
      </c>
      <c r="B123" s="102" t="s">
        <v>131</v>
      </c>
      <c r="C123" s="101"/>
      <c r="D123" s="153"/>
      <c r="E123" s="101"/>
      <c r="F123" s="101"/>
      <c r="G123" s="101"/>
      <c r="H123" s="101"/>
      <c r="I123" s="148"/>
      <c r="J123" s="101"/>
      <c r="K123" s="148"/>
      <c r="L123" s="101"/>
      <c r="M123" s="101"/>
      <c r="N123" s="101"/>
      <c r="O123" s="101"/>
      <c r="P123" s="148"/>
      <c r="Q123" s="101"/>
      <c r="R123" s="148"/>
      <c r="S123" s="101"/>
      <c r="T123" s="101"/>
      <c r="U123" s="101"/>
      <c r="V123" s="101"/>
      <c r="W123" s="148"/>
      <c r="X123" s="101"/>
      <c r="Y123" s="148"/>
      <c r="Z123" s="101"/>
      <c r="AA123" s="101"/>
      <c r="AB123" s="101"/>
      <c r="AC123" s="101"/>
      <c r="AD123" s="148"/>
      <c r="AE123" s="148"/>
      <c r="AF123" s="148"/>
      <c r="AG123" s="66">
        <f t="shared" si="7"/>
        <v>0</v>
      </c>
      <c r="AH123" s="103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9"/>
        <v>欣容</v>
      </c>
      <c r="AJ123" s="89"/>
    </row>
    <row r="124" spans="1:36" ht="18" customHeight="1">
      <c r="A124" s="101" t="s">
        <v>58</v>
      </c>
      <c r="B124" s="102" t="s">
        <v>132</v>
      </c>
      <c r="C124" s="101"/>
      <c r="D124" s="153"/>
      <c r="E124" s="101"/>
      <c r="F124" s="101"/>
      <c r="G124" s="101"/>
      <c r="H124" s="101"/>
      <c r="I124" s="148"/>
      <c r="J124" s="101"/>
      <c r="K124" s="148"/>
      <c r="L124" s="101"/>
      <c r="M124" s="101"/>
      <c r="N124" s="101"/>
      <c r="O124" s="101"/>
      <c r="P124" s="148"/>
      <c r="Q124" s="101"/>
      <c r="R124" s="148"/>
      <c r="S124" s="101"/>
      <c r="T124" s="101"/>
      <c r="U124" s="101"/>
      <c r="V124" s="101"/>
      <c r="W124" s="148"/>
      <c r="X124" s="101"/>
      <c r="Y124" s="148"/>
      <c r="Z124" s="101"/>
      <c r="AA124" s="101"/>
      <c r="AB124" s="101"/>
      <c r="AC124" s="101"/>
      <c r="AD124" s="148"/>
      <c r="AE124" s="148"/>
      <c r="AF124" s="148"/>
      <c r="AG124" s="66">
        <f t="shared" si="7"/>
        <v>0</v>
      </c>
      <c r="AH124" s="103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9"/>
        <v>萁萁</v>
      </c>
      <c r="AJ124" s="89"/>
    </row>
    <row r="125" spans="1:36" ht="18" customHeight="1">
      <c r="A125" s="101" t="s">
        <v>58</v>
      </c>
      <c r="B125" s="102" t="s">
        <v>133</v>
      </c>
      <c r="C125" s="101"/>
      <c r="D125" s="153"/>
      <c r="E125" s="101"/>
      <c r="F125" s="101"/>
      <c r="G125" s="101"/>
      <c r="H125" s="101"/>
      <c r="I125" s="148"/>
      <c r="J125" s="101"/>
      <c r="K125" s="148"/>
      <c r="L125" s="101"/>
      <c r="M125" s="101"/>
      <c r="N125" s="101"/>
      <c r="O125" s="101"/>
      <c r="P125" s="148"/>
      <c r="Q125" s="101"/>
      <c r="R125" s="148"/>
      <c r="S125" s="101"/>
      <c r="T125" s="101"/>
      <c r="U125" s="101"/>
      <c r="V125" s="101"/>
      <c r="W125" s="148"/>
      <c r="X125" s="101"/>
      <c r="Y125" s="148"/>
      <c r="Z125" s="101"/>
      <c r="AA125" s="101"/>
      <c r="AB125" s="101"/>
      <c r="AC125" s="101"/>
      <c r="AD125" s="148"/>
      <c r="AE125" s="148"/>
      <c r="AF125" s="148"/>
      <c r="AG125" s="66">
        <f t="shared" si="7"/>
        <v>0</v>
      </c>
      <c r="AH125" s="87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9"/>
        <v>萱</v>
      </c>
      <c r="AJ125" s="91"/>
    </row>
    <row r="126" spans="1:36" ht="18" customHeight="1">
      <c r="A126" s="101" t="s">
        <v>58</v>
      </c>
      <c r="B126" s="102" t="s">
        <v>134</v>
      </c>
      <c r="C126" s="101"/>
      <c r="D126" s="153"/>
      <c r="E126" s="101"/>
      <c r="F126" s="101"/>
      <c r="G126" s="101"/>
      <c r="H126" s="101"/>
      <c r="I126" s="148"/>
      <c r="J126" s="101"/>
      <c r="K126" s="148"/>
      <c r="L126" s="101"/>
      <c r="M126" s="101"/>
      <c r="N126" s="101"/>
      <c r="O126" s="101"/>
      <c r="P126" s="148"/>
      <c r="Q126" s="101"/>
      <c r="R126" s="148"/>
      <c r="S126" s="101"/>
      <c r="T126" s="101"/>
      <c r="U126" s="101"/>
      <c r="V126" s="101"/>
      <c r="W126" s="148"/>
      <c r="X126" s="101"/>
      <c r="Y126" s="148"/>
      <c r="Z126" s="101"/>
      <c r="AA126" s="101"/>
      <c r="AB126" s="101"/>
      <c r="AC126" s="101"/>
      <c r="AD126" s="148"/>
      <c r="AE126" s="148"/>
      <c r="AF126" s="148"/>
      <c r="AG126" s="66">
        <f t="shared" si="7"/>
        <v>0</v>
      </c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9"/>
        <v>Mei</v>
      </c>
      <c r="AJ126" s="91"/>
    </row>
    <row r="127" spans="1:36" ht="18" customHeight="1">
      <c r="A127" s="101" t="s">
        <v>58</v>
      </c>
      <c r="B127" s="102" t="s">
        <v>135</v>
      </c>
      <c r="C127" s="101"/>
      <c r="D127" s="153"/>
      <c r="E127" s="101"/>
      <c r="F127" s="101"/>
      <c r="G127" s="101"/>
      <c r="H127" s="101"/>
      <c r="I127" s="148"/>
      <c r="J127" s="101"/>
      <c r="K127" s="148"/>
      <c r="L127" s="101"/>
      <c r="M127" s="101"/>
      <c r="N127" s="101"/>
      <c r="O127" s="101"/>
      <c r="P127" s="148"/>
      <c r="Q127" s="101"/>
      <c r="R127" s="148"/>
      <c r="S127" s="101"/>
      <c r="T127" s="101"/>
      <c r="U127" s="101"/>
      <c r="V127" s="101"/>
      <c r="W127" s="148"/>
      <c r="X127" s="101"/>
      <c r="Y127" s="148"/>
      <c r="Z127" s="101"/>
      <c r="AA127" s="101"/>
      <c r="AB127" s="101"/>
      <c r="AC127" s="101"/>
      <c r="AD127" s="148"/>
      <c r="AE127" s="148"/>
      <c r="AF127" s="148"/>
      <c r="AG127" s="66">
        <f t="shared" si="7"/>
        <v>0</v>
      </c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9"/>
        <v>屁屁</v>
      </c>
      <c r="AJ127" s="91"/>
    </row>
    <row r="128" spans="1:36" ht="18" customHeight="1">
      <c r="A128" s="101" t="s">
        <v>58</v>
      </c>
      <c r="B128" s="102" t="s">
        <v>136</v>
      </c>
      <c r="C128" s="101"/>
      <c r="D128" s="153"/>
      <c r="E128" s="101"/>
      <c r="F128" s="101"/>
      <c r="G128" s="101"/>
      <c r="H128" s="101"/>
      <c r="I128" s="148"/>
      <c r="J128" s="101"/>
      <c r="K128" s="148"/>
      <c r="L128" s="101"/>
      <c r="M128" s="101"/>
      <c r="N128" s="101"/>
      <c r="O128" s="101"/>
      <c r="P128" s="148"/>
      <c r="Q128" s="101"/>
      <c r="R128" s="148"/>
      <c r="S128" s="101"/>
      <c r="T128" s="101"/>
      <c r="U128" s="101"/>
      <c r="V128" s="101"/>
      <c r="W128" s="148"/>
      <c r="X128" s="101"/>
      <c r="Y128" s="148"/>
      <c r="Z128" s="101"/>
      <c r="AA128" s="101"/>
      <c r="AB128" s="101"/>
      <c r="AC128" s="101"/>
      <c r="AD128" s="148"/>
      <c r="AE128" s="148"/>
      <c r="AF128" s="148"/>
      <c r="AG128" s="66">
        <f t="shared" si="7"/>
        <v>0</v>
      </c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9"/>
        <v>泡泡</v>
      </c>
      <c r="AJ128" s="91"/>
    </row>
    <row r="129" spans="1:36" ht="18" customHeight="1">
      <c r="A129" s="101" t="s">
        <v>58</v>
      </c>
      <c r="B129" s="102" t="s">
        <v>137</v>
      </c>
      <c r="C129" s="101"/>
      <c r="D129" s="153"/>
      <c r="E129" s="101"/>
      <c r="F129" s="101"/>
      <c r="G129" s="101"/>
      <c r="H129" s="101"/>
      <c r="I129" s="148"/>
      <c r="J129" s="101"/>
      <c r="K129" s="148"/>
      <c r="L129" s="101"/>
      <c r="M129" s="101"/>
      <c r="N129" s="101"/>
      <c r="O129" s="101"/>
      <c r="P129" s="148"/>
      <c r="Q129" s="101"/>
      <c r="R129" s="148"/>
      <c r="S129" s="101"/>
      <c r="T129" s="101"/>
      <c r="U129" s="101"/>
      <c r="V129" s="101"/>
      <c r="W129" s="148"/>
      <c r="X129" s="101"/>
      <c r="Y129" s="148"/>
      <c r="Z129" s="101"/>
      <c r="AA129" s="101"/>
      <c r="AB129" s="101"/>
      <c r="AC129" s="101"/>
      <c r="AD129" s="148"/>
      <c r="AE129" s="148"/>
      <c r="AF129" s="148"/>
      <c r="AG129" s="66">
        <f t="shared" si="7"/>
        <v>0</v>
      </c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9"/>
        <v>姚</v>
      </c>
      <c r="AJ129" s="91"/>
    </row>
    <row r="130" spans="1:36" ht="18" customHeight="1">
      <c r="A130" s="101" t="s">
        <v>58</v>
      </c>
      <c r="B130" s="102" t="s">
        <v>138</v>
      </c>
      <c r="C130" s="101"/>
      <c r="D130" s="153"/>
      <c r="E130" s="101"/>
      <c r="F130" s="101"/>
      <c r="G130" s="101"/>
      <c r="H130" s="101"/>
      <c r="I130" s="148"/>
      <c r="J130" s="101"/>
      <c r="K130" s="148"/>
      <c r="L130" s="101"/>
      <c r="M130" s="101"/>
      <c r="N130" s="101"/>
      <c r="O130" s="101"/>
      <c r="P130" s="148"/>
      <c r="Q130" s="101"/>
      <c r="R130" s="148"/>
      <c r="S130" s="101"/>
      <c r="T130" s="101"/>
      <c r="U130" s="101"/>
      <c r="V130" s="101"/>
      <c r="W130" s="148"/>
      <c r="X130" s="101"/>
      <c r="Y130" s="148"/>
      <c r="Z130" s="101"/>
      <c r="AA130" s="101"/>
      <c r="AB130" s="101"/>
      <c r="AC130" s="101"/>
      <c r="AD130" s="148"/>
      <c r="AE130" s="148"/>
      <c r="AF130" s="148"/>
      <c r="AG130" s="66">
        <f t="shared" si="7"/>
        <v>0</v>
      </c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9"/>
        <v>奜茜</v>
      </c>
      <c r="AJ130" s="91"/>
    </row>
    <row r="131" spans="1:36" ht="18" customHeight="1">
      <c r="A131" s="101" t="s">
        <v>58</v>
      </c>
      <c r="B131" s="115" t="s">
        <v>139</v>
      </c>
      <c r="C131" s="101"/>
      <c r="D131" s="153"/>
      <c r="E131" s="101"/>
      <c r="F131" s="101"/>
      <c r="G131" s="101"/>
      <c r="H131" s="101"/>
      <c r="I131" s="148"/>
      <c r="J131" s="101"/>
      <c r="K131" s="148"/>
      <c r="L131" s="101"/>
      <c r="M131" s="101"/>
      <c r="N131" s="101"/>
      <c r="O131" s="101"/>
      <c r="P131" s="148"/>
      <c r="Q131" s="101"/>
      <c r="R131" s="148"/>
      <c r="S131" s="101"/>
      <c r="T131" s="101"/>
      <c r="U131" s="101"/>
      <c r="V131" s="101"/>
      <c r="W131" s="148"/>
      <c r="X131" s="101"/>
      <c r="Y131" s="148"/>
      <c r="Z131" s="101"/>
      <c r="AA131" s="101"/>
      <c r="AB131" s="101"/>
      <c r="AC131" s="101"/>
      <c r="AD131" s="148"/>
      <c r="AE131" s="148"/>
      <c r="AF131" s="148"/>
      <c r="AG131" s="66">
        <f t="shared" si="7"/>
        <v>0</v>
      </c>
      <c r="AH131" s="87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88" t="str">
        <f t="shared" si="9"/>
        <v>Tina</v>
      </c>
      <c r="AJ131" s="91"/>
    </row>
    <row r="132" spans="1:36" ht="18" customHeight="1">
      <c r="A132" s="101" t="s">
        <v>58</v>
      </c>
      <c r="B132" s="115" t="s">
        <v>140</v>
      </c>
      <c r="C132" s="101"/>
      <c r="D132" s="153"/>
      <c r="E132" s="101"/>
      <c r="F132" s="101"/>
      <c r="G132" s="101"/>
      <c r="H132" s="101"/>
      <c r="I132" s="148"/>
      <c r="J132" s="101"/>
      <c r="K132" s="148"/>
      <c r="L132" s="101"/>
      <c r="M132" s="101"/>
      <c r="N132" s="101"/>
      <c r="O132" s="101"/>
      <c r="P132" s="148"/>
      <c r="Q132" s="101"/>
      <c r="R132" s="148"/>
      <c r="S132" s="101"/>
      <c r="T132" s="101"/>
      <c r="U132" s="101"/>
      <c r="V132" s="101"/>
      <c r="W132" s="148"/>
      <c r="X132" s="101"/>
      <c r="Y132" s="148"/>
      <c r="Z132" s="101"/>
      <c r="AA132" s="101"/>
      <c r="AB132" s="101"/>
      <c r="AC132" s="101"/>
      <c r="AD132" s="148"/>
      <c r="AE132" s="148"/>
      <c r="AF132" s="148"/>
      <c r="AG132" s="66">
        <f t="shared" si="7"/>
        <v>0</v>
      </c>
      <c r="AH132" s="87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88" t="str">
        <f t="shared" si="9"/>
        <v>芷琦</v>
      </c>
      <c r="AJ132" s="91"/>
    </row>
    <row r="133" spans="1:36" ht="18" customHeight="1">
      <c r="A133" s="101" t="s">
        <v>58</v>
      </c>
      <c r="B133" s="115" t="s">
        <v>106</v>
      </c>
      <c r="C133" s="101"/>
      <c r="D133" s="153"/>
      <c r="E133" s="101"/>
      <c r="F133" s="101"/>
      <c r="G133" s="101"/>
      <c r="H133" s="101"/>
      <c r="I133" s="148"/>
      <c r="J133" s="101"/>
      <c r="K133" s="148"/>
      <c r="L133" s="101"/>
      <c r="M133" s="101"/>
      <c r="N133" s="101"/>
      <c r="O133" s="101"/>
      <c r="P133" s="148"/>
      <c r="Q133" s="101"/>
      <c r="R133" s="148"/>
      <c r="S133" s="101"/>
      <c r="T133" s="101"/>
      <c r="U133" s="101"/>
      <c r="V133" s="101"/>
      <c r="W133" s="148"/>
      <c r="X133" s="101"/>
      <c r="Y133" s="148"/>
      <c r="Z133" s="101"/>
      <c r="AA133" s="101"/>
      <c r="AB133" s="101"/>
      <c r="AC133" s="101"/>
      <c r="AD133" s="148"/>
      <c r="AE133" s="148"/>
      <c r="AF133" s="148"/>
      <c r="AG133" s="66">
        <f t="shared" si="7"/>
        <v>0</v>
      </c>
      <c r="AH133" s="87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88" t="str">
        <f t="shared" si="9"/>
        <v>Nina</v>
      </c>
      <c r="AJ133" s="91"/>
    </row>
    <row r="134" spans="1:36" ht="18" customHeight="1">
      <c r="A134" s="101" t="s">
        <v>58</v>
      </c>
      <c r="B134" s="102" t="s">
        <v>141</v>
      </c>
      <c r="C134" s="101"/>
      <c r="D134" s="153"/>
      <c r="E134" s="101"/>
      <c r="F134" s="101"/>
      <c r="G134" s="101"/>
      <c r="H134" s="101"/>
      <c r="I134" s="148"/>
      <c r="J134" s="101"/>
      <c r="K134" s="148"/>
      <c r="L134" s="101"/>
      <c r="M134" s="101"/>
      <c r="N134" s="101"/>
      <c r="O134" s="101"/>
      <c r="P134" s="148"/>
      <c r="Q134" s="101"/>
      <c r="R134" s="148"/>
      <c r="S134" s="101"/>
      <c r="T134" s="101"/>
      <c r="U134" s="101"/>
      <c r="V134" s="101"/>
      <c r="W134" s="148"/>
      <c r="X134" s="101"/>
      <c r="Y134" s="148"/>
      <c r="Z134" s="101"/>
      <c r="AA134" s="101"/>
      <c r="AB134" s="101"/>
      <c r="AC134" s="101"/>
      <c r="AD134" s="148"/>
      <c r="AE134" s="148"/>
      <c r="AF134" s="148"/>
      <c r="AG134" s="66">
        <f t="shared" si="7"/>
        <v>0</v>
      </c>
      <c r="AH134" s="87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88" t="str">
        <f t="shared" si="9"/>
        <v>Cindy</v>
      </c>
      <c r="AJ134" s="91"/>
    </row>
    <row r="135" spans="1:36" ht="18" customHeight="1">
      <c r="A135" s="101" t="s">
        <v>58</v>
      </c>
      <c r="B135" s="102" t="s">
        <v>142</v>
      </c>
      <c r="C135" s="101"/>
      <c r="D135" s="153"/>
      <c r="E135" s="101"/>
      <c r="F135" s="101"/>
      <c r="G135" s="101"/>
      <c r="H135" s="101"/>
      <c r="I135" s="148"/>
      <c r="J135" s="101"/>
      <c r="K135" s="148"/>
      <c r="L135" s="101"/>
      <c r="M135" s="101"/>
      <c r="N135" s="101"/>
      <c r="O135" s="101"/>
      <c r="P135" s="148"/>
      <c r="Q135" s="101"/>
      <c r="R135" s="148"/>
      <c r="S135" s="101"/>
      <c r="T135" s="101"/>
      <c r="U135" s="101"/>
      <c r="V135" s="101"/>
      <c r="W135" s="148"/>
      <c r="X135" s="101"/>
      <c r="Y135" s="148"/>
      <c r="Z135" s="101"/>
      <c r="AA135" s="101"/>
      <c r="AB135" s="101"/>
      <c r="AC135" s="101"/>
      <c r="AD135" s="148"/>
      <c r="AE135" s="148"/>
      <c r="AF135" s="148"/>
      <c r="AG135" s="66">
        <f t="shared" si="7"/>
        <v>0</v>
      </c>
      <c r="AH135" s="87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88" t="str">
        <f t="shared" si="9"/>
        <v>如靜</v>
      </c>
      <c r="AJ135" s="91"/>
    </row>
    <row r="136" spans="1:36" ht="18" customHeight="1">
      <c r="A136" s="101" t="s">
        <v>58</v>
      </c>
      <c r="B136" s="102" t="s">
        <v>143</v>
      </c>
      <c r="C136" s="101"/>
      <c r="D136" s="153"/>
      <c r="E136" s="101"/>
      <c r="F136" s="101"/>
      <c r="G136" s="101"/>
      <c r="H136" s="101"/>
      <c r="I136" s="148"/>
      <c r="J136" s="101"/>
      <c r="K136" s="148"/>
      <c r="L136" s="101"/>
      <c r="M136" s="101"/>
      <c r="N136" s="101"/>
      <c r="O136" s="101"/>
      <c r="P136" s="148"/>
      <c r="Q136" s="101"/>
      <c r="R136" s="148"/>
      <c r="S136" s="101"/>
      <c r="T136" s="101"/>
      <c r="U136" s="101"/>
      <c r="V136" s="101"/>
      <c r="W136" s="148"/>
      <c r="X136" s="101"/>
      <c r="Y136" s="148"/>
      <c r="Z136" s="101"/>
      <c r="AA136" s="101"/>
      <c r="AB136" s="101"/>
      <c r="AC136" s="101"/>
      <c r="AD136" s="148"/>
      <c r="AE136" s="148"/>
      <c r="AF136" s="148"/>
      <c r="AG136" s="66">
        <f t="shared" si="7"/>
        <v>0</v>
      </c>
      <c r="AH136" s="87" t="e">
        <f ca="1">IF(A136="O", (VALUE(_xludf.IFS(AG136=0,"0",AG136=1,"150",AG136=2,"300",AG136=3,"450",AG136=4,"600",AG136=5,"750",AG136&gt;=6,"800"))),(VALUE(_xludf.IFS(AG136=0,"0",AG136=1,"150",AG136=2,"300",AG136=3,"450",AG136=4,"600",AG136=5,"750",AG136=6,"900",AG136&gt;=7,"1,000"))))</f>
        <v>#NAME?</v>
      </c>
      <c r="AI136" s="88" t="str">
        <f t="shared" si="9"/>
        <v>毓玫</v>
      </c>
      <c r="AJ136" s="91"/>
    </row>
    <row r="137" spans="1:36" ht="18" customHeight="1">
      <c r="A137" s="101" t="s">
        <v>58</v>
      </c>
      <c r="B137" s="102" t="s">
        <v>144</v>
      </c>
      <c r="C137" s="101"/>
      <c r="D137" s="153"/>
      <c r="E137" s="101"/>
      <c r="F137" s="101"/>
      <c r="G137" s="101"/>
      <c r="H137" s="101"/>
      <c r="I137" s="148"/>
      <c r="J137" s="101"/>
      <c r="K137" s="148"/>
      <c r="L137" s="101"/>
      <c r="M137" s="101"/>
      <c r="N137" s="101"/>
      <c r="O137" s="101"/>
      <c r="P137" s="148"/>
      <c r="Q137" s="101"/>
      <c r="R137" s="148"/>
      <c r="S137" s="101"/>
      <c r="T137" s="101"/>
      <c r="U137" s="101"/>
      <c r="V137" s="101"/>
      <c r="W137" s="148"/>
      <c r="X137" s="101"/>
      <c r="Y137" s="148"/>
      <c r="Z137" s="101"/>
      <c r="AA137" s="101"/>
      <c r="AB137" s="101"/>
      <c r="AC137" s="101"/>
      <c r="AD137" s="148"/>
      <c r="AE137" s="148"/>
      <c r="AF137" s="148"/>
      <c r="AG137" s="66">
        <f t="shared" si="7"/>
        <v>0</v>
      </c>
      <c r="AH137" s="87" t="e">
        <f ca="1">IF(A137="O", (VALUE(_xludf.IFS(AG137=0,"0",AG137=1,"150",AG137=2,"300",AG137=3,"450",AG137=4,"600",AG137=5,"750",AG137&gt;=6,"800"))),(VALUE(_xludf.IFS(AG137=0,"0",AG137=1,"150",AG137=2,"300",AG137=3,"450",AG137=4,"600",AG137=5,"750",AG137=6,"900",AG137&gt;=7,"1,000"))))</f>
        <v>#NAME?</v>
      </c>
      <c r="AI137" s="88" t="str">
        <f t="shared" si="9"/>
        <v>美枝</v>
      </c>
      <c r="AJ137" s="91"/>
    </row>
    <row r="138" spans="1:36" ht="18" customHeight="1">
      <c r="A138" s="101" t="s">
        <v>58</v>
      </c>
      <c r="B138" s="102" t="s">
        <v>145</v>
      </c>
      <c r="C138" s="101"/>
      <c r="D138" s="153"/>
      <c r="E138" s="101"/>
      <c r="F138" s="101"/>
      <c r="G138" s="101"/>
      <c r="H138" s="101"/>
      <c r="I138" s="148"/>
      <c r="J138" s="101"/>
      <c r="K138" s="148"/>
      <c r="L138" s="101"/>
      <c r="M138" s="101"/>
      <c r="N138" s="101"/>
      <c r="O138" s="101"/>
      <c r="P138" s="148"/>
      <c r="Q138" s="101"/>
      <c r="R138" s="148"/>
      <c r="S138" s="101"/>
      <c r="T138" s="101"/>
      <c r="U138" s="101"/>
      <c r="V138" s="101"/>
      <c r="W138" s="148"/>
      <c r="X138" s="101"/>
      <c r="Y138" s="148"/>
      <c r="Z138" s="101"/>
      <c r="AA138" s="101"/>
      <c r="AB138" s="101"/>
      <c r="AC138" s="101"/>
      <c r="AD138" s="148"/>
      <c r="AE138" s="148"/>
      <c r="AF138" s="148"/>
      <c r="AG138" s="66">
        <f t="shared" si="7"/>
        <v>0</v>
      </c>
      <c r="AH138" s="87" t="e">
        <f ca="1">IF(A138="O", (VALUE(_xludf.IFS(AG138=0,"0",AG138=1,"150",AG138=2,"300",AG138=3,"450",AG138=4,"600",AG138=5,"750",AG138&gt;=6,"800"))),(VALUE(_xludf.IFS(AG138=0,"0",AG138=1,"150",AG138=2,"300",AG138=3,"450",AG138=4,"600",AG138=5,"750",AG138=6,"900",AG138&gt;=7,"1,000"))))</f>
        <v>#NAME?</v>
      </c>
      <c r="AI138" s="88" t="str">
        <f t="shared" si="9"/>
        <v>魯魯咪</v>
      </c>
      <c r="AJ138" s="91"/>
    </row>
    <row r="139" spans="1:36" ht="18" customHeight="1">
      <c r="A139" s="120" t="s">
        <v>58</v>
      </c>
      <c r="B139" s="121" t="s">
        <v>41</v>
      </c>
      <c r="C139" s="120"/>
      <c r="D139" s="153"/>
      <c r="E139" s="120"/>
      <c r="F139" s="120"/>
      <c r="G139" s="120"/>
      <c r="H139" s="120"/>
      <c r="I139" s="148"/>
      <c r="J139" s="120"/>
      <c r="K139" s="148"/>
      <c r="L139" s="120"/>
      <c r="M139" s="120"/>
      <c r="N139" s="120"/>
      <c r="O139" s="120"/>
      <c r="P139" s="148"/>
      <c r="Q139" s="120"/>
      <c r="R139" s="148"/>
      <c r="S139" s="120"/>
      <c r="T139" s="120"/>
      <c r="U139" s="120"/>
      <c r="V139" s="120"/>
      <c r="W139" s="148"/>
      <c r="X139" s="120"/>
      <c r="Y139" s="148"/>
      <c r="Z139" s="120"/>
      <c r="AA139" s="120"/>
      <c r="AB139" s="120"/>
      <c r="AC139" s="120"/>
      <c r="AD139" s="148"/>
      <c r="AE139" s="148"/>
      <c r="AF139" s="148"/>
      <c r="AG139" s="66">
        <f t="shared" si="7"/>
        <v>0</v>
      </c>
      <c r="AH139" s="108" t="e">
        <f ca="1">IF(A139="O", (VALUE(_xludf.IFS(AG139=0,"0",AG139=1,"150",AG139=2,"300",AG139=3,"450",AG139=4,"600",AG139=5,"750",AG139&gt;=6,"800"))),(VALUE(_xludf.IFS(AG139=0,"0",AG139=1,"150",AG139=2,"300",AG139=3,"450",AG139=4,"600",AG139=5,"750",AG139=6,"900",AG139&gt;=7,"1,000"))))</f>
        <v>#NAME?</v>
      </c>
      <c r="AI139" s="109" t="str">
        <f t="shared" si="9"/>
        <v>軟軟</v>
      </c>
      <c r="AJ139" s="110"/>
    </row>
    <row r="140" spans="1:36" ht="18" customHeight="1">
      <c r="A140" s="120" t="s">
        <v>58</v>
      </c>
      <c r="B140" s="121" t="s">
        <v>42</v>
      </c>
      <c r="C140" s="120"/>
      <c r="D140" s="153"/>
      <c r="E140" s="120"/>
      <c r="F140" s="120"/>
      <c r="G140" s="120"/>
      <c r="H140" s="120"/>
      <c r="I140" s="148"/>
      <c r="J140" s="120"/>
      <c r="K140" s="148"/>
      <c r="L140" s="120"/>
      <c r="M140" s="120"/>
      <c r="N140" s="120"/>
      <c r="O140" s="120"/>
      <c r="P140" s="148"/>
      <c r="Q140" s="120"/>
      <c r="R140" s="148"/>
      <c r="S140" s="120"/>
      <c r="T140" s="120"/>
      <c r="U140" s="120"/>
      <c r="V140" s="120"/>
      <c r="W140" s="148"/>
      <c r="X140" s="120"/>
      <c r="Y140" s="148"/>
      <c r="Z140" s="120"/>
      <c r="AA140" s="120"/>
      <c r="AB140" s="120"/>
      <c r="AC140" s="120"/>
      <c r="AD140" s="148"/>
      <c r="AE140" s="148"/>
      <c r="AF140" s="148"/>
      <c r="AG140" s="66">
        <f t="shared" si="7"/>
        <v>0</v>
      </c>
      <c r="AH140" s="108" t="e">
        <f ca="1">IF(A140="O", (VALUE(_xludf.IFS(AG140=0,"0",AG140=1,"150",AG140=2,"300",AG140=3,"450",AG140=4,"600",AG140=5,"750",AG140&gt;=6,"800"))),(VALUE(_xludf.IFS(AG140=0,"0",AG140=1,"150",AG140=2,"300",AG140=3,"450",AG140=4,"600",AG140=5,"750",AG140=6,"900",AG140&gt;=7,"1,000"))))</f>
        <v>#NAME?</v>
      </c>
      <c r="AI140" s="109" t="str">
        <f t="shared" si="9"/>
        <v>屎蛋</v>
      </c>
      <c r="AJ140" s="110"/>
    </row>
  </sheetData>
  <autoFilter ref="AG4:AI140" xr:uid="{00000000-0009-0000-0000-000014000000}"/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40">
    <cfRule type="expression" dxfId="14" priority="1">
      <formula>COUNTIF($B:$B,$B2)&gt;1</formula>
    </cfRule>
  </conditionalFormatting>
  <dataValidations count="1">
    <dataValidation type="list" allowBlank="1" showDropDown="1" showErrorMessage="1" sqref="C1:AF1" xr:uid="{00000000-0002-0000-14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A9999"/>
    <outlinePr summaryBelow="0" summaryRight="0"/>
    <pageSetUpPr fitToPage="1"/>
  </sheetPr>
  <dimension ref="A1:AJ141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 t="s">
        <v>219</v>
      </c>
      <c r="D1" s="51" t="s">
        <v>219</v>
      </c>
      <c r="E1" s="126" t="s">
        <v>19</v>
      </c>
      <c r="F1" s="51" t="s">
        <v>219</v>
      </c>
      <c r="G1" s="126" t="s">
        <v>13</v>
      </c>
      <c r="H1" s="51" t="s">
        <v>219</v>
      </c>
      <c r="I1" s="126" t="s">
        <v>184</v>
      </c>
      <c r="J1" s="126" t="s">
        <v>184</v>
      </c>
      <c r="K1" s="51" t="s">
        <v>219</v>
      </c>
      <c r="L1" s="126" t="s">
        <v>19</v>
      </c>
      <c r="M1" s="51" t="s">
        <v>219</v>
      </c>
      <c r="N1" s="51" t="s">
        <v>219</v>
      </c>
      <c r="O1" s="51" t="s">
        <v>219</v>
      </c>
      <c r="P1" s="126" t="s">
        <v>22</v>
      </c>
      <c r="Q1" s="126" t="s">
        <v>184</v>
      </c>
      <c r="R1" s="126" t="s">
        <v>22</v>
      </c>
      <c r="S1" s="126" t="s">
        <v>19</v>
      </c>
      <c r="T1" s="51" t="s">
        <v>219</v>
      </c>
      <c r="U1" s="126" t="s">
        <v>13</v>
      </c>
      <c r="V1" s="51" t="s">
        <v>219</v>
      </c>
      <c r="W1" s="126" t="s">
        <v>184</v>
      </c>
      <c r="X1" s="126" t="s">
        <v>14</v>
      </c>
      <c r="Y1" s="126" t="s">
        <v>14</v>
      </c>
      <c r="Z1" s="126" t="s">
        <v>19</v>
      </c>
      <c r="AA1" s="51" t="s">
        <v>219</v>
      </c>
      <c r="AB1" s="126" t="s">
        <v>13</v>
      </c>
      <c r="AC1" s="126" t="s">
        <v>219</v>
      </c>
      <c r="AD1" s="126" t="s">
        <v>184</v>
      </c>
      <c r="AE1" s="126"/>
      <c r="AF1" s="126"/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45689</v>
      </c>
      <c r="D2" s="55">
        <v>45690</v>
      </c>
      <c r="E2" s="55">
        <v>45691</v>
      </c>
      <c r="F2" s="55">
        <v>45692</v>
      </c>
      <c r="G2" s="55">
        <v>45693</v>
      </c>
      <c r="H2" s="55">
        <v>45694</v>
      </c>
      <c r="I2" s="55">
        <v>45695</v>
      </c>
      <c r="J2" s="55">
        <v>45696</v>
      </c>
      <c r="K2" s="55">
        <v>45697</v>
      </c>
      <c r="L2" s="55">
        <v>45698</v>
      </c>
      <c r="M2" s="55">
        <v>45699</v>
      </c>
      <c r="N2" s="55">
        <v>45700</v>
      </c>
      <c r="O2" s="55">
        <v>45701</v>
      </c>
      <c r="P2" s="55">
        <v>45702</v>
      </c>
      <c r="Q2" s="55">
        <v>45703</v>
      </c>
      <c r="R2" s="55">
        <v>45704</v>
      </c>
      <c r="S2" s="55">
        <v>45705</v>
      </c>
      <c r="T2" s="55">
        <v>45706</v>
      </c>
      <c r="U2" s="55">
        <v>45707</v>
      </c>
      <c r="V2" s="55">
        <v>45708</v>
      </c>
      <c r="W2" s="55">
        <v>45709</v>
      </c>
      <c r="X2" s="55">
        <v>45710</v>
      </c>
      <c r="Y2" s="55">
        <v>45711</v>
      </c>
      <c r="Z2" s="55">
        <v>45712</v>
      </c>
      <c r="AA2" s="55">
        <v>45713</v>
      </c>
      <c r="AB2" s="55">
        <v>45714</v>
      </c>
      <c r="AC2" s="127">
        <v>45715</v>
      </c>
      <c r="AD2" s="55">
        <v>45716</v>
      </c>
      <c r="AE2" s="55"/>
      <c r="AF2" s="55"/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D3" si="0">WEEKDAY(C2-1)</f>
        <v>6</v>
      </c>
      <c r="D3" s="114">
        <f t="shared" si="0"/>
        <v>7</v>
      </c>
      <c r="E3" s="126">
        <f t="shared" si="0"/>
        <v>1</v>
      </c>
      <c r="F3" s="51">
        <f t="shared" si="0"/>
        <v>2</v>
      </c>
      <c r="G3" s="126">
        <f t="shared" si="0"/>
        <v>3</v>
      </c>
      <c r="H3" s="51">
        <f t="shared" si="0"/>
        <v>4</v>
      </c>
      <c r="I3" s="126">
        <f t="shared" si="0"/>
        <v>5</v>
      </c>
      <c r="J3" s="126">
        <f t="shared" si="0"/>
        <v>6</v>
      </c>
      <c r="K3" s="51">
        <f t="shared" si="0"/>
        <v>7</v>
      </c>
      <c r="L3" s="126">
        <f t="shared" si="0"/>
        <v>1</v>
      </c>
      <c r="M3" s="51">
        <f t="shared" si="0"/>
        <v>2</v>
      </c>
      <c r="N3" s="51">
        <f t="shared" si="0"/>
        <v>3</v>
      </c>
      <c r="O3" s="51">
        <f t="shared" si="0"/>
        <v>4</v>
      </c>
      <c r="P3" s="126">
        <f t="shared" si="0"/>
        <v>5</v>
      </c>
      <c r="Q3" s="126">
        <f t="shared" si="0"/>
        <v>6</v>
      </c>
      <c r="R3" s="126">
        <f t="shared" si="0"/>
        <v>7</v>
      </c>
      <c r="S3" s="126">
        <f t="shared" si="0"/>
        <v>1</v>
      </c>
      <c r="T3" s="51">
        <f t="shared" si="0"/>
        <v>2</v>
      </c>
      <c r="U3" s="126">
        <f t="shared" si="0"/>
        <v>3</v>
      </c>
      <c r="V3" s="51">
        <f t="shared" si="0"/>
        <v>4</v>
      </c>
      <c r="W3" s="126">
        <f t="shared" si="0"/>
        <v>5</v>
      </c>
      <c r="X3" s="126">
        <f t="shared" si="0"/>
        <v>6</v>
      </c>
      <c r="Y3" s="126">
        <f t="shared" si="0"/>
        <v>7</v>
      </c>
      <c r="Z3" s="126">
        <f t="shared" si="0"/>
        <v>1</v>
      </c>
      <c r="AA3" s="51">
        <f t="shared" si="0"/>
        <v>2</v>
      </c>
      <c r="AB3" s="126">
        <f t="shared" si="0"/>
        <v>3</v>
      </c>
      <c r="AC3" s="126">
        <f t="shared" si="0"/>
        <v>4</v>
      </c>
      <c r="AD3" s="126">
        <f t="shared" si="0"/>
        <v>5</v>
      </c>
      <c r="AE3" s="126"/>
      <c r="AF3" s="126"/>
      <c r="AG3" s="283"/>
      <c r="AH3" s="278"/>
      <c r="AI3" s="273"/>
      <c r="AJ3" s="62" t="e">
        <f ca="1">SUM(AH4:AH142)</f>
        <v>#NAME?</v>
      </c>
    </row>
    <row r="4" spans="1:36" ht="18" customHeight="1">
      <c r="A4" s="92" t="s">
        <v>174</v>
      </c>
      <c r="B4" s="93" t="s">
        <v>10</v>
      </c>
      <c r="C4" s="144"/>
      <c r="D4" s="145"/>
      <c r="E4" s="149"/>
      <c r="F4" s="144"/>
      <c r="G4" s="149"/>
      <c r="H4" s="144"/>
      <c r="I4" s="149"/>
      <c r="J4" s="149"/>
      <c r="K4" s="144"/>
      <c r="L4" s="149"/>
      <c r="M4" s="144"/>
      <c r="N4" s="144"/>
      <c r="O4" s="144"/>
      <c r="P4" s="149"/>
      <c r="Q4" s="149"/>
      <c r="R4" s="149"/>
      <c r="S4" s="149"/>
      <c r="T4" s="144"/>
      <c r="U4" s="149"/>
      <c r="V4" s="144"/>
      <c r="W4" s="149"/>
      <c r="X4" s="149"/>
      <c r="Y4" s="149"/>
      <c r="Z4" s="149"/>
      <c r="AA4" s="144"/>
      <c r="AB4" s="149"/>
      <c r="AC4" s="146"/>
      <c r="AD4" s="149"/>
      <c r="AE4" s="146"/>
      <c r="AF4" s="146"/>
      <c r="AG4" s="66">
        <f t="shared" ref="AG4:AG35" si="1">COUNTA(C4:AF4)</f>
        <v>0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2">B4</f>
        <v>阿發</v>
      </c>
      <c r="AJ4" s="70"/>
    </row>
    <row r="5" spans="1:36" ht="18" customHeight="1">
      <c r="A5" s="95" t="s">
        <v>174</v>
      </c>
      <c r="B5" s="122" t="s">
        <v>11</v>
      </c>
      <c r="C5" s="147"/>
      <c r="D5" s="145"/>
      <c r="E5" s="151"/>
      <c r="F5" s="147"/>
      <c r="G5" s="151">
        <v>1</v>
      </c>
      <c r="H5" s="147"/>
      <c r="I5" s="151">
        <v>1</v>
      </c>
      <c r="J5" s="151">
        <v>1</v>
      </c>
      <c r="K5" s="147"/>
      <c r="L5" s="151">
        <v>1</v>
      </c>
      <c r="M5" s="147"/>
      <c r="N5" s="147"/>
      <c r="O5" s="147"/>
      <c r="P5" s="151"/>
      <c r="Q5" s="151">
        <v>1</v>
      </c>
      <c r="R5" s="151">
        <v>1</v>
      </c>
      <c r="S5" s="151">
        <v>1</v>
      </c>
      <c r="T5" s="147"/>
      <c r="U5" s="151">
        <v>1</v>
      </c>
      <c r="V5" s="147"/>
      <c r="W5" s="151">
        <v>1</v>
      </c>
      <c r="X5" s="151"/>
      <c r="Y5" s="151"/>
      <c r="Z5" s="151">
        <v>1</v>
      </c>
      <c r="AA5" s="147"/>
      <c r="AB5" s="151">
        <v>1</v>
      </c>
      <c r="AC5" s="148"/>
      <c r="AD5" s="151">
        <v>1</v>
      </c>
      <c r="AE5" s="148"/>
      <c r="AF5" s="148"/>
      <c r="AG5" s="66">
        <f t="shared" si="1"/>
        <v>12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2"/>
        <v>捷升</v>
      </c>
      <c r="AJ5" s="70"/>
    </row>
    <row r="6" spans="1:36" ht="18" customHeight="1">
      <c r="A6" s="95" t="s">
        <v>174</v>
      </c>
      <c r="B6" s="122" t="s">
        <v>14</v>
      </c>
      <c r="C6" s="147"/>
      <c r="D6" s="145"/>
      <c r="E6" s="151"/>
      <c r="F6" s="147"/>
      <c r="G6" s="151"/>
      <c r="H6" s="147"/>
      <c r="I6" s="151">
        <v>1</v>
      </c>
      <c r="J6" s="151"/>
      <c r="K6" s="147"/>
      <c r="L6" s="151">
        <v>1</v>
      </c>
      <c r="M6" s="147"/>
      <c r="N6" s="147"/>
      <c r="O6" s="147"/>
      <c r="P6" s="151">
        <v>1</v>
      </c>
      <c r="Q6" s="151"/>
      <c r="R6" s="151"/>
      <c r="S6" s="151">
        <v>1</v>
      </c>
      <c r="T6" s="147"/>
      <c r="U6" s="151"/>
      <c r="V6" s="147"/>
      <c r="W6" s="151">
        <v>1</v>
      </c>
      <c r="X6" s="151"/>
      <c r="Y6" s="151"/>
      <c r="Z6" s="151">
        <v>1</v>
      </c>
      <c r="AA6" s="147"/>
      <c r="AB6" s="151">
        <v>1</v>
      </c>
      <c r="AC6" s="148"/>
      <c r="AD6" s="151"/>
      <c r="AE6" s="148"/>
      <c r="AF6" s="148"/>
      <c r="AG6" s="66">
        <f t="shared" si="1"/>
        <v>7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147"/>
      <c r="D7" s="145"/>
      <c r="E7" s="151"/>
      <c r="F7" s="147"/>
      <c r="G7" s="151"/>
      <c r="H7" s="147"/>
      <c r="I7" s="151">
        <v>1</v>
      </c>
      <c r="J7" s="151"/>
      <c r="K7" s="147"/>
      <c r="L7" s="151"/>
      <c r="M7" s="147"/>
      <c r="N7" s="147"/>
      <c r="O7" s="147"/>
      <c r="P7" s="151">
        <v>1</v>
      </c>
      <c r="Q7" s="151"/>
      <c r="R7" s="151"/>
      <c r="S7" s="151"/>
      <c r="T7" s="147"/>
      <c r="U7" s="151"/>
      <c r="V7" s="147"/>
      <c r="W7" s="151">
        <v>1</v>
      </c>
      <c r="X7" s="151"/>
      <c r="Y7" s="151"/>
      <c r="Z7" s="151"/>
      <c r="AA7" s="147"/>
      <c r="AB7" s="151">
        <v>1</v>
      </c>
      <c r="AC7" s="148"/>
      <c r="AD7" s="151"/>
      <c r="AE7" s="148"/>
      <c r="AF7" s="148"/>
      <c r="AG7" s="66">
        <f t="shared" si="1"/>
        <v>4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147"/>
      <c r="D8" s="145"/>
      <c r="E8" s="151"/>
      <c r="F8" s="147"/>
      <c r="G8" s="151">
        <v>1</v>
      </c>
      <c r="H8" s="147"/>
      <c r="I8" s="151">
        <v>1</v>
      </c>
      <c r="J8" s="151"/>
      <c r="K8" s="147"/>
      <c r="L8" s="151"/>
      <c r="M8" s="147"/>
      <c r="N8" s="147"/>
      <c r="O8" s="147"/>
      <c r="P8" s="151"/>
      <c r="Q8" s="151"/>
      <c r="R8" s="151">
        <v>1</v>
      </c>
      <c r="S8" s="151"/>
      <c r="T8" s="147"/>
      <c r="U8" s="151"/>
      <c r="V8" s="147"/>
      <c r="W8" s="151">
        <v>1</v>
      </c>
      <c r="X8" s="151"/>
      <c r="Y8" s="151"/>
      <c r="Z8" s="151"/>
      <c r="AA8" s="147"/>
      <c r="AB8" s="151"/>
      <c r="AC8" s="148"/>
      <c r="AD8" s="151">
        <v>1</v>
      </c>
      <c r="AE8" s="148"/>
      <c r="AF8" s="148"/>
      <c r="AG8" s="66">
        <f t="shared" si="1"/>
        <v>5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147"/>
      <c r="D9" s="145"/>
      <c r="E9" s="151"/>
      <c r="F9" s="147"/>
      <c r="G9" s="151"/>
      <c r="H9" s="147"/>
      <c r="I9" s="151">
        <v>1</v>
      </c>
      <c r="J9" s="151">
        <v>1</v>
      </c>
      <c r="K9" s="147"/>
      <c r="L9" s="151"/>
      <c r="M9" s="147"/>
      <c r="N9" s="147"/>
      <c r="O9" s="147"/>
      <c r="P9" s="151"/>
      <c r="Q9" s="151">
        <v>1</v>
      </c>
      <c r="R9" s="151">
        <v>1</v>
      </c>
      <c r="S9" s="151">
        <v>1</v>
      </c>
      <c r="T9" s="147"/>
      <c r="U9" s="151"/>
      <c r="V9" s="147"/>
      <c r="W9" s="151"/>
      <c r="X9" s="151">
        <v>1</v>
      </c>
      <c r="Y9" s="151"/>
      <c r="Z9" s="151">
        <v>1</v>
      </c>
      <c r="AA9" s="147"/>
      <c r="AB9" s="151"/>
      <c r="AC9" s="148"/>
      <c r="AD9" s="151">
        <v>1</v>
      </c>
      <c r="AE9" s="148"/>
      <c r="AF9" s="148"/>
      <c r="AG9" s="66">
        <f t="shared" si="1"/>
        <v>8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122" t="s">
        <v>13</v>
      </c>
      <c r="C10" s="147"/>
      <c r="D10" s="145"/>
      <c r="E10" s="151">
        <v>1</v>
      </c>
      <c r="F10" s="147"/>
      <c r="G10" s="151">
        <v>1</v>
      </c>
      <c r="H10" s="147"/>
      <c r="I10" s="151">
        <v>1</v>
      </c>
      <c r="J10" s="151"/>
      <c r="K10" s="147"/>
      <c r="L10" s="151"/>
      <c r="M10" s="147"/>
      <c r="N10" s="147"/>
      <c r="O10" s="147"/>
      <c r="P10" s="151"/>
      <c r="Q10" s="151"/>
      <c r="R10" s="151">
        <v>1</v>
      </c>
      <c r="S10" s="151">
        <v>1</v>
      </c>
      <c r="T10" s="147"/>
      <c r="U10" s="151">
        <v>1</v>
      </c>
      <c r="V10" s="147"/>
      <c r="W10" s="151">
        <v>1</v>
      </c>
      <c r="X10" s="151"/>
      <c r="Y10" s="151"/>
      <c r="Z10" s="151">
        <v>1</v>
      </c>
      <c r="AA10" s="147"/>
      <c r="AB10" s="151">
        <v>1</v>
      </c>
      <c r="AC10" s="148"/>
      <c r="AD10" s="151">
        <v>1</v>
      </c>
      <c r="AE10" s="148"/>
      <c r="AF10" s="148"/>
      <c r="AG10" s="66">
        <f t="shared" si="1"/>
        <v>10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2"/>
        <v>李洋</v>
      </c>
      <c r="AJ10" s="70"/>
    </row>
    <row r="11" spans="1:36" ht="18" customHeight="1">
      <c r="A11" s="95" t="s">
        <v>174</v>
      </c>
      <c r="B11" s="96" t="s">
        <v>18</v>
      </c>
      <c r="C11" s="147"/>
      <c r="D11" s="145"/>
      <c r="E11" s="151"/>
      <c r="F11" s="147"/>
      <c r="G11" s="151">
        <v>1</v>
      </c>
      <c r="H11" s="147"/>
      <c r="I11" s="151">
        <v>1</v>
      </c>
      <c r="J11" s="151"/>
      <c r="K11" s="147"/>
      <c r="L11" s="151"/>
      <c r="M11" s="147"/>
      <c r="N11" s="147"/>
      <c r="O11" s="147"/>
      <c r="P11" s="151">
        <v>1</v>
      </c>
      <c r="Q11" s="151"/>
      <c r="R11" s="151"/>
      <c r="S11" s="151"/>
      <c r="T11" s="147"/>
      <c r="U11" s="151"/>
      <c r="V11" s="147"/>
      <c r="W11" s="151">
        <v>1</v>
      </c>
      <c r="X11" s="151"/>
      <c r="Y11" s="151"/>
      <c r="Z11" s="151"/>
      <c r="AA11" s="147"/>
      <c r="AB11" s="151">
        <v>1</v>
      </c>
      <c r="AC11" s="148"/>
      <c r="AD11" s="151"/>
      <c r="AE11" s="148"/>
      <c r="AF11" s="148"/>
      <c r="AG11" s="66">
        <f t="shared" si="1"/>
        <v>5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122" t="s">
        <v>19</v>
      </c>
      <c r="C12" s="147"/>
      <c r="D12" s="145"/>
      <c r="E12" s="151">
        <v>1</v>
      </c>
      <c r="F12" s="147"/>
      <c r="G12" s="151">
        <v>1</v>
      </c>
      <c r="H12" s="147"/>
      <c r="I12" s="151">
        <v>1</v>
      </c>
      <c r="J12" s="151">
        <v>1</v>
      </c>
      <c r="K12" s="147"/>
      <c r="L12" s="151">
        <v>1</v>
      </c>
      <c r="M12" s="147"/>
      <c r="N12" s="147"/>
      <c r="O12" s="147"/>
      <c r="P12" s="151">
        <v>1</v>
      </c>
      <c r="Q12" s="151"/>
      <c r="R12" s="151"/>
      <c r="S12" s="151">
        <v>1</v>
      </c>
      <c r="T12" s="147"/>
      <c r="U12" s="151">
        <v>1</v>
      </c>
      <c r="V12" s="147"/>
      <c r="W12" s="151">
        <v>1</v>
      </c>
      <c r="X12" s="151"/>
      <c r="Y12" s="151"/>
      <c r="Z12" s="151">
        <v>1</v>
      </c>
      <c r="AA12" s="147"/>
      <c r="AB12" s="151">
        <v>1</v>
      </c>
      <c r="AC12" s="148"/>
      <c r="AD12" s="151"/>
      <c r="AE12" s="148"/>
      <c r="AF12" s="148"/>
      <c r="AG12" s="66">
        <f t="shared" si="1"/>
        <v>11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147"/>
      <c r="D13" s="145"/>
      <c r="E13" s="151"/>
      <c r="F13" s="147"/>
      <c r="G13" s="151">
        <v>1</v>
      </c>
      <c r="H13" s="147"/>
      <c r="I13" s="151">
        <v>1</v>
      </c>
      <c r="J13" s="151"/>
      <c r="K13" s="147"/>
      <c r="L13" s="151"/>
      <c r="M13" s="147"/>
      <c r="N13" s="147"/>
      <c r="O13" s="147"/>
      <c r="P13" s="151"/>
      <c r="Q13" s="151"/>
      <c r="R13" s="151"/>
      <c r="S13" s="151"/>
      <c r="T13" s="147"/>
      <c r="U13" s="151">
        <v>1</v>
      </c>
      <c r="V13" s="147"/>
      <c r="W13" s="151"/>
      <c r="X13" s="151"/>
      <c r="Y13" s="151"/>
      <c r="Z13" s="151">
        <v>1</v>
      </c>
      <c r="AA13" s="147"/>
      <c r="AB13" s="151"/>
      <c r="AC13" s="148"/>
      <c r="AD13" s="151"/>
      <c r="AE13" s="148"/>
      <c r="AF13" s="148"/>
      <c r="AG13" s="66">
        <f t="shared" si="1"/>
        <v>4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147"/>
      <c r="D14" s="145"/>
      <c r="E14" s="151"/>
      <c r="F14" s="147"/>
      <c r="G14" s="151"/>
      <c r="H14" s="147"/>
      <c r="I14" s="151">
        <v>1</v>
      </c>
      <c r="J14" s="151"/>
      <c r="K14" s="147"/>
      <c r="L14" s="151"/>
      <c r="M14" s="147"/>
      <c r="N14" s="147"/>
      <c r="O14" s="147"/>
      <c r="P14" s="151">
        <v>1</v>
      </c>
      <c r="Q14" s="151"/>
      <c r="R14" s="151"/>
      <c r="S14" s="151"/>
      <c r="T14" s="147"/>
      <c r="U14" s="151">
        <v>1</v>
      </c>
      <c r="V14" s="147"/>
      <c r="W14" s="151">
        <v>1</v>
      </c>
      <c r="X14" s="151"/>
      <c r="Y14" s="151"/>
      <c r="Z14" s="151"/>
      <c r="AA14" s="147"/>
      <c r="AB14" s="151">
        <v>1</v>
      </c>
      <c r="AC14" s="148"/>
      <c r="AD14" s="151"/>
      <c r="AE14" s="148"/>
      <c r="AF14" s="148"/>
      <c r="AG14" s="66">
        <f t="shared" si="1"/>
        <v>5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147"/>
      <c r="D15" s="145"/>
      <c r="E15" s="151">
        <v>1</v>
      </c>
      <c r="F15" s="147"/>
      <c r="G15" s="151">
        <v>1</v>
      </c>
      <c r="H15" s="147"/>
      <c r="I15" s="151">
        <v>1</v>
      </c>
      <c r="J15" s="151">
        <v>1</v>
      </c>
      <c r="K15" s="147"/>
      <c r="L15" s="151">
        <v>1</v>
      </c>
      <c r="M15" s="147"/>
      <c r="N15" s="147"/>
      <c r="O15" s="147"/>
      <c r="P15" s="151">
        <v>1</v>
      </c>
      <c r="Q15" s="151"/>
      <c r="R15" s="151"/>
      <c r="S15" s="151">
        <v>1</v>
      </c>
      <c r="T15" s="147"/>
      <c r="U15" s="151">
        <v>1</v>
      </c>
      <c r="V15" s="147"/>
      <c r="W15" s="151">
        <v>1</v>
      </c>
      <c r="X15" s="151"/>
      <c r="Y15" s="151"/>
      <c r="Z15" s="151"/>
      <c r="AA15" s="147"/>
      <c r="AB15" s="151">
        <v>1</v>
      </c>
      <c r="AC15" s="148"/>
      <c r="AD15" s="151"/>
      <c r="AE15" s="148"/>
      <c r="AF15" s="148"/>
      <c r="AG15" s="66">
        <f t="shared" si="1"/>
        <v>10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0"/>
    </row>
    <row r="16" spans="1:36" ht="18" customHeight="1">
      <c r="A16" s="95" t="s">
        <v>174</v>
      </c>
      <c r="B16" s="96" t="s">
        <v>21</v>
      </c>
      <c r="C16" s="147"/>
      <c r="D16" s="145"/>
      <c r="E16" s="151"/>
      <c r="F16" s="147"/>
      <c r="G16" s="151"/>
      <c r="H16" s="147"/>
      <c r="I16" s="151"/>
      <c r="J16" s="151"/>
      <c r="K16" s="147"/>
      <c r="L16" s="151"/>
      <c r="M16" s="147"/>
      <c r="N16" s="147"/>
      <c r="O16" s="147"/>
      <c r="P16" s="151"/>
      <c r="Q16" s="151"/>
      <c r="R16" s="151"/>
      <c r="S16" s="151"/>
      <c r="T16" s="147"/>
      <c r="U16" s="151"/>
      <c r="V16" s="147"/>
      <c r="W16" s="151"/>
      <c r="X16" s="151"/>
      <c r="Y16" s="151"/>
      <c r="Z16" s="151"/>
      <c r="AA16" s="147"/>
      <c r="AB16" s="151">
        <v>1</v>
      </c>
      <c r="AC16" s="148"/>
      <c r="AD16" s="151"/>
      <c r="AE16" s="148"/>
      <c r="AF16" s="148"/>
      <c r="AG16" s="66">
        <f t="shared" si="1"/>
        <v>1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147"/>
      <c r="D17" s="145"/>
      <c r="E17" s="151">
        <v>1</v>
      </c>
      <c r="F17" s="147"/>
      <c r="G17" s="151">
        <v>1</v>
      </c>
      <c r="H17" s="147"/>
      <c r="I17" s="151">
        <v>1</v>
      </c>
      <c r="J17" s="151">
        <v>1</v>
      </c>
      <c r="K17" s="147"/>
      <c r="L17" s="151">
        <v>1</v>
      </c>
      <c r="M17" s="147"/>
      <c r="N17" s="147"/>
      <c r="O17" s="147"/>
      <c r="P17" s="151">
        <v>1</v>
      </c>
      <c r="Q17" s="151"/>
      <c r="R17" s="151">
        <v>1</v>
      </c>
      <c r="S17" s="151">
        <v>1</v>
      </c>
      <c r="T17" s="147"/>
      <c r="U17" s="151"/>
      <c r="V17" s="147"/>
      <c r="W17" s="151">
        <v>1</v>
      </c>
      <c r="X17" s="151">
        <v>1</v>
      </c>
      <c r="Y17" s="151"/>
      <c r="Z17" s="151">
        <v>1</v>
      </c>
      <c r="AA17" s="147"/>
      <c r="AB17" s="151"/>
      <c r="AC17" s="148"/>
      <c r="AD17" s="151"/>
      <c r="AE17" s="148"/>
      <c r="AF17" s="148"/>
      <c r="AG17" s="66">
        <f t="shared" si="1"/>
        <v>11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147"/>
      <c r="D18" s="145"/>
      <c r="E18" s="99"/>
      <c r="F18" s="147"/>
      <c r="G18" s="99">
        <v>1</v>
      </c>
      <c r="H18" s="147"/>
      <c r="I18" s="99">
        <v>1</v>
      </c>
      <c r="J18" s="99"/>
      <c r="K18" s="147"/>
      <c r="L18" s="99"/>
      <c r="M18" s="147"/>
      <c r="N18" s="147"/>
      <c r="O18" s="147"/>
      <c r="P18" s="99"/>
      <c r="Q18" s="99"/>
      <c r="R18" s="99"/>
      <c r="S18" s="99"/>
      <c r="T18" s="147"/>
      <c r="U18" s="99"/>
      <c r="V18" s="147"/>
      <c r="W18" s="99">
        <v>1</v>
      </c>
      <c r="X18" s="99"/>
      <c r="Y18" s="99"/>
      <c r="Z18" s="99"/>
      <c r="AA18" s="147"/>
      <c r="AB18" s="99"/>
      <c r="AC18" s="148"/>
      <c r="AD18" s="99">
        <v>1</v>
      </c>
      <c r="AE18" s="148"/>
      <c r="AF18" s="148"/>
      <c r="AG18" s="66">
        <f t="shared" si="1"/>
        <v>4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147"/>
      <c r="D19" s="145"/>
      <c r="E19" s="99"/>
      <c r="F19" s="147"/>
      <c r="G19" s="99"/>
      <c r="H19" s="147"/>
      <c r="I19" s="99"/>
      <c r="J19" s="99"/>
      <c r="K19" s="147"/>
      <c r="L19" s="99">
        <v>1</v>
      </c>
      <c r="M19" s="147"/>
      <c r="N19" s="147"/>
      <c r="O19" s="147"/>
      <c r="P19" s="99">
        <v>1</v>
      </c>
      <c r="Q19" s="99"/>
      <c r="R19" s="99"/>
      <c r="S19" s="99">
        <v>1</v>
      </c>
      <c r="T19" s="147"/>
      <c r="U19" s="99"/>
      <c r="V19" s="147"/>
      <c r="W19" s="99"/>
      <c r="X19" s="99"/>
      <c r="Y19" s="99"/>
      <c r="Z19" s="99"/>
      <c r="AA19" s="147"/>
      <c r="AB19" s="99"/>
      <c r="AC19" s="148"/>
      <c r="AD19" s="99"/>
      <c r="AE19" s="148"/>
      <c r="AF19" s="148"/>
      <c r="AG19" s="66">
        <f t="shared" si="1"/>
        <v>3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174</v>
      </c>
      <c r="B20" s="100" t="s">
        <v>91</v>
      </c>
      <c r="C20" s="147"/>
      <c r="D20" s="145"/>
      <c r="E20" s="99"/>
      <c r="F20" s="147"/>
      <c r="G20" s="99"/>
      <c r="H20" s="147"/>
      <c r="I20" s="99"/>
      <c r="J20" s="99"/>
      <c r="K20" s="147"/>
      <c r="L20" s="99"/>
      <c r="M20" s="147"/>
      <c r="N20" s="147"/>
      <c r="O20" s="147"/>
      <c r="P20" s="99"/>
      <c r="Q20" s="99"/>
      <c r="R20" s="99"/>
      <c r="S20" s="99"/>
      <c r="T20" s="147"/>
      <c r="U20" s="99"/>
      <c r="V20" s="147"/>
      <c r="W20" s="99"/>
      <c r="X20" s="99"/>
      <c r="Y20" s="99"/>
      <c r="Z20" s="99"/>
      <c r="AA20" s="147"/>
      <c r="AB20" s="99"/>
      <c r="AC20" s="148"/>
      <c r="AD20" s="99"/>
      <c r="AE20" s="148"/>
      <c r="AF20" s="148"/>
      <c r="AG20" s="66">
        <f t="shared" si="1"/>
        <v>0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柔柔</v>
      </c>
      <c r="AJ20" s="80"/>
    </row>
    <row r="21" spans="1:36" ht="18" customHeight="1">
      <c r="A21" s="99" t="s">
        <v>174</v>
      </c>
      <c r="B21" s="100" t="s">
        <v>92</v>
      </c>
      <c r="C21" s="147"/>
      <c r="D21" s="145"/>
      <c r="E21" s="99"/>
      <c r="F21" s="147"/>
      <c r="G21" s="99"/>
      <c r="H21" s="147"/>
      <c r="I21" s="99"/>
      <c r="J21" s="99"/>
      <c r="K21" s="147"/>
      <c r="L21" s="99"/>
      <c r="M21" s="147"/>
      <c r="N21" s="147"/>
      <c r="O21" s="147"/>
      <c r="P21" s="99"/>
      <c r="Q21" s="99"/>
      <c r="R21" s="99"/>
      <c r="S21" s="99"/>
      <c r="T21" s="147"/>
      <c r="U21" s="99"/>
      <c r="V21" s="147"/>
      <c r="W21" s="99">
        <v>1</v>
      </c>
      <c r="X21" s="99"/>
      <c r="Y21" s="99">
        <v>1</v>
      </c>
      <c r="Z21" s="99">
        <v>1</v>
      </c>
      <c r="AA21" s="147"/>
      <c r="AB21" s="99">
        <v>1</v>
      </c>
      <c r="AC21" s="148"/>
      <c r="AD21" s="99"/>
      <c r="AE21" s="148"/>
      <c r="AF21" s="148"/>
      <c r="AG21" s="66">
        <f t="shared" si="1"/>
        <v>4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婉晴</v>
      </c>
      <c r="AJ21" s="80"/>
    </row>
    <row r="22" spans="1:36" ht="18" customHeight="1">
      <c r="A22" s="99" t="s">
        <v>174</v>
      </c>
      <c r="B22" s="100" t="s">
        <v>93</v>
      </c>
      <c r="C22" s="147"/>
      <c r="D22" s="145"/>
      <c r="E22" s="99">
        <v>1</v>
      </c>
      <c r="F22" s="147"/>
      <c r="G22" s="99"/>
      <c r="H22" s="147"/>
      <c r="I22" s="99">
        <v>1</v>
      </c>
      <c r="J22" s="99">
        <v>1</v>
      </c>
      <c r="K22" s="147"/>
      <c r="L22" s="99"/>
      <c r="M22" s="147"/>
      <c r="N22" s="147"/>
      <c r="O22" s="147"/>
      <c r="P22" s="99"/>
      <c r="Q22" s="99"/>
      <c r="R22" s="99">
        <v>1</v>
      </c>
      <c r="S22" s="99">
        <v>1</v>
      </c>
      <c r="T22" s="147"/>
      <c r="U22" s="99"/>
      <c r="V22" s="147"/>
      <c r="W22" s="99"/>
      <c r="X22" s="99"/>
      <c r="Y22" s="99"/>
      <c r="Z22" s="99"/>
      <c r="AA22" s="147"/>
      <c r="AB22" s="99">
        <v>1</v>
      </c>
      <c r="AC22" s="148"/>
      <c r="AD22" s="99"/>
      <c r="AE22" s="148"/>
      <c r="AF22" s="148"/>
      <c r="AG22" s="66">
        <f t="shared" si="1"/>
        <v>6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冠婷</v>
      </c>
      <c r="AJ22" s="81"/>
    </row>
    <row r="23" spans="1:36" ht="18" customHeight="1">
      <c r="A23" s="99" t="s">
        <v>174</v>
      </c>
      <c r="B23" s="100" t="s">
        <v>149</v>
      </c>
      <c r="C23" s="147"/>
      <c r="D23" s="145"/>
      <c r="E23" s="99"/>
      <c r="F23" s="147"/>
      <c r="G23" s="99"/>
      <c r="H23" s="147"/>
      <c r="I23" s="99"/>
      <c r="J23" s="99"/>
      <c r="K23" s="147"/>
      <c r="L23" s="99"/>
      <c r="M23" s="147"/>
      <c r="N23" s="147"/>
      <c r="O23" s="147"/>
      <c r="P23" s="99"/>
      <c r="Q23" s="99"/>
      <c r="R23" s="99"/>
      <c r="S23" s="99"/>
      <c r="T23" s="147"/>
      <c r="U23" s="99"/>
      <c r="V23" s="147"/>
      <c r="W23" s="99"/>
      <c r="X23" s="99"/>
      <c r="Y23" s="99"/>
      <c r="Z23" s="99"/>
      <c r="AA23" s="147"/>
      <c r="AB23" s="99"/>
      <c r="AC23" s="148"/>
      <c r="AD23" s="99"/>
      <c r="AE23" s="148"/>
      <c r="AF23" s="148"/>
      <c r="AG23" s="66">
        <f t="shared" si="1"/>
        <v>0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晏寧</v>
      </c>
      <c r="AJ23" s="82"/>
    </row>
    <row r="24" spans="1:36" ht="18" customHeight="1">
      <c r="A24" s="99" t="s">
        <v>174</v>
      </c>
      <c r="B24" s="100" t="s">
        <v>150</v>
      </c>
      <c r="C24" s="147"/>
      <c r="D24" s="145"/>
      <c r="E24" s="99"/>
      <c r="F24" s="147"/>
      <c r="G24" s="99"/>
      <c r="H24" s="147"/>
      <c r="I24" s="99">
        <v>1</v>
      </c>
      <c r="J24" s="99"/>
      <c r="K24" s="147"/>
      <c r="L24" s="99"/>
      <c r="M24" s="147"/>
      <c r="N24" s="147"/>
      <c r="O24" s="147"/>
      <c r="P24" s="99">
        <v>1</v>
      </c>
      <c r="Q24" s="99"/>
      <c r="R24" s="99"/>
      <c r="S24" s="99"/>
      <c r="T24" s="147"/>
      <c r="U24" s="99">
        <v>1</v>
      </c>
      <c r="V24" s="147"/>
      <c r="W24" s="99"/>
      <c r="X24" s="99"/>
      <c r="Y24" s="99"/>
      <c r="Z24" s="99"/>
      <c r="AA24" s="147"/>
      <c r="AB24" s="99"/>
      <c r="AC24" s="148"/>
      <c r="AD24" s="99">
        <v>1</v>
      </c>
      <c r="AE24" s="148"/>
      <c r="AF24" s="148"/>
      <c r="AG24" s="66">
        <f t="shared" si="1"/>
        <v>4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高麗菜</v>
      </c>
      <c r="AJ24" s="80"/>
    </row>
    <row r="25" spans="1:36" ht="18" customHeight="1">
      <c r="A25" s="99" t="s">
        <v>174</v>
      </c>
      <c r="B25" s="100" t="s">
        <v>113</v>
      </c>
      <c r="C25" s="147"/>
      <c r="D25" s="145"/>
      <c r="E25" s="99"/>
      <c r="F25" s="147"/>
      <c r="G25" s="99"/>
      <c r="H25" s="147"/>
      <c r="I25" s="99"/>
      <c r="J25" s="99"/>
      <c r="K25" s="147"/>
      <c r="L25" s="99"/>
      <c r="M25" s="147"/>
      <c r="N25" s="147"/>
      <c r="O25" s="147"/>
      <c r="P25" s="99"/>
      <c r="Q25" s="99"/>
      <c r="R25" s="99"/>
      <c r="S25" s="99"/>
      <c r="T25" s="147"/>
      <c r="U25" s="99"/>
      <c r="V25" s="147"/>
      <c r="W25" s="99"/>
      <c r="X25" s="99"/>
      <c r="Y25" s="99"/>
      <c r="Z25" s="99"/>
      <c r="AA25" s="147"/>
      <c r="AB25" s="99"/>
      <c r="AC25" s="148"/>
      <c r="AD25" s="99"/>
      <c r="AE25" s="148"/>
      <c r="AF25" s="148"/>
      <c r="AG25" s="66">
        <f t="shared" si="1"/>
        <v>0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容容</v>
      </c>
      <c r="AJ25" s="82"/>
    </row>
    <row r="26" spans="1:36" ht="18" customHeight="1">
      <c r="A26" s="99" t="s">
        <v>174</v>
      </c>
      <c r="B26" s="100" t="s">
        <v>94</v>
      </c>
      <c r="C26" s="147"/>
      <c r="D26" s="145"/>
      <c r="E26" s="99"/>
      <c r="F26" s="147"/>
      <c r="G26" s="99"/>
      <c r="H26" s="147"/>
      <c r="I26" s="99"/>
      <c r="J26" s="99"/>
      <c r="K26" s="147"/>
      <c r="L26" s="99"/>
      <c r="M26" s="147"/>
      <c r="N26" s="147"/>
      <c r="O26" s="147"/>
      <c r="P26" s="99">
        <v>1</v>
      </c>
      <c r="Q26" s="99"/>
      <c r="R26" s="99"/>
      <c r="S26" s="99"/>
      <c r="T26" s="147"/>
      <c r="U26" s="99"/>
      <c r="V26" s="147"/>
      <c r="W26" s="99">
        <v>1</v>
      </c>
      <c r="X26" s="99"/>
      <c r="Y26" s="99"/>
      <c r="Z26" s="99"/>
      <c r="AA26" s="147"/>
      <c r="AB26" s="99">
        <v>1</v>
      </c>
      <c r="AC26" s="148"/>
      <c r="AD26" s="99"/>
      <c r="AE26" s="148"/>
      <c r="AF26" s="148"/>
      <c r="AG26" s="66">
        <f t="shared" si="1"/>
        <v>3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小花</v>
      </c>
      <c r="AJ26" s="80"/>
    </row>
    <row r="27" spans="1:36" ht="18" customHeight="1">
      <c r="A27" s="99" t="s">
        <v>174</v>
      </c>
      <c r="B27" s="100" t="s">
        <v>95</v>
      </c>
      <c r="C27" s="147"/>
      <c r="D27" s="145"/>
      <c r="E27" s="99">
        <v>1</v>
      </c>
      <c r="F27" s="147"/>
      <c r="G27" s="99">
        <v>1</v>
      </c>
      <c r="H27" s="147"/>
      <c r="I27" s="99">
        <v>1</v>
      </c>
      <c r="J27" s="99"/>
      <c r="K27" s="147"/>
      <c r="L27" s="99"/>
      <c r="M27" s="147"/>
      <c r="N27" s="147"/>
      <c r="O27" s="147"/>
      <c r="P27" s="99">
        <v>1</v>
      </c>
      <c r="Q27" s="99"/>
      <c r="R27" s="99">
        <v>1</v>
      </c>
      <c r="S27" s="99">
        <v>1</v>
      </c>
      <c r="T27" s="147"/>
      <c r="U27" s="99"/>
      <c r="V27" s="147"/>
      <c r="W27" s="99"/>
      <c r="X27" s="99"/>
      <c r="Y27" s="99"/>
      <c r="Z27" s="99"/>
      <c r="AA27" s="147"/>
      <c r="AB27" s="99">
        <v>1</v>
      </c>
      <c r="AC27" s="148"/>
      <c r="AD27" s="99">
        <v>1</v>
      </c>
      <c r="AE27" s="148"/>
      <c r="AF27" s="148"/>
      <c r="AG27" s="66">
        <f t="shared" si="1"/>
        <v>8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2"/>
        <v>小吱</v>
      </c>
      <c r="AJ27" s="80"/>
    </row>
    <row r="28" spans="1:36" ht="18" customHeight="1">
      <c r="A28" s="99" t="s">
        <v>174</v>
      </c>
      <c r="B28" s="100" t="s">
        <v>146</v>
      </c>
      <c r="C28" s="147"/>
      <c r="D28" s="145"/>
      <c r="E28" s="99"/>
      <c r="F28" s="147"/>
      <c r="G28" s="99"/>
      <c r="H28" s="147"/>
      <c r="I28" s="99"/>
      <c r="J28" s="99"/>
      <c r="K28" s="147"/>
      <c r="L28" s="99"/>
      <c r="M28" s="147"/>
      <c r="N28" s="147"/>
      <c r="O28" s="147"/>
      <c r="P28" s="99"/>
      <c r="Q28" s="99"/>
      <c r="R28" s="99"/>
      <c r="S28" s="99"/>
      <c r="T28" s="147"/>
      <c r="U28" s="99"/>
      <c r="V28" s="147"/>
      <c r="W28" s="99"/>
      <c r="X28" s="99"/>
      <c r="Y28" s="99"/>
      <c r="Z28" s="99"/>
      <c r="AA28" s="147"/>
      <c r="AB28" s="99"/>
      <c r="AC28" s="148"/>
      <c r="AD28" s="99"/>
      <c r="AE28" s="148"/>
      <c r="AF28" s="148"/>
      <c r="AG28" s="66">
        <f t="shared" si="1"/>
        <v>0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2"/>
        <v>飛飛</v>
      </c>
      <c r="AJ28" s="81"/>
    </row>
    <row r="29" spans="1:36" ht="18" customHeight="1">
      <c r="A29" s="99" t="s">
        <v>174</v>
      </c>
      <c r="B29" s="100" t="s">
        <v>147</v>
      </c>
      <c r="C29" s="147"/>
      <c r="D29" s="145"/>
      <c r="E29" s="99"/>
      <c r="F29" s="147"/>
      <c r="G29" s="99"/>
      <c r="H29" s="147"/>
      <c r="I29" s="99"/>
      <c r="J29" s="99"/>
      <c r="K29" s="147"/>
      <c r="L29" s="99"/>
      <c r="M29" s="147"/>
      <c r="N29" s="147"/>
      <c r="O29" s="147"/>
      <c r="P29" s="99"/>
      <c r="Q29" s="99"/>
      <c r="R29" s="99"/>
      <c r="S29" s="99"/>
      <c r="T29" s="147"/>
      <c r="U29" s="99"/>
      <c r="V29" s="147"/>
      <c r="W29" s="99"/>
      <c r="X29" s="99"/>
      <c r="Y29" s="99"/>
      <c r="Z29" s="99"/>
      <c r="AA29" s="147"/>
      <c r="AB29" s="99"/>
      <c r="AC29" s="148"/>
      <c r="AD29" s="99"/>
      <c r="AE29" s="148"/>
      <c r="AF29" s="148"/>
      <c r="AG29" s="66">
        <f t="shared" si="1"/>
        <v>0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2"/>
        <v>湘苡</v>
      </c>
      <c r="AJ29" s="80"/>
    </row>
    <row r="30" spans="1:36" ht="18" customHeight="1">
      <c r="A30" s="99" t="s">
        <v>174</v>
      </c>
      <c r="B30" s="100" t="s">
        <v>148</v>
      </c>
      <c r="C30" s="147"/>
      <c r="D30" s="145"/>
      <c r="E30" s="99"/>
      <c r="F30" s="147"/>
      <c r="G30" s="99"/>
      <c r="H30" s="147"/>
      <c r="I30" s="99"/>
      <c r="J30" s="99"/>
      <c r="K30" s="147"/>
      <c r="L30" s="99"/>
      <c r="M30" s="147"/>
      <c r="N30" s="147"/>
      <c r="O30" s="147"/>
      <c r="P30" s="99"/>
      <c r="Q30" s="99"/>
      <c r="R30" s="99">
        <v>1</v>
      </c>
      <c r="S30" s="99"/>
      <c r="T30" s="147"/>
      <c r="U30" s="99"/>
      <c r="V30" s="147"/>
      <c r="W30" s="99"/>
      <c r="X30" s="99"/>
      <c r="Y30" s="99"/>
      <c r="Z30" s="99"/>
      <c r="AA30" s="147"/>
      <c r="AB30" s="99"/>
      <c r="AC30" s="148"/>
      <c r="AD30" s="99"/>
      <c r="AE30" s="148"/>
      <c r="AF30" s="148"/>
      <c r="AG30" s="66">
        <f t="shared" si="1"/>
        <v>1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2"/>
        <v>雅雅</v>
      </c>
      <c r="AJ30" s="82"/>
    </row>
    <row r="31" spans="1:36" ht="18" customHeight="1">
      <c r="A31" s="101" t="s">
        <v>174</v>
      </c>
      <c r="B31" s="102" t="s">
        <v>103</v>
      </c>
      <c r="C31" s="147"/>
      <c r="D31" s="145"/>
      <c r="E31" s="101">
        <v>1</v>
      </c>
      <c r="F31" s="147"/>
      <c r="G31" s="101">
        <v>1</v>
      </c>
      <c r="H31" s="147"/>
      <c r="I31" s="101">
        <v>1</v>
      </c>
      <c r="J31" s="101">
        <v>1</v>
      </c>
      <c r="K31" s="147"/>
      <c r="L31" s="101">
        <v>1</v>
      </c>
      <c r="M31" s="147"/>
      <c r="N31" s="147"/>
      <c r="O31" s="147"/>
      <c r="P31" s="101"/>
      <c r="Q31" s="101"/>
      <c r="R31" s="101">
        <v>1</v>
      </c>
      <c r="S31" s="101"/>
      <c r="T31" s="147"/>
      <c r="U31" s="101"/>
      <c r="V31" s="147"/>
      <c r="W31" s="101"/>
      <c r="X31" s="101"/>
      <c r="Y31" s="101"/>
      <c r="Z31" s="101"/>
      <c r="AA31" s="147"/>
      <c r="AB31" s="101"/>
      <c r="AC31" s="148"/>
      <c r="AD31" s="101"/>
      <c r="AE31" s="148"/>
      <c r="AF31" s="148"/>
      <c r="AG31" s="66">
        <f t="shared" si="1"/>
        <v>6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圈圈</v>
      </c>
      <c r="AJ31" s="90"/>
    </row>
    <row r="32" spans="1:36" ht="18" customHeight="1">
      <c r="A32" s="101" t="s">
        <v>174</v>
      </c>
      <c r="B32" s="102" t="s">
        <v>104</v>
      </c>
      <c r="C32" s="147"/>
      <c r="D32" s="145"/>
      <c r="E32" s="101"/>
      <c r="F32" s="147"/>
      <c r="G32" s="101">
        <v>1</v>
      </c>
      <c r="H32" s="147"/>
      <c r="I32" s="101"/>
      <c r="J32" s="101"/>
      <c r="K32" s="147"/>
      <c r="L32" s="101"/>
      <c r="M32" s="147"/>
      <c r="N32" s="147"/>
      <c r="O32" s="147"/>
      <c r="P32" s="101"/>
      <c r="Q32" s="101"/>
      <c r="R32" s="101"/>
      <c r="S32" s="101"/>
      <c r="T32" s="147"/>
      <c r="U32" s="101"/>
      <c r="V32" s="147"/>
      <c r="W32" s="101"/>
      <c r="X32" s="101"/>
      <c r="Y32" s="101"/>
      <c r="Z32" s="101">
        <v>1</v>
      </c>
      <c r="AA32" s="147"/>
      <c r="AB32" s="101"/>
      <c r="AC32" s="148"/>
      <c r="AD32" s="101"/>
      <c r="AE32" s="148"/>
      <c r="AF32" s="148"/>
      <c r="AG32" s="66">
        <f t="shared" si="1"/>
        <v>2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2"/>
        <v>卡丘</v>
      </c>
      <c r="AJ32" s="90"/>
    </row>
    <row r="33" spans="1:36" ht="18" customHeight="1">
      <c r="A33" s="101" t="s">
        <v>174</v>
      </c>
      <c r="B33" s="102" t="s">
        <v>105</v>
      </c>
      <c r="C33" s="147"/>
      <c r="D33" s="145"/>
      <c r="E33" s="101">
        <v>1</v>
      </c>
      <c r="F33" s="147"/>
      <c r="G33" s="101">
        <v>1</v>
      </c>
      <c r="H33" s="147"/>
      <c r="I33" s="101">
        <v>1</v>
      </c>
      <c r="J33" s="101">
        <v>1</v>
      </c>
      <c r="K33" s="147"/>
      <c r="L33" s="101">
        <v>1</v>
      </c>
      <c r="M33" s="147"/>
      <c r="N33" s="147"/>
      <c r="O33" s="147"/>
      <c r="P33" s="101"/>
      <c r="Q33" s="101"/>
      <c r="R33" s="101"/>
      <c r="S33" s="101"/>
      <c r="T33" s="147"/>
      <c r="U33" s="101">
        <v>1</v>
      </c>
      <c r="V33" s="147"/>
      <c r="W33" s="101"/>
      <c r="X33" s="101"/>
      <c r="Y33" s="101"/>
      <c r="Z33" s="101">
        <v>1</v>
      </c>
      <c r="AA33" s="147"/>
      <c r="AB33" s="101">
        <v>1</v>
      </c>
      <c r="AC33" s="148"/>
      <c r="AD33" s="101"/>
      <c r="AE33" s="148"/>
      <c r="AF33" s="148"/>
      <c r="AG33" s="66">
        <f t="shared" si="1"/>
        <v>8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2"/>
        <v>琬蓁</v>
      </c>
      <c r="AJ33" s="90"/>
    </row>
    <row r="34" spans="1:36" ht="18" customHeight="1">
      <c r="A34" s="101" t="s">
        <v>174</v>
      </c>
      <c r="B34" s="102" t="s">
        <v>116</v>
      </c>
      <c r="C34" s="147"/>
      <c r="D34" s="145"/>
      <c r="E34" s="101"/>
      <c r="F34" s="147"/>
      <c r="G34" s="101"/>
      <c r="H34" s="147"/>
      <c r="I34" s="101"/>
      <c r="J34" s="101"/>
      <c r="K34" s="147"/>
      <c r="L34" s="101"/>
      <c r="M34" s="147"/>
      <c r="N34" s="147"/>
      <c r="O34" s="147"/>
      <c r="P34" s="101"/>
      <c r="Q34" s="101"/>
      <c r="R34" s="101"/>
      <c r="S34" s="101"/>
      <c r="T34" s="147"/>
      <c r="U34" s="101"/>
      <c r="V34" s="147"/>
      <c r="W34" s="101"/>
      <c r="X34" s="101"/>
      <c r="Y34" s="101">
        <v>1</v>
      </c>
      <c r="Z34" s="101">
        <v>1</v>
      </c>
      <c r="AA34" s="147"/>
      <c r="AB34" s="101"/>
      <c r="AC34" s="148"/>
      <c r="AD34" s="101"/>
      <c r="AE34" s="148"/>
      <c r="AF34" s="148"/>
      <c r="AG34" s="66">
        <f t="shared" si="1"/>
        <v>2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2"/>
        <v>大汪</v>
      </c>
      <c r="AJ34" s="89"/>
    </row>
    <row r="35" spans="1:36" ht="18" customHeight="1">
      <c r="A35" s="101" t="s">
        <v>174</v>
      </c>
      <c r="B35" s="102" t="s">
        <v>117</v>
      </c>
      <c r="C35" s="147"/>
      <c r="D35" s="145"/>
      <c r="E35" s="101"/>
      <c r="F35" s="147"/>
      <c r="G35" s="101"/>
      <c r="H35" s="147"/>
      <c r="I35" s="101"/>
      <c r="J35" s="101"/>
      <c r="K35" s="147"/>
      <c r="L35" s="101"/>
      <c r="M35" s="147"/>
      <c r="N35" s="147"/>
      <c r="O35" s="147"/>
      <c r="P35" s="101"/>
      <c r="Q35" s="101"/>
      <c r="R35" s="101"/>
      <c r="S35" s="101"/>
      <c r="T35" s="147"/>
      <c r="U35" s="101"/>
      <c r="V35" s="147"/>
      <c r="W35" s="101"/>
      <c r="X35" s="101"/>
      <c r="Y35" s="101"/>
      <c r="Z35" s="101"/>
      <c r="AA35" s="147"/>
      <c r="AB35" s="101"/>
      <c r="AC35" s="148"/>
      <c r="AD35" s="101"/>
      <c r="AE35" s="148"/>
      <c r="AF35" s="148"/>
      <c r="AG35" s="66">
        <f t="shared" si="1"/>
        <v>0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2"/>
        <v>依凡</v>
      </c>
      <c r="AJ35" s="89"/>
    </row>
    <row r="36" spans="1:36" ht="18" customHeight="1">
      <c r="A36" s="101" t="s">
        <v>174</v>
      </c>
      <c r="B36" s="102" t="s">
        <v>118</v>
      </c>
      <c r="C36" s="147"/>
      <c r="D36" s="145"/>
      <c r="E36" s="101"/>
      <c r="F36" s="147"/>
      <c r="G36" s="101"/>
      <c r="H36" s="147"/>
      <c r="I36" s="101"/>
      <c r="J36" s="101"/>
      <c r="K36" s="147"/>
      <c r="L36" s="101"/>
      <c r="M36" s="147"/>
      <c r="N36" s="147"/>
      <c r="O36" s="147"/>
      <c r="P36" s="101"/>
      <c r="Q36" s="101"/>
      <c r="R36" s="101"/>
      <c r="S36" s="101"/>
      <c r="T36" s="147"/>
      <c r="U36" s="101"/>
      <c r="V36" s="147"/>
      <c r="W36" s="101"/>
      <c r="X36" s="101"/>
      <c r="Y36" s="101"/>
      <c r="Z36" s="101"/>
      <c r="AA36" s="147"/>
      <c r="AB36" s="101"/>
      <c r="AC36" s="148"/>
      <c r="AD36" s="101"/>
      <c r="AE36" s="148"/>
      <c r="AF36" s="148"/>
      <c r="AG36" s="66">
        <f t="shared" ref="AG36:AG67" si="3">COUNTA(C36:AF36)</f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4">B36</f>
        <v>雅筑</v>
      </c>
      <c r="AJ36" s="89"/>
    </row>
    <row r="37" spans="1:36" ht="18" customHeight="1">
      <c r="A37" s="101" t="s">
        <v>174</v>
      </c>
      <c r="B37" s="102" t="s">
        <v>119</v>
      </c>
      <c r="C37" s="147"/>
      <c r="D37" s="145"/>
      <c r="E37" s="101"/>
      <c r="F37" s="147"/>
      <c r="G37" s="101"/>
      <c r="H37" s="147"/>
      <c r="I37" s="101"/>
      <c r="J37" s="101"/>
      <c r="K37" s="147"/>
      <c r="L37" s="101"/>
      <c r="M37" s="147"/>
      <c r="N37" s="147"/>
      <c r="O37" s="147"/>
      <c r="P37" s="101"/>
      <c r="Q37" s="101"/>
      <c r="R37" s="101"/>
      <c r="S37" s="101"/>
      <c r="T37" s="147"/>
      <c r="U37" s="101"/>
      <c r="V37" s="147"/>
      <c r="W37" s="101"/>
      <c r="X37" s="101"/>
      <c r="Y37" s="101"/>
      <c r="Z37" s="101"/>
      <c r="AA37" s="147"/>
      <c r="AB37" s="101"/>
      <c r="AC37" s="148"/>
      <c r="AD37" s="101"/>
      <c r="AE37" s="148"/>
      <c r="AF37" s="148"/>
      <c r="AG37" s="66">
        <f t="shared" si="3"/>
        <v>0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4"/>
        <v>ABBY</v>
      </c>
      <c r="AJ37" s="90"/>
    </row>
    <row r="38" spans="1:36" ht="18" customHeight="1">
      <c r="A38" s="101" t="s">
        <v>174</v>
      </c>
      <c r="B38" s="102" t="s">
        <v>120</v>
      </c>
      <c r="C38" s="147"/>
      <c r="D38" s="145"/>
      <c r="E38" s="101"/>
      <c r="F38" s="147"/>
      <c r="G38" s="101"/>
      <c r="H38" s="147"/>
      <c r="I38" s="101"/>
      <c r="J38" s="101"/>
      <c r="K38" s="147"/>
      <c r="L38" s="101"/>
      <c r="M38" s="147"/>
      <c r="N38" s="147"/>
      <c r="O38" s="147"/>
      <c r="P38" s="101"/>
      <c r="Q38" s="101"/>
      <c r="R38" s="101"/>
      <c r="S38" s="101"/>
      <c r="T38" s="147"/>
      <c r="U38" s="101"/>
      <c r="V38" s="147"/>
      <c r="W38" s="101"/>
      <c r="X38" s="101"/>
      <c r="Y38" s="101"/>
      <c r="Z38" s="101"/>
      <c r="AA38" s="147"/>
      <c r="AB38" s="101"/>
      <c r="AC38" s="148"/>
      <c r="AD38" s="101"/>
      <c r="AE38" s="148"/>
      <c r="AF38" s="148"/>
      <c r="AG38" s="66">
        <f t="shared" si="3"/>
        <v>0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4"/>
        <v>品君</v>
      </c>
      <c r="AJ38" s="90"/>
    </row>
    <row r="39" spans="1:36" ht="18" customHeight="1">
      <c r="A39" s="101" t="s">
        <v>174</v>
      </c>
      <c r="B39" s="102" t="s">
        <v>121</v>
      </c>
      <c r="C39" s="147"/>
      <c r="D39" s="145"/>
      <c r="E39" s="101">
        <v>1</v>
      </c>
      <c r="F39" s="147"/>
      <c r="G39" s="101">
        <v>1</v>
      </c>
      <c r="H39" s="147"/>
      <c r="I39" s="101">
        <v>1</v>
      </c>
      <c r="J39" s="101">
        <v>1</v>
      </c>
      <c r="K39" s="147"/>
      <c r="L39" s="101"/>
      <c r="M39" s="147"/>
      <c r="N39" s="147"/>
      <c r="O39" s="147"/>
      <c r="P39" s="101">
        <v>1</v>
      </c>
      <c r="Q39" s="101"/>
      <c r="R39" s="101">
        <v>1</v>
      </c>
      <c r="S39" s="101">
        <v>1</v>
      </c>
      <c r="T39" s="147"/>
      <c r="U39" s="101">
        <v>1</v>
      </c>
      <c r="V39" s="147"/>
      <c r="W39" s="101">
        <v>1</v>
      </c>
      <c r="X39" s="101">
        <v>1</v>
      </c>
      <c r="Y39" s="101">
        <v>1</v>
      </c>
      <c r="Z39" s="101">
        <v>1</v>
      </c>
      <c r="AA39" s="147"/>
      <c r="AB39" s="101">
        <v>1</v>
      </c>
      <c r="AC39" s="148"/>
      <c r="AD39" s="101">
        <v>1</v>
      </c>
      <c r="AE39" s="148"/>
      <c r="AF39" s="148"/>
      <c r="AG39" s="66">
        <f t="shared" si="3"/>
        <v>14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4"/>
        <v>冰沙</v>
      </c>
      <c r="AJ39" s="90"/>
    </row>
    <row r="40" spans="1:36" ht="18" customHeight="1">
      <c r="A40" s="101" t="s">
        <v>174</v>
      </c>
      <c r="B40" s="102" t="s">
        <v>122</v>
      </c>
      <c r="C40" s="147"/>
      <c r="D40" s="145"/>
      <c r="E40" s="101"/>
      <c r="F40" s="147"/>
      <c r="G40" s="101"/>
      <c r="H40" s="147"/>
      <c r="I40" s="101"/>
      <c r="J40" s="101"/>
      <c r="K40" s="147"/>
      <c r="L40" s="101"/>
      <c r="M40" s="147"/>
      <c r="N40" s="147"/>
      <c r="O40" s="147"/>
      <c r="P40" s="101"/>
      <c r="Q40" s="101"/>
      <c r="R40" s="101"/>
      <c r="S40" s="101"/>
      <c r="T40" s="147"/>
      <c r="U40" s="101"/>
      <c r="V40" s="147"/>
      <c r="W40" s="101"/>
      <c r="X40" s="101"/>
      <c r="Y40" s="101">
        <v>1</v>
      </c>
      <c r="Z40" s="101"/>
      <c r="AA40" s="147"/>
      <c r="AB40" s="101"/>
      <c r="AC40" s="148"/>
      <c r="AD40" s="101"/>
      <c r="AE40" s="148"/>
      <c r="AF40" s="148"/>
      <c r="AG40" s="66">
        <f t="shared" si="3"/>
        <v>1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4"/>
        <v>幸恩</v>
      </c>
      <c r="AJ40" s="90"/>
    </row>
    <row r="41" spans="1:36" ht="18" customHeight="1">
      <c r="A41" s="101" t="s">
        <v>174</v>
      </c>
      <c r="B41" s="102" t="s">
        <v>123</v>
      </c>
      <c r="C41" s="147"/>
      <c r="D41" s="145"/>
      <c r="E41" s="101"/>
      <c r="F41" s="147"/>
      <c r="G41" s="101"/>
      <c r="H41" s="147"/>
      <c r="I41" s="101"/>
      <c r="J41" s="101"/>
      <c r="K41" s="147"/>
      <c r="L41" s="101"/>
      <c r="M41" s="147"/>
      <c r="N41" s="147"/>
      <c r="O41" s="147"/>
      <c r="P41" s="101"/>
      <c r="Q41" s="101"/>
      <c r="R41" s="101"/>
      <c r="S41" s="101"/>
      <c r="T41" s="147"/>
      <c r="U41" s="101"/>
      <c r="V41" s="147"/>
      <c r="W41" s="101"/>
      <c r="X41" s="101"/>
      <c r="Y41" s="101"/>
      <c r="Z41" s="101"/>
      <c r="AA41" s="147"/>
      <c r="AB41" s="101"/>
      <c r="AC41" s="148"/>
      <c r="AD41" s="101"/>
      <c r="AE41" s="148"/>
      <c r="AF41" s="148"/>
      <c r="AG41" s="66">
        <f t="shared" si="3"/>
        <v>0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4"/>
        <v>瑤瑤</v>
      </c>
      <c r="AJ41" s="89"/>
    </row>
    <row r="42" spans="1:36" ht="18" customHeight="1">
      <c r="A42" s="95" t="s">
        <v>58</v>
      </c>
      <c r="B42" s="96" t="s">
        <v>23</v>
      </c>
      <c r="C42" s="147"/>
      <c r="D42" s="145"/>
      <c r="E42" s="120">
        <v>1</v>
      </c>
      <c r="F42" s="147"/>
      <c r="G42" s="120"/>
      <c r="H42" s="147"/>
      <c r="I42" s="120">
        <v>1</v>
      </c>
      <c r="J42" s="120"/>
      <c r="K42" s="147"/>
      <c r="L42" s="120">
        <v>1</v>
      </c>
      <c r="M42" s="147"/>
      <c r="N42" s="147"/>
      <c r="O42" s="147"/>
      <c r="P42" s="120">
        <v>1</v>
      </c>
      <c r="Q42" s="120"/>
      <c r="R42" s="120"/>
      <c r="S42" s="120"/>
      <c r="T42" s="147"/>
      <c r="U42" s="120"/>
      <c r="V42" s="147"/>
      <c r="W42" s="120"/>
      <c r="X42" s="120"/>
      <c r="Y42" s="120"/>
      <c r="Z42" s="120"/>
      <c r="AA42" s="147"/>
      <c r="AB42" s="120">
        <v>1</v>
      </c>
      <c r="AC42" s="148"/>
      <c r="AD42" s="120">
        <v>1</v>
      </c>
      <c r="AE42" s="148"/>
      <c r="AF42" s="148"/>
      <c r="AG42" s="66">
        <f t="shared" si="3"/>
        <v>6</v>
      </c>
      <c r="AH42" s="68" t="e">
        <f ca="1">(IF(A42="O", (VALUE(_xludf.IFS(AG42=0,"0",AG42=1,"150",AG42=2,"300",AG42=3,"450",AG42=4,"600",AG42=5,"750",AG42&gt;=6,"800"))),(VALUE(_xludf.IFS(AG42=0,"0",AG42=1,"150",AG42=2,"300",AG42=3,"450",AG42=4,"600",AG42=5,"750",AG42=6,"900",AG42&gt;=7,"1,000")))))</f>
        <v>#NAME?</v>
      </c>
      <c r="AI42" s="69" t="str">
        <f t="shared" si="4"/>
        <v>ㄈㄈ</v>
      </c>
      <c r="AJ42" s="73"/>
    </row>
    <row r="43" spans="1:36" ht="18" customHeight="1">
      <c r="A43" s="95" t="s">
        <v>58</v>
      </c>
      <c r="B43" s="96" t="s">
        <v>24</v>
      </c>
      <c r="C43" s="147"/>
      <c r="D43" s="145"/>
      <c r="E43" s="120"/>
      <c r="F43" s="147"/>
      <c r="G43" s="120"/>
      <c r="H43" s="147"/>
      <c r="I43" s="120">
        <v>1</v>
      </c>
      <c r="J43" s="120"/>
      <c r="K43" s="147"/>
      <c r="L43" s="120"/>
      <c r="M43" s="147"/>
      <c r="N43" s="147"/>
      <c r="O43" s="147"/>
      <c r="P43" s="120">
        <v>1</v>
      </c>
      <c r="Q43" s="120">
        <v>1</v>
      </c>
      <c r="R43" s="120"/>
      <c r="S43" s="120">
        <v>1</v>
      </c>
      <c r="T43" s="147"/>
      <c r="U43" s="120">
        <v>1</v>
      </c>
      <c r="V43" s="147"/>
      <c r="W43" s="120"/>
      <c r="X43" s="120"/>
      <c r="Y43" s="120"/>
      <c r="Z43" s="120"/>
      <c r="AA43" s="147"/>
      <c r="AB43" s="120"/>
      <c r="AC43" s="148"/>
      <c r="AD43" s="120"/>
      <c r="AE43" s="148"/>
      <c r="AF43" s="148"/>
      <c r="AG43" s="66">
        <f t="shared" si="3"/>
        <v>5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4"/>
        <v>大熊</v>
      </c>
      <c r="AJ43" s="73"/>
    </row>
    <row r="44" spans="1:36" ht="18" customHeight="1">
      <c r="A44" s="95" t="s">
        <v>58</v>
      </c>
      <c r="B44" s="96" t="s">
        <v>64</v>
      </c>
      <c r="C44" s="147"/>
      <c r="D44" s="145"/>
      <c r="E44" s="120"/>
      <c r="F44" s="147"/>
      <c r="G44" s="120"/>
      <c r="H44" s="147"/>
      <c r="I44" s="120"/>
      <c r="J44" s="120"/>
      <c r="K44" s="147"/>
      <c r="L44" s="120"/>
      <c r="M44" s="147"/>
      <c r="N44" s="147"/>
      <c r="O44" s="147"/>
      <c r="P44" s="120">
        <v>1</v>
      </c>
      <c r="Q44" s="120"/>
      <c r="R44" s="120"/>
      <c r="S44" s="120"/>
      <c r="T44" s="147"/>
      <c r="U44" s="120"/>
      <c r="V44" s="147"/>
      <c r="W44" s="120"/>
      <c r="X44" s="120"/>
      <c r="Y44" s="120"/>
      <c r="Z44" s="120"/>
      <c r="AA44" s="147"/>
      <c r="AB44" s="120"/>
      <c r="AC44" s="148"/>
      <c r="AD44" s="120"/>
      <c r="AE44" s="148"/>
      <c r="AF44" s="148"/>
      <c r="AG44" s="66">
        <f t="shared" si="3"/>
        <v>1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4"/>
        <v>園棠</v>
      </c>
      <c r="AJ44" s="73"/>
    </row>
    <row r="45" spans="1:36" ht="18" customHeight="1">
      <c r="A45" s="95" t="s">
        <v>58</v>
      </c>
      <c r="B45" s="96" t="s">
        <v>178</v>
      </c>
      <c r="C45" s="147"/>
      <c r="D45" s="145"/>
      <c r="E45" s="120">
        <v>1</v>
      </c>
      <c r="F45" s="147"/>
      <c r="G45" s="120"/>
      <c r="H45" s="147"/>
      <c r="I45" s="120">
        <v>1</v>
      </c>
      <c r="J45" s="120"/>
      <c r="K45" s="147"/>
      <c r="L45" s="120"/>
      <c r="M45" s="147"/>
      <c r="N45" s="147"/>
      <c r="O45" s="147"/>
      <c r="P45" s="120">
        <v>1</v>
      </c>
      <c r="Q45" s="120"/>
      <c r="R45" s="120">
        <v>1</v>
      </c>
      <c r="S45" s="120"/>
      <c r="T45" s="147"/>
      <c r="U45" s="120">
        <v>1</v>
      </c>
      <c r="V45" s="147"/>
      <c r="W45" s="120">
        <v>1</v>
      </c>
      <c r="X45" s="120"/>
      <c r="Y45" s="120">
        <v>1</v>
      </c>
      <c r="Z45" s="120">
        <v>1</v>
      </c>
      <c r="AA45" s="147"/>
      <c r="AB45" s="120">
        <v>1</v>
      </c>
      <c r="AC45" s="148"/>
      <c r="AD45" s="120">
        <v>1</v>
      </c>
      <c r="AE45" s="148"/>
      <c r="AF45" s="148"/>
      <c r="AG45" s="66">
        <f t="shared" si="3"/>
        <v>10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4"/>
        <v>Fish</v>
      </c>
      <c r="AJ45" s="73"/>
    </row>
    <row r="46" spans="1:36" ht="18" customHeight="1">
      <c r="A46" s="95" t="s">
        <v>58</v>
      </c>
      <c r="B46" s="96" t="s">
        <v>25</v>
      </c>
      <c r="C46" s="147"/>
      <c r="D46" s="145"/>
      <c r="E46" s="120"/>
      <c r="F46" s="147"/>
      <c r="G46" s="120"/>
      <c r="H46" s="147"/>
      <c r="I46" s="120"/>
      <c r="J46" s="120"/>
      <c r="K46" s="147"/>
      <c r="L46" s="120"/>
      <c r="M46" s="147"/>
      <c r="N46" s="147"/>
      <c r="O46" s="147"/>
      <c r="P46" s="120">
        <v>1</v>
      </c>
      <c r="Q46" s="120"/>
      <c r="R46" s="120"/>
      <c r="S46" s="120"/>
      <c r="T46" s="147"/>
      <c r="U46" s="120"/>
      <c r="V46" s="147"/>
      <c r="W46" s="120"/>
      <c r="X46" s="120"/>
      <c r="Y46" s="120">
        <v>1</v>
      </c>
      <c r="Z46" s="120">
        <v>1</v>
      </c>
      <c r="AA46" s="147"/>
      <c r="AB46" s="120">
        <v>1</v>
      </c>
      <c r="AC46" s="148"/>
      <c r="AD46" s="120"/>
      <c r="AE46" s="148"/>
      <c r="AF46" s="148"/>
      <c r="AG46" s="66">
        <f t="shared" si="3"/>
        <v>4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4"/>
        <v>潘潘</v>
      </c>
      <c r="AJ46" s="73"/>
    </row>
    <row r="47" spans="1:36" ht="18" customHeight="1">
      <c r="A47" s="95" t="s">
        <v>58</v>
      </c>
      <c r="B47" s="96" t="s">
        <v>63</v>
      </c>
      <c r="C47" s="147"/>
      <c r="D47" s="145"/>
      <c r="E47" s="120"/>
      <c r="F47" s="147"/>
      <c r="G47" s="120"/>
      <c r="H47" s="147"/>
      <c r="I47" s="120"/>
      <c r="J47" s="120"/>
      <c r="K47" s="147"/>
      <c r="L47" s="120"/>
      <c r="M47" s="147"/>
      <c r="N47" s="147"/>
      <c r="O47" s="147"/>
      <c r="P47" s="120"/>
      <c r="Q47" s="120"/>
      <c r="R47" s="120"/>
      <c r="S47" s="120"/>
      <c r="T47" s="147"/>
      <c r="U47" s="120"/>
      <c r="V47" s="147"/>
      <c r="W47" s="120"/>
      <c r="X47" s="120"/>
      <c r="Y47" s="120"/>
      <c r="Z47" s="120"/>
      <c r="AA47" s="147"/>
      <c r="AB47" s="120"/>
      <c r="AC47" s="148"/>
      <c r="AD47" s="120"/>
      <c r="AE47" s="148"/>
      <c r="AF47" s="148"/>
      <c r="AG47" s="66">
        <f t="shared" si="3"/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4"/>
        <v>芒果</v>
      </c>
      <c r="AJ47" s="73"/>
    </row>
    <row r="48" spans="1:36" ht="18" customHeight="1">
      <c r="A48" s="95" t="s">
        <v>58</v>
      </c>
      <c r="B48" s="96" t="s">
        <v>62</v>
      </c>
      <c r="C48" s="147"/>
      <c r="D48" s="145"/>
      <c r="E48" s="120"/>
      <c r="F48" s="147"/>
      <c r="G48" s="120"/>
      <c r="H48" s="147"/>
      <c r="I48" s="120"/>
      <c r="J48" s="120"/>
      <c r="K48" s="147"/>
      <c r="L48" s="120"/>
      <c r="M48" s="147"/>
      <c r="N48" s="147"/>
      <c r="O48" s="147"/>
      <c r="P48" s="120"/>
      <c r="Q48" s="120"/>
      <c r="R48" s="120"/>
      <c r="S48" s="120"/>
      <c r="T48" s="147"/>
      <c r="U48" s="120"/>
      <c r="V48" s="147"/>
      <c r="W48" s="120"/>
      <c r="X48" s="120"/>
      <c r="Y48" s="120"/>
      <c r="Z48" s="120"/>
      <c r="AA48" s="147"/>
      <c r="AB48" s="120">
        <v>1</v>
      </c>
      <c r="AC48" s="148"/>
      <c r="AD48" s="120"/>
      <c r="AE48" s="148"/>
      <c r="AF48" s="148"/>
      <c r="AG48" s="66">
        <f t="shared" si="3"/>
        <v>1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4"/>
        <v>國源</v>
      </c>
      <c r="AJ48" s="73"/>
    </row>
    <row r="49" spans="1:36" ht="18" customHeight="1">
      <c r="A49" s="95" t="s">
        <v>58</v>
      </c>
      <c r="B49" s="96" t="s">
        <v>26</v>
      </c>
      <c r="C49" s="147"/>
      <c r="D49" s="145"/>
      <c r="E49" s="120"/>
      <c r="F49" s="147"/>
      <c r="G49" s="120"/>
      <c r="H49" s="147"/>
      <c r="I49" s="120"/>
      <c r="J49" s="120"/>
      <c r="K49" s="147"/>
      <c r="L49" s="120"/>
      <c r="M49" s="147"/>
      <c r="N49" s="147"/>
      <c r="O49" s="147"/>
      <c r="P49" s="120"/>
      <c r="Q49" s="120"/>
      <c r="R49" s="120"/>
      <c r="S49" s="120"/>
      <c r="T49" s="147"/>
      <c r="U49" s="120">
        <v>1</v>
      </c>
      <c r="V49" s="147"/>
      <c r="W49" s="120"/>
      <c r="X49" s="120"/>
      <c r="Y49" s="120"/>
      <c r="Z49" s="120"/>
      <c r="AA49" s="147"/>
      <c r="AB49" s="120">
        <v>1</v>
      </c>
      <c r="AC49" s="148"/>
      <c r="AD49" s="120"/>
      <c r="AE49" s="148"/>
      <c r="AF49" s="148"/>
      <c r="AG49" s="66">
        <f t="shared" si="3"/>
        <v>2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4"/>
        <v>曉強</v>
      </c>
      <c r="AJ49" s="73"/>
    </row>
    <row r="50" spans="1:36" ht="18" customHeight="1">
      <c r="A50" s="95" t="s">
        <v>58</v>
      </c>
      <c r="B50" s="96" t="s">
        <v>59</v>
      </c>
      <c r="C50" s="147"/>
      <c r="D50" s="145"/>
      <c r="E50" s="120"/>
      <c r="F50" s="147"/>
      <c r="G50" s="120"/>
      <c r="H50" s="147"/>
      <c r="I50" s="120"/>
      <c r="J50" s="120"/>
      <c r="K50" s="147"/>
      <c r="L50" s="120"/>
      <c r="M50" s="147"/>
      <c r="N50" s="147"/>
      <c r="O50" s="147"/>
      <c r="P50" s="120"/>
      <c r="Q50" s="120"/>
      <c r="R50" s="120"/>
      <c r="S50" s="120"/>
      <c r="T50" s="147"/>
      <c r="U50" s="120"/>
      <c r="V50" s="147"/>
      <c r="W50" s="120"/>
      <c r="X50" s="120"/>
      <c r="Y50" s="120"/>
      <c r="Z50" s="120"/>
      <c r="AA50" s="147"/>
      <c r="AB50" s="120"/>
      <c r="AC50" s="148"/>
      <c r="AD50" s="120"/>
      <c r="AE50" s="148"/>
      <c r="AF50" s="148"/>
      <c r="AG50" s="66">
        <f t="shared" si="3"/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4"/>
        <v>阿幹</v>
      </c>
      <c r="AJ50" s="73"/>
    </row>
    <row r="51" spans="1:36" ht="18" customHeight="1">
      <c r="A51" s="95" t="s">
        <v>58</v>
      </c>
      <c r="B51" s="96" t="s">
        <v>27</v>
      </c>
      <c r="C51" s="147"/>
      <c r="D51" s="145"/>
      <c r="E51" s="120"/>
      <c r="F51" s="147"/>
      <c r="G51" s="120">
        <v>1</v>
      </c>
      <c r="H51" s="147"/>
      <c r="I51" s="120"/>
      <c r="J51" s="120"/>
      <c r="K51" s="147"/>
      <c r="L51" s="120"/>
      <c r="M51" s="147"/>
      <c r="N51" s="147"/>
      <c r="O51" s="147"/>
      <c r="P51" s="120"/>
      <c r="Q51" s="120"/>
      <c r="R51" s="120"/>
      <c r="S51" s="120"/>
      <c r="T51" s="147"/>
      <c r="U51" s="120"/>
      <c r="V51" s="147"/>
      <c r="W51" s="120">
        <v>1</v>
      </c>
      <c r="X51" s="120"/>
      <c r="Y51" s="120"/>
      <c r="Z51" s="120"/>
      <c r="AA51" s="147"/>
      <c r="AB51" s="120">
        <v>1</v>
      </c>
      <c r="AC51" s="148"/>
      <c r="AD51" s="120"/>
      <c r="AE51" s="148"/>
      <c r="AF51" s="148"/>
      <c r="AG51" s="66">
        <f t="shared" si="3"/>
        <v>3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4"/>
        <v>芋圓</v>
      </c>
      <c r="AJ51" s="73"/>
    </row>
    <row r="52" spans="1:36" ht="18" customHeight="1">
      <c r="A52" s="95" t="s">
        <v>58</v>
      </c>
      <c r="B52" s="96" t="s">
        <v>28</v>
      </c>
      <c r="C52" s="147"/>
      <c r="D52" s="145"/>
      <c r="E52" s="120"/>
      <c r="F52" s="147"/>
      <c r="G52" s="120">
        <v>1</v>
      </c>
      <c r="H52" s="147"/>
      <c r="I52" s="120"/>
      <c r="J52" s="120"/>
      <c r="K52" s="147"/>
      <c r="L52" s="120"/>
      <c r="M52" s="147"/>
      <c r="N52" s="147"/>
      <c r="O52" s="147"/>
      <c r="P52" s="120"/>
      <c r="Q52" s="120"/>
      <c r="R52" s="120"/>
      <c r="S52" s="120">
        <v>1</v>
      </c>
      <c r="T52" s="147"/>
      <c r="U52" s="120"/>
      <c r="V52" s="147"/>
      <c r="W52" s="120"/>
      <c r="X52" s="120"/>
      <c r="Y52" s="120"/>
      <c r="Z52" s="120"/>
      <c r="AA52" s="147"/>
      <c r="AB52" s="120"/>
      <c r="AC52" s="148"/>
      <c r="AD52" s="120">
        <v>1</v>
      </c>
      <c r="AE52" s="148"/>
      <c r="AF52" s="148"/>
      <c r="AG52" s="66">
        <f t="shared" si="3"/>
        <v>3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4"/>
        <v>克勤</v>
      </c>
      <c r="AJ52" s="73"/>
    </row>
    <row r="53" spans="1:36" ht="18" customHeight="1">
      <c r="A53" s="95" t="s">
        <v>58</v>
      </c>
      <c r="B53" s="96" t="s">
        <v>29</v>
      </c>
      <c r="C53" s="147"/>
      <c r="D53" s="145"/>
      <c r="E53" s="120"/>
      <c r="F53" s="147"/>
      <c r="G53" s="120">
        <v>1</v>
      </c>
      <c r="H53" s="147"/>
      <c r="I53" s="120">
        <v>1</v>
      </c>
      <c r="J53" s="120"/>
      <c r="K53" s="147"/>
      <c r="L53" s="120"/>
      <c r="M53" s="147"/>
      <c r="N53" s="147"/>
      <c r="O53" s="147"/>
      <c r="P53" s="120"/>
      <c r="Q53" s="120">
        <v>1</v>
      </c>
      <c r="R53" s="120"/>
      <c r="S53" s="120">
        <v>1</v>
      </c>
      <c r="T53" s="147"/>
      <c r="U53" s="120"/>
      <c r="V53" s="147"/>
      <c r="W53" s="120"/>
      <c r="X53" s="120"/>
      <c r="Y53" s="120">
        <v>1</v>
      </c>
      <c r="Z53" s="120">
        <v>1</v>
      </c>
      <c r="AA53" s="147"/>
      <c r="AB53" s="120"/>
      <c r="AC53" s="148"/>
      <c r="AD53" s="120"/>
      <c r="AE53" s="148"/>
      <c r="AF53" s="148"/>
      <c r="AG53" s="66">
        <f t="shared" si="3"/>
        <v>6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4"/>
        <v>大頭</v>
      </c>
      <c r="AJ53" s="73"/>
    </row>
    <row r="54" spans="1:36" ht="18" customHeight="1">
      <c r="A54" s="95" t="s">
        <v>58</v>
      </c>
      <c r="B54" s="96" t="s">
        <v>65</v>
      </c>
      <c r="C54" s="147"/>
      <c r="D54" s="145"/>
      <c r="E54" s="120"/>
      <c r="F54" s="147"/>
      <c r="G54" s="120">
        <v>1</v>
      </c>
      <c r="H54" s="147"/>
      <c r="I54" s="120">
        <v>1</v>
      </c>
      <c r="J54" s="120">
        <v>1</v>
      </c>
      <c r="K54" s="147"/>
      <c r="L54" s="120"/>
      <c r="M54" s="147"/>
      <c r="N54" s="147"/>
      <c r="O54" s="147"/>
      <c r="P54" s="120">
        <v>1</v>
      </c>
      <c r="Q54" s="120">
        <v>1</v>
      </c>
      <c r="R54" s="120"/>
      <c r="S54" s="120"/>
      <c r="T54" s="147"/>
      <c r="U54" s="120"/>
      <c r="V54" s="147"/>
      <c r="W54" s="120"/>
      <c r="X54" s="120"/>
      <c r="Y54" s="120"/>
      <c r="Z54" s="120"/>
      <c r="AA54" s="147"/>
      <c r="AB54" s="120"/>
      <c r="AC54" s="148"/>
      <c r="AD54" s="120"/>
      <c r="AE54" s="148"/>
      <c r="AF54" s="148"/>
      <c r="AG54" s="66">
        <f t="shared" si="3"/>
        <v>5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4"/>
        <v>文淵</v>
      </c>
      <c r="AJ54" s="73"/>
    </row>
    <row r="55" spans="1:36" ht="18" customHeight="1">
      <c r="A55" s="95" t="s">
        <v>58</v>
      </c>
      <c r="B55" s="96" t="s">
        <v>72</v>
      </c>
      <c r="C55" s="147"/>
      <c r="D55" s="145"/>
      <c r="E55" s="120"/>
      <c r="F55" s="147"/>
      <c r="G55" s="120"/>
      <c r="H55" s="147"/>
      <c r="I55" s="120"/>
      <c r="J55" s="120"/>
      <c r="K55" s="147"/>
      <c r="L55" s="120"/>
      <c r="M55" s="147"/>
      <c r="N55" s="147"/>
      <c r="O55" s="147"/>
      <c r="P55" s="120"/>
      <c r="Q55" s="120"/>
      <c r="R55" s="120"/>
      <c r="S55" s="120"/>
      <c r="T55" s="147"/>
      <c r="U55" s="120"/>
      <c r="V55" s="147"/>
      <c r="W55" s="120"/>
      <c r="X55" s="120"/>
      <c r="Y55" s="120"/>
      <c r="Z55" s="120"/>
      <c r="AA55" s="147"/>
      <c r="AB55" s="120"/>
      <c r="AC55" s="148"/>
      <c r="AD55" s="120"/>
      <c r="AE55" s="148"/>
      <c r="AF55" s="148"/>
      <c r="AG55" s="66">
        <f t="shared" si="3"/>
        <v>0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4"/>
        <v>八卦</v>
      </c>
      <c r="AJ55" s="73"/>
    </row>
    <row r="56" spans="1:36" ht="18" customHeight="1">
      <c r="A56" s="95" t="s">
        <v>58</v>
      </c>
      <c r="B56" s="96" t="s">
        <v>66</v>
      </c>
      <c r="C56" s="147"/>
      <c r="D56" s="145"/>
      <c r="E56" s="120">
        <v>1</v>
      </c>
      <c r="F56" s="147"/>
      <c r="G56" s="120">
        <v>1</v>
      </c>
      <c r="H56" s="147"/>
      <c r="I56" s="120">
        <v>1</v>
      </c>
      <c r="J56" s="120"/>
      <c r="K56" s="147"/>
      <c r="L56" s="120"/>
      <c r="M56" s="147"/>
      <c r="N56" s="147"/>
      <c r="O56" s="147"/>
      <c r="P56" s="120"/>
      <c r="Q56" s="120">
        <v>1</v>
      </c>
      <c r="R56" s="120"/>
      <c r="S56" s="120"/>
      <c r="T56" s="147"/>
      <c r="U56" s="120"/>
      <c r="V56" s="147"/>
      <c r="W56" s="120"/>
      <c r="X56" s="120"/>
      <c r="Y56" s="120"/>
      <c r="Z56" s="120"/>
      <c r="AA56" s="147"/>
      <c r="AB56" s="120"/>
      <c r="AC56" s="148"/>
      <c r="AD56" s="120"/>
      <c r="AE56" s="148"/>
      <c r="AF56" s="148"/>
      <c r="AG56" s="66">
        <f t="shared" si="3"/>
        <v>4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4"/>
        <v>昆佑</v>
      </c>
      <c r="AJ56" s="73"/>
    </row>
    <row r="57" spans="1:36" ht="18" customHeight="1">
      <c r="A57" s="95" t="s">
        <v>58</v>
      </c>
      <c r="B57" s="96" t="s">
        <v>68</v>
      </c>
      <c r="C57" s="147"/>
      <c r="D57" s="145"/>
      <c r="E57" s="120"/>
      <c r="F57" s="147"/>
      <c r="G57" s="120"/>
      <c r="H57" s="147"/>
      <c r="I57" s="120"/>
      <c r="J57" s="120"/>
      <c r="K57" s="147"/>
      <c r="L57" s="120"/>
      <c r="M57" s="147"/>
      <c r="N57" s="147"/>
      <c r="O57" s="147"/>
      <c r="P57" s="120"/>
      <c r="Q57" s="120"/>
      <c r="R57" s="120"/>
      <c r="S57" s="120"/>
      <c r="T57" s="147"/>
      <c r="U57" s="120"/>
      <c r="V57" s="147"/>
      <c r="W57" s="120"/>
      <c r="X57" s="120"/>
      <c r="Y57" s="120"/>
      <c r="Z57" s="120"/>
      <c r="AA57" s="147"/>
      <c r="AB57" s="120"/>
      <c r="AC57" s="148"/>
      <c r="AD57" s="120"/>
      <c r="AE57" s="148"/>
      <c r="AF57" s="148"/>
      <c r="AG57" s="66">
        <f t="shared" si="3"/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4"/>
        <v>兔子</v>
      </c>
      <c r="AJ57" s="73"/>
    </row>
    <row r="58" spans="1:36" ht="18" customHeight="1">
      <c r="A58" s="95" t="s">
        <v>58</v>
      </c>
      <c r="B58" s="96" t="s">
        <v>69</v>
      </c>
      <c r="C58" s="147"/>
      <c r="D58" s="145"/>
      <c r="E58" s="120"/>
      <c r="F58" s="147"/>
      <c r="G58" s="120"/>
      <c r="H58" s="147"/>
      <c r="I58" s="120"/>
      <c r="J58" s="120"/>
      <c r="K58" s="147"/>
      <c r="L58" s="120"/>
      <c r="M58" s="147"/>
      <c r="N58" s="147"/>
      <c r="O58" s="147"/>
      <c r="P58" s="120"/>
      <c r="Q58" s="120"/>
      <c r="R58" s="120"/>
      <c r="S58" s="120"/>
      <c r="T58" s="147"/>
      <c r="U58" s="120"/>
      <c r="V58" s="147"/>
      <c r="W58" s="120"/>
      <c r="X58" s="120"/>
      <c r="Y58" s="120"/>
      <c r="Z58" s="120"/>
      <c r="AA58" s="147"/>
      <c r="AB58" s="120"/>
      <c r="AC58" s="148"/>
      <c r="AD58" s="120"/>
      <c r="AE58" s="148"/>
      <c r="AF58" s="148"/>
      <c r="AG58" s="66">
        <f t="shared" si="3"/>
        <v>0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4"/>
        <v>小馬</v>
      </c>
      <c r="AJ58" s="73"/>
    </row>
    <row r="59" spans="1:36" ht="18" customHeight="1">
      <c r="A59" s="95" t="s">
        <v>58</v>
      </c>
      <c r="B59" s="96" t="s">
        <v>70</v>
      </c>
      <c r="C59" s="147"/>
      <c r="D59" s="145"/>
      <c r="E59" s="120"/>
      <c r="F59" s="147"/>
      <c r="G59" s="120"/>
      <c r="H59" s="147"/>
      <c r="I59" s="120"/>
      <c r="J59" s="120"/>
      <c r="K59" s="147"/>
      <c r="L59" s="120"/>
      <c r="M59" s="147"/>
      <c r="N59" s="147"/>
      <c r="O59" s="147"/>
      <c r="P59" s="120"/>
      <c r="Q59" s="120"/>
      <c r="R59" s="120"/>
      <c r="S59" s="120"/>
      <c r="T59" s="147"/>
      <c r="U59" s="120"/>
      <c r="V59" s="147"/>
      <c r="W59" s="120"/>
      <c r="X59" s="120"/>
      <c r="Y59" s="120"/>
      <c r="Z59" s="120"/>
      <c r="AA59" s="147"/>
      <c r="AB59" s="120"/>
      <c r="AC59" s="148"/>
      <c r="AD59" s="120"/>
      <c r="AE59" s="148"/>
      <c r="AF59" s="148"/>
      <c r="AG59" s="66">
        <f t="shared" si="3"/>
        <v>0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4"/>
        <v>Allen</v>
      </c>
      <c r="AJ59" s="73"/>
    </row>
    <row r="60" spans="1:36" ht="18" customHeight="1">
      <c r="A60" s="95" t="s">
        <v>58</v>
      </c>
      <c r="B60" s="96" t="s">
        <v>71</v>
      </c>
      <c r="C60" s="147"/>
      <c r="D60" s="145"/>
      <c r="E60" s="120"/>
      <c r="F60" s="147"/>
      <c r="G60" s="120"/>
      <c r="H60" s="147"/>
      <c r="I60" s="120"/>
      <c r="J60" s="120"/>
      <c r="K60" s="147"/>
      <c r="L60" s="120"/>
      <c r="M60" s="147"/>
      <c r="N60" s="147"/>
      <c r="O60" s="147"/>
      <c r="P60" s="120"/>
      <c r="Q60" s="120"/>
      <c r="R60" s="120"/>
      <c r="S60" s="120"/>
      <c r="T60" s="147"/>
      <c r="U60" s="120"/>
      <c r="V60" s="147"/>
      <c r="W60" s="120"/>
      <c r="X60" s="120"/>
      <c r="Y60" s="120"/>
      <c r="Z60" s="120"/>
      <c r="AA60" s="147"/>
      <c r="AB60" s="120"/>
      <c r="AC60" s="148"/>
      <c r="AD60" s="120"/>
      <c r="AE60" s="148"/>
      <c r="AF60" s="148"/>
      <c r="AG60" s="66">
        <f t="shared" si="3"/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4"/>
        <v>嘴嘴</v>
      </c>
      <c r="AJ60" s="73"/>
    </row>
    <row r="61" spans="1:36" ht="18" customHeight="1">
      <c r="A61" s="95" t="s">
        <v>58</v>
      </c>
      <c r="B61" s="96" t="s">
        <v>74</v>
      </c>
      <c r="C61" s="147"/>
      <c r="D61" s="145"/>
      <c r="E61" s="120"/>
      <c r="F61" s="147"/>
      <c r="G61" s="120"/>
      <c r="H61" s="147"/>
      <c r="I61" s="120"/>
      <c r="J61" s="120"/>
      <c r="K61" s="147"/>
      <c r="L61" s="120"/>
      <c r="M61" s="147"/>
      <c r="N61" s="147"/>
      <c r="O61" s="147"/>
      <c r="P61" s="120"/>
      <c r="Q61" s="120"/>
      <c r="R61" s="120"/>
      <c r="S61" s="120"/>
      <c r="T61" s="147"/>
      <c r="U61" s="120"/>
      <c r="V61" s="147"/>
      <c r="W61" s="120"/>
      <c r="X61" s="120"/>
      <c r="Y61" s="120"/>
      <c r="Z61" s="120"/>
      <c r="AA61" s="147"/>
      <c r="AB61" s="120"/>
      <c r="AC61" s="148"/>
      <c r="AD61" s="120"/>
      <c r="AE61" s="148"/>
      <c r="AF61" s="148"/>
      <c r="AG61" s="66">
        <f t="shared" si="3"/>
        <v>0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4"/>
        <v>蘆葦</v>
      </c>
      <c r="AJ61" s="73"/>
    </row>
    <row r="62" spans="1:36" ht="18" customHeight="1">
      <c r="A62" s="95" t="s">
        <v>58</v>
      </c>
      <c r="B62" s="96" t="s">
        <v>30</v>
      </c>
      <c r="C62" s="147"/>
      <c r="D62" s="145"/>
      <c r="E62" s="120"/>
      <c r="F62" s="147"/>
      <c r="G62" s="120"/>
      <c r="H62" s="147"/>
      <c r="I62" s="120"/>
      <c r="J62" s="120"/>
      <c r="K62" s="147"/>
      <c r="L62" s="120"/>
      <c r="M62" s="147"/>
      <c r="N62" s="147"/>
      <c r="O62" s="147"/>
      <c r="P62" s="120"/>
      <c r="Q62" s="120"/>
      <c r="R62" s="120"/>
      <c r="S62" s="120"/>
      <c r="T62" s="147"/>
      <c r="U62" s="120"/>
      <c r="V62" s="147"/>
      <c r="W62" s="120"/>
      <c r="X62" s="120"/>
      <c r="Y62" s="120"/>
      <c r="Z62" s="120"/>
      <c r="AA62" s="147"/>
      <c r="AB62" s="120"/>
      <c r="AC62" s="148"/>
      <c r="AD62" s="120"/>
      <c r="AE62" s="148"/>
      <c r="AF62" s="148"/>
      <c r="AG62" s="66">
        <f t="shared" si="3"/>
        <v>0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4"/>
        <v>鯰魚</v>
      </c>
      <c r="AJ62" s="73"/>
    </row>
    <row r="63" spans="1:36" ht="18" customHeight="1">
      <c r="A63" s="95" t="s">
        <v>58</v>
      </c>
      <c r="B63" s="96" t="s">
        <v>31</v>
      </c>
      <c r="C63" s="147"/>
      <c r="D63" s="145"/>
      <c r="E63" s="120"/>
      <c r="F63" s="147"/>
      <c r="G63" s="120"/>
      <c r="H63" s="147"/>
      <c r="I63" s="120"/>
      <c r="J63" s="120"/>
      <c r="K63" s="147"/>
      <c r="L63" s="120"/>
      <c r="M63" s="147"/>
      <c r="N63" s="147"/>
      <c r="O63" s="147"/>
      <c r="P63" s="120"/>
      <c r="Q63" s="120"/>
      <c r="R63" s="120"/>
      <c r="S63" s="120"/>
      <c r="T63" s="147"/>
      <c r="U63" s="120"/>
      <c r="V63" s="147"/>
      <c r="W63" s="120">
        <v>1</v>
      </c>
      <c r="X63" s="120"/>
      <c r="Y63" s="120"/>
      <c r="Z63" s="120">
        <v>1</v>
      </c>
      <c r="AA63" s="147"/>
      <c r="AB63" s="120"/>
      <c r="AC63" s="148"/>
      <c r="AD63" s="120"/>
      <c r="AE63" s="148"/>
      <c r="AF63" s="148"/>
      <c r="AG63" s="66">
        <f t="shared" si="3"/>
        <v>2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4"/>
        <v>阿美</v>
      </c>
      <c r="AJ63" s="73"/>
    </row>
    <row r="64" spans="1:36" ht="18" customHeight="1">
      <c r="A64" s="95" t="s">
        <v>58</v>
      </c>
      <c r="B64" s="96" t="s">
        <v>73</v>
      </c>
      <c r="C64" s="147"/>
      <c r="D64" s="145"/>
      <c r="E64" s="120"/>
      <c r="F64" s="147"/>
      <c r="G64" s="120"/>
      <c r="H64" s="147"/>
      <c r="I64" s="120"/>
      <c r="J64" s="120"/>
      <c r="K64" s="147"/>
      <c r="L64" s="120"/>
      <c r="M64" s="147"/>
      <c r="N64" s="147"/>
      <c r="O64" s="147"/>
      <c r="P64" s="120"/>
      <c r="Q64" s="120"/>
      <c r="R64" s="120"/>
      <c r="S64" s="120"/>
      <c r="T64" s="147"/>
      <c r="U64" s="120"/>
      <c r="V64" s="147"/>
      <c r="W64" s="120"/>
      <c r="X64" s="120"/>
      <c r="Y64" s="120"/>
      <c r="Z64" s="120"/>
      <c r="AA64" s="147"/>
      <c r="AB64" s="120"/>
      <c r="AC64" s="148"/>
      <c r="AD64" s="120"/>
      <c r="AE64" s="148"/>
      <c r="AF64" s="148"/>
      <c r="AG64" s="66">
        <f t="shared" si="3"/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4"/>
        <v>冠軍</v>
      </c>
      <c r="AJ64" s="73"/>
    </row>
    <row r="65" spans="1:36" ht="18" customHeight="1">
      <c r="A65" s="95" t="s">
        <v>58</v>
      </c>
      <c r="B65" s="96" t="s">
        <v>198</v>
      </c>
      <c r="C65" s="147"/>
      <c r="D65" s="145"/>
      <c r="E65" s="120"/>
      <c r="F65" s="147"/>
      <c r="G65" s="120"/>
      <c r="H65" s="147"/>
      <c r="I65" s="120"/>
      <c r="J65" s="120"/>
      <c r="K65" s="147"/>
      <c r="L65" s="120"/>
      <c r="M65" s="147"/>
      <c r="N65" s="147"/>
      <c r="O65" s="147"/>
      <c r="P65" s="120"/>
      <c r="Q65" s="120"/>
      <c r="R65" s="120">
        <v>1</v>
      </c>
      <c r="S65" s="120"/>
      <c r="T65" s="147"/>
      <c r="U65" s="120"/>
      <c r="V65" s="147"/>
      <c r="W65" s="120">
        <v>1</v>
      </c>
      <c r="X65" s="120"/>
      <c r="Y65" s="120"/>
      <c r="Z65" s="120">
        <v>1</v>
      </c>
      <c r="AA65" s="147"/>
      <c r="AB65" s="120"/>
      <c r="AC65" s="148"/>
      <c r="AD65" s="120">
        <v>1</v>
      </c>
      <c r="AE65" s="148"/>
      <c r="AF65" s="148"/>
      <c r="AG65" s="66">
        <f t="shared" si="3"/>
        <v>4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4"/>
        <v>郁翔</v>
      </c>
      <c r="AJ65" s="73"/>
    </row>
    <row r="66" spans="1:36" ht="18" customHeight="1">
      <c r="A66" s="95" t="s">
        <v>58</v>
      </c>
      <c r="B66" s="96" t="s">
        <v>67</v>
      </c>
      <c r="C66" s="147"/>
      <c r="D66" s="145"/>
      <c r="E66" s="120"/>
      <c r="F66" s="147"/>
      <c r="G66" s="120"/>
      <c r="H66" s="147"/>
      <c r="I66" s="120"/>
      <c r="J66" s="120"/>
      <c r="K66" s="147"/>
      <c r="L66" s="120"/>
      <c r="M66" s="147"/>
      <c r="N66" s="147"/>
      <c r="O66" s="147"/>
      <c r="P66" s="120"/>
      <c r="Q66" s="120"/>
      <c r="R66" s="120"/>
      <c r="S66" s="120"/>
      <c r="T66" s="147"/>
      <c r="U66" s="120"/>
      <c r="V66" s="147"/>
      <c r="W66" s="120"/>
      <c r="X66" s="120"/>
      <c r="Y66" s="120"/>
      <c r="Z66" s="120"/>
      <c r="AA66" s="147"/>
      <c r="AB66" s="120"/>
      <c r="AC66" s="148"/>
      <c r="AD66" s="120"/>
      <c r="AE66" s="148"/>
      <c r="AF66" s="148"/>
      <c r="AG66" s="66">
        <f t="shared" si="3"/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4"/>
        <v>歐吉</v>
      </c>
      <c r="AJ66" s="73"/>
    </row>
    <row r="67" spans="1:36" ht="18" customHeight="1">
      <c r="A67" s="95" t="s">
        <v>58</v>
      </c>
      <c r="B67" s="96" t="s">
        <v>75</v>
      </c>
      <c r="C67" s="147"/>
      <c r="D67" s="145"/>
      <c r="E67" s="120"/>
      <c r="F67" s="147"/>
      <c r="G67" s="120"/>
      <c r="H67" s="147"/>
      <c r="I67" s="120"/>
      <c r="J67" s="120"/>
      <c r="K67" s="147"/>
      <c r="L67" s="120"/>
      <c r="M67" s="147"/>
      <c r="N67" s="147"/>
      <c r="O67" s="147"/>
      <c r="P67" s="120"/>
      <c r="Q67" s="120"/>
      <c r="R67" s="120"/>
      <c r="S67" s="120"/>
      <c r="T67" s="147"/>
      <c r="U67" s="120"/>
      <c r="V67" s="147"/>
      <c r="W67" s="120"/>
      <c r="X67" s="120"/>
      <c r="Y67" s="120"/>
      <c r="Z67" s="120"/>
      <c r="AA67" s="147"/>
      <c r="AB67" s="120"/>
      <c r="AC67" s="148"/>
      <c r="AD67" s="120"/>
      <c r="AE67" s="148"/>
      <c r="AF67" s="148"/>
      <c r="AG67" s="66">
        <f t="shared" si="3"/>
        <v>0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4"/>
        <v>叮噹</v>
      </c>
      <c r="AJ67" s="73"/>
    </row>
    <row r="68" spans="1:36" ht="18" customHeight="1">
      <c r="A68" s="95" t="s">
        <v>58</v>
      </c>
      <c r="B68" s="96" t="s">
        <v>76</v>
      </c>
      <c r="C68" s="147"/>
      <c r="D68" s="145"/>
      <c r="E68" s="120"/>
      <c r="F68" s="147"/>
      <c r="G68" s="120"/>
      <c r="H68" s="147"/>
      <c r="I68" s="120"/>
      <c r="J68" s="120"/>
      <c r="K68" s="147"/>
      <c r="L68" s="120"/>
      <c r="M68" s="147"/>
      <c r="N68" s="147"/>
      <c r="O68" s="147"/>
      <c r="P68" s="120"/>
      <c r="Q68" s="120"/>
      <c r="R68" s="120"/>
      <c r="S68" s="120"/>
      <c r="T68" s="147"/>
      <c r="U68" s="120"/>
      <c r="V68" s="147"/>
      <c r="W68" s="120"/>
      <c r="X68" s="120"/>
      <c r="Y68" s="120"/>
      <c r="Z68" s="120"/>
      <c r="AA68" s="147"/>
      <c r="AB68" s="120"/>
      <c r="AC68" s="148"/>
      <c r="AD68" s="120"/>
      <c r="AE68" s="148"/>
      <c r="AF68" s="148"/>
      <c r="AG68" s="66">
        <f t="shared" ref="AG68:AG99" si="5">COUNTA(C68:AF68)</f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88" si="6">B68</f>
        <v>肥肥</v>
      </c>
      <c r="AJ68" s="73"/>
    </row>
    <row r="69" spans="1:36" ht="18" customHeight="1">
      <c r="A69" s="95" t="s">
        <v>58</v>
      </c>
      <c r="B69" s="96" t="s">
        <v>77</v>
      </c>
      <c r="C69" s="147"/>
      <c r="D69" s="145"/>
      <c r="E69" s="120"/>
      <c r="F69" s="147"/>
      <c r="G69" s="120"/>
      <c r="H69" s="147"/>
      <c r="I69" s="120"/>
      <c r="J69" s="120"/>
      <c r="K69" s="147"/>
      <c r="L69" s="120"/>
      <c r="M69" s="147"/>
      <c r="N69" s="147"/>
      <c r="O69" s="147"/>
      <c r="P69" s="120"/>
      <c r="Q69" s="120"/>
      <c r="R69" s="120"/>
      <c r="S69" s="120"/>
      <c r="T69" s="147"/>
      <c r="U69" s="120"/>
      <c r="V69" s="147"/>
      <c r="W69" s="120"/>
      <c r="X69" s="120"/>
      <c r="Y69" s="120"/>
      <c r="Z69" s="120"/>
      <c r="AA69" s="147"/>
      <c r="AB69" s="120"/>
      <c r="AC69" s="148"/>
      <c r="AD69" s="120"/>
      <c r="AE69" s="148"/>
      <c r="AF69" s="148"/>
      <c r="AG69" s="66">
        <f t="shared" si="5"/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6"/>
        <v>小夫</v>
      </c>
      <c r="AJ69" s="73"/>
    </row>
    <row r="70" spans="1:36" ht="18" customHeight="1">
      <c r="A70" s="95" t="s">
        <v>58</v>
      </c>
      <c r="B70" s="96" t="s">
        <v>78</v>
      </c>
      <c r="C70" s="147"/>
      <c r="D70" s="145"/>
      <c r="E70" s="120"/>
      <c r="F70" s="147"/>
      <c r="G70" s="120"/>
      <c r="H70" s="147"/>
      <c r="I70" s="120"/>
      <c r="J70" s="120"/>
      <c r="K70" s="147"/>
      <c r="L70" s="120"/>
      <c r="M70" s="147"/>
      <c r="N70" s="147"/>
      <c r="O70" s="147"/>
      <c r="P70" s="120"/>
      <c r="Q70" s="120"/>
      <c r="R70" s="120"/>
      <c r="S70" s="120"/>
      <c r="T70" s="147"/>
      <c r="U70" s="120"/>
      <c r="V70" s="147"/>
      <c r="W70" s="120"/>
      <c r="X70" s="120"/>
      <c r="Y70" s="120"/>
      <c r="Z70" s="120"/>
      <c r="AA70" s="147"/>
      <c r="AB70" s="120"/>
      <c r="AC70" s="148"/>
      <c r="AD70" s="120"/>
      <c r="AE70" s="148"/>
      <c r="AF70" s="148"/>
      <c r="AG70" s="66">
        <f t="shared" si="5"/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6"/>
        <v>小邱</v>
      </c>
      <c r="AJ70" s="73"/>
    </row>
    <row r="71" spans="1:36" ht="18" customHeight="1">
      <c r="A71" s="95" t="s">
        <v>58</v>
      </c>
      <c r="B71" s="96" t="s">
        <v>79</v>
      </c>
      <c r="C71" s="147"/>
      <c r="D71" s="145"/>
      <c r="E71" s="120"/>
      <c r="F71" s="147"/>
      <c r="G71" s="120"/>
      <c r="H71" s="147"/>
      <c r="I71" s="120"/>
      <c r="J71" s="120"/>
      <c r="K71" s="147"/>
      <c r="L71" s="120"/>
      <c r="M71" s="147"/>
      <c r="N71" s="147"/>
      <c r="O71" s="147"/>
      <c r="P71" s="120"/>
      <c r="Q71" s="120"/>
      <c r="R71" s="120"/>
      <c r="S71" s="120"/>
      <c r="T71" s="147"/>
      <c r="U71" s="120"/>
      <c r="V71" s="147"/>
      <c r="W71" s="120"/>
      <c r="X71" s="120"/>
      <c r="Y71" s="120"/>
      <c r="Z71" s="120"/>
      <c r="AA71" s="147"/>
      <c r="AB71" s="120"/>
      <c r="AC71" s="148"/>
      <c r="AD71" s="120"/>
      <c r="AE71" s="148"/>
      <c r="AF71" s="148"/>
      <c r="AG71" s="66">
        <f t="shared" si="5"/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6"/>
        <v>淳淳</v>
      </c>
      <c r="AJ71" s="73"/>
    </row>
    <row r="72" spans="1:36" ht="18" customHeight="1">
      <c r="A72" s="95" t="s">
        <v>58</v>
      </c>
      <c r="B72" s="96" t="s">
        <v>80</v>
      </c>
      <c r="C72" s="147"/>
      <c r="D72" s="145"/>
      <c r="E72" s="120"/>
      <c r="F72" s="147"/>
      <c r="G72" s="120"/>
      <c r="H72" s="147"/>
      <c r="I72" s="120"/>
      <c r="J72" s="120"/>
      <c r="K72" s="147"/>
      <c r="L72" s="120"/>
      <c r="M72" s="147"/>
      <c r="N72" s="147"/>
      <c r="O72" s="147"/>
      <c r="P72" s="120"/>
      <c r="Q72" s="120"/>
      <c r="R72" s="120"/>
      <c r="S72" s="120"/>
      <c r="T72" s="147"/>
      <c r="U72" s="120"/>
      <c r="V72" s="147"/>
      <c r="W72" s="120"/>
      <c r="X72" s="120"/>
      <c r="Y72" s="120"/>
      <c r="Z72" s="120"/>
      <c r="AA72" s="147"/>
      <c r="AB72" s="120"/>
      <c r="AC72" s="148"/>
      <c r="AD72" s="120"/>
      <c r="AE72" s="148"/>
      <c r="AF72" s="148"/>
      <c r="AG72" s="66">
        <f t="shared" si="5"/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6"/>
        <v>禿鷹</v>
      </c>
      <c r="AJ72" s="73"/>
    </row>
    <row r="73" spans="1:36" ht="18" customHeight="1">
      <c r="A73" s="95" t="s">
        <v>58</v>
      </c>
      <c r="B73" s="96" t="s">
        <v>81</v>
      </c>
      <c r="C73" s="147"/>
      <c r="D73" s="145"/>
      <c r="E73" s="120"/>
      <c r="F73" s="147"/>
      <c r="G73" s="120"/>
      <c r="H73" s="147"/>
      <c r="I73" s="120"/>
      <c r="J73" s="120"/>
      <c r="K73" s="147"/>
      <c r="L73" s="120"/>
      <c r="M73" s="147"/>
      <c r="N73" s="147"/>
      <c r="O73" s="147"/>
      <c r="P73" s="120"/>
      <c r="Q73" s="120"/>
      <c r="R73" s="120"/>
      <c r="S73" s="120"/>
      <c r="T73" s="147"/>
      <c r="U73" s="120"/>
      <c r="V73" s="147"/>
      <c r="W73" s="120"/>
      <c r="X73" s="120"/>
      <c r="Y73" s="120"/>
      <c r="Z73" s="120"/>
      <c r="AA73" s="147"/>
      <c r="AB73" s="120"/>
      <c r="AC73" s="148"/>
      <c r="AD73" s="120"/>
      <c r="AE73" s="148"/>
      <c r="AF73" s="148"/>
      <c r="AG73" s="66">
        <f t="shared" si="5"/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6"/>
        <v>王宏</v>
      </c>
      <c r="AJ73" s="73"/>
    </row>
    <row r="74" spans="1:36" ht="18" customHeight="1">
      <c r="A74" s="95" t="s">
        <v>58</v>
      </c>
      <c r="B74" s="96" t="s">
        <v>82</v>
      </c>
      <c r="C74" s="147"/>
      <c r="D74" s="145"/>
      <c r="E74" s="120"/>
      <c r="F74" s="147"/>
      <c r="G74" s="120"/>
      <c r="H74" s="147"/>
      <c r="I74" s="120"/>
      <c r="J74" s="120"/>
      <c r="K74" s="147"/>
      <c r="L74" s="120"/>
      <c r="M74" s="147"/>
      <c r="N74" s="147"/>
      <c r="O74" s="147"/>
      <c r="P74" s="120"/>
      <c r="Q74" s="120"/>
      <c r="R74" s="120"/>
      <c r="S74" s="120"/>
      <c r="T74" s="147"/>
      <c r="U74" s="120"/>
      <c r="V74" s="147"/>
      <c r="W74" s="120"/>
      <c r="X74" s="120"/>
      <c r="Y74" s="120"/>
      <c r="Z74" s="120"/>
      <c r="AA74" s="147"/>
      <c r="AB74" s="120"/>
      <c r="AC74" s="148"/>
      <c r="AD74" s="120"/>
      <c r="AE74" s="148"/>
      <c r="AF74" s="148"/>
      <c r="AG74" s="66">
        <f t="shared" si="5"/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6"/>
        <v>犀牛</v>
      </c>
      <c r="AJ74" s="73"/>
    </row>
    <row r="75" spans="1:36" ht="18" customHeight="1">
      <c r="A75" s="95" t="s">
        <v>58</v>
      </c>
      <c r="B75" s="96" t="s">
        <v>83</v>
      </c>
      <c r="C75" s="147"/>
      <c r="D75" s="145"/>
      <c r="E75" s="120"/>
      <c r="F75" s="147"/>
      <c r="G75" s="120"/>
      <c r="H75" s="147"/>
      <c r="I75" s="120"/>
      <c r="J75" s="120"/>
      <c r="K75" s="147"/>
      <c r="L75" s="120"/>
      <c r="M75" s="147"/>
      <c r="N75" s="147"/>
      <c r="O75" s="147"/>
      <c r="P75" s="120"/>
      <c r="Q75" s="120"/>
      <c r="R75" s="120"/>
      <c r="S75" s="120"/>
      <c r="T75" s="147"/>
      <c r="U75" s="120"/>
      <c r="V75" s="147"/>
      <c r="W75" s="120"/>
      <c r="X75" s="120"/>
      <c r="Y75" s="120"/>
      <c r="Z75" s="120"/>
      <c r="AA75" s="147"/>
      <c r="AB75" s="120"/>
      <c r="AC75" s="148"/>
      <c r="AD75" s="120"/>
      <c r="AE75" s="148"/>
      <c r="AF75" s="148"/>
      <c r="AG75" s="66">
        <f t="shared" si="5"/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6"/>
        <v>來福</v>
      </c>
      <c r="AJ75" s="73"/>
    </row>
    <row r="76" spans="1:36" ht="18" customHeight="1">
      <c r="A76" s="95" t="s">
        <v>58</v>
      </c>
      <c r="B76" s="96" t="s">
        <v>84</v>
      </c>
      <c r="C76" s="147"/>
      <c r="D76" s="145"/>
      <c r="E76" s="120"/>
      <c r="F76" s="147"/>
      <c r="G76" s="120"/>
      <c r="H76" s="147"/>
      <c r="I76" s="120"/>
      <c r="J76" s="120"/>
      <c r="K76" s="147"/>
      <c r="L76" s="120"/>
      <c r="M76" s="147"/>
      <c r="N76" s="147"/>
      <c r="O76" s="147"/>
      <c r="P76" s="120"/>
      <c r="Q76" s="120"/>
      <c r="R76" s="120"/>
      <c r="S76" s="120"/>
      <c r="T76" s="147"/>
      <c r="U76" s="120"/>
      <c r="V76" s="147"/>
      <c r="W76" s="120"/>
      <c r="X76" s="120"/>
      <c r="Y76" s="120"/>
      <c r="Z76" s="120"/>
      <c r="AA76" s="147"/>
      <c r="AB76" s="120"/>
      <c r="AC76" s="148"/>
      <c r="AD76" s="120"/>
      <c r="AE76" s="148"/>
      <c r="AF76" s="148"/>
      <c r="AG76" s="66">
        <f t="shared" si="5"/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6"/>
        <v>誌誌</v>
      </c>
      <c r="AJ76" s="73"/>
    </row>
    <row r="77" spans="1:36" ht="18" customHeight="1">
      <c r="A77" s="95" t="s">
        <v>58</v>
      </c>
      <c r="B77" s="96" t="s">
        <v>86</v>
      </c>
      <c r="C77" s="147"/>
      <c r="D77" s="145"/>
      <c r="E77" s="120"/>
      <c r="F77" s="147"/>
      <c r="G77" s="120"/>
      <c r="H77" s="147"/>
      <c r="I77" s="120"/>
      <c r="J77" s="120"/>
      <c r="K77" s="147"/>
      <c r="L77" s="120"/>
      <c r="M77" s="147"/>
      <c r="N77" s="147"/>
      <c r="O77" s="147"/>
      <c r="P77" s="120"/>
      <c r="Q77" s="120"/>
      <c r="R77" s="120"/>
      <c r="S77" s="120"/>
      <c r="T77" s="147"/>
      <c r="U77" s="120"/>
      <c r="V77" s="147"/>
      <c r="W77" s="120"/>
      <c r="X77" s="120"/>
      <c r="Y77" s="120"/>
      <c r="Z77" s="120"/>
      <c r="AA77" s="147"/>
      <c r="AB77" s="120"/>
      <c r="AC77" s="148"/>
      <c r="AD77" s="120"/>
      <c r="AE77" s="148"/>
      <c r="AF77" s="148"/>
      <c r="AG77" s="66">
        <f t="shared" si="5"/>
        <v>0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6"/>
        <v>正誼</v>
      </c>
      <c r="AJ77" s="73"/>
    </row>
    <row r="78" spans="1:36" ht="18" customHeight="1">
      <c r="A78" s="95" t="s">
        <v>58</v>
      </c>
      <c r="B78" s="96" t="s">
        <v>32</v>
      </c>
      <c r="C78" s="147"/>
      <c r="D78" s="145"/>
      <c r="E78" s="120"/>
      <c r="F78" s="147"/>
      <c r="G78" s="120">
        <v>1</v>
      </c>
      <c r="H78" s="147"/>
      <c r="I78" s="120">
        <v>1</v>
      </c>
      <c r="J78" s="120"/>
      <c r="K78" s="147"/>
      <c r="L78" s="120"/>
      <c r="M78" s="147"/>
      <c r="N78" s="147"/>
      <c r="O78" s="147"/>
      <c r="P78" s="120"/>
      <c r="Q78" s="120"/>
      <c r="R78" s="120"/>
      <c r="S78" s="120"/>
      <c r="T78" s="147"/>
      <c r="U78" s="120"/>
      <c r="V78" s="147"/>
      <c r="W78" s="120">
        <v>1</v>
      </c>
      <c r="X78" s="120"/>
      <c r="Y78" s="120"/>
      <c r="Z78" s="120"/>
      <c r="AA78" s="147"/>
      <c r="AB78" s="120"/>
      <c r="AC78" s="148"/>
      <c r="AD78" s="120">
        <v>1</v>
      </c>
      <c r="AE78" s="148"/>
      <c r="AF78" s="148"/>
      <c r="AG78" s="66">
        <f t="shared" si="5"/>
        <v>4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6"/>
        <v>小翔</v>
      </c>
      <c r="AJ78" s="73"/>
    </row>
    <row r="79" spans="1:36" ht="18" customHeight="1">
      <c r="A79" s="95" t="s">
        <v>58</v>
      </c>
      <c r="B79" s="96" t="s">
        <v>179</v>
      </c>
      <c r="C79" s="147"/>
      <c r="D79" s="145"/>
      <c r="E79" s="120"/>
      <c r="F79" s="147"/>
      <c r="G79" s="120"/>
      <c r="H79" s="147"/>
      <c r="I79" s="120"/>
      <c r="J79" s="120"/>
      <c r="K79" s="147"/>
      <c r="L79" s="120"/>
      <c r="M79" s="147"/>
      <c r="N79" s="147"/>
      <c r="O79" s="147"/>
      <c r="P79" s="120"/>
      <c r="Q79" s="120"/>
      <c r="R79" s="120"/>
      <c r="S79" s="120"/>
      <c r="T79" s="147"/>
      <c r="U79" s="120"/>
      <c r="V79" s="147"/>
      <c r="W79" s="120"/>
      <c r="X79" s="120"/>
      <c r="Y79" s="120"/>
      <c r="Z79" s="120"/>
      <c r="AA79" s="147"/>
      <c r="AB79" s="120"/>
      <c r="AC79" s="148"/>
      <c r="AD79" s="120"/>
      <c r="AE79" s="148"/>
      <c r="AF79" s="148"/>
      <c r="AG79" s="66">
        <f t="shared" si="5"/>
        <v>0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6"/>
        <v>玹玹</v>
      </c>
      <c r="AJ79" s="73"/>
    </row>
    <row r="80" spans="1:36" ht="18" customHeight="1">
      <c r="A80" s="95" t="s">
        <v>58</v>
      </c>
      <c r="B80" s="96" t="s">
        <v>85</v>
      </c>
      <c r="C80" s="147"/>
      <c r="D80" s="145"/>
      <c r="E80" s="120"/>
      <c r="F80" s="147"/>
      <c r="G80" s="120"/>
      <c r="H80" s="147"/>
      <c r="I80" s="120"/>
      <c r="J80" s="120"/>
      <c r="K80" s="147"/>
      <c r="L80" s="120"/>
      <c r="M80" s="147"/>
      <c r="N80" s="147"/>
      <c r="O80" s="147"/>
      <c r="P80" s="120"/>
      <c r="Q80" s="120"/>
      <c r="R80" s="120"/>
      <c r="S80" s="120"/>
      <c r="T80" s="147"/>
      <c r="U80" s="120"/>
      <c r="V80" s="147"/>
      <c r="W80" s="120"/>
      <c r="X80" s="120"/>
      <c r="Y80" s="120"/>
      <c r="Z80" s="120"/>
      <c r="AA80" s="147"/>
      <c r="AB80" s="120"/>
      <c r="AC80" s="148"/>
      <c r="AD80" s="120"/>
      <c r="AE80" s="148"/>
      <c r="AF80" s="148"/>
      <c r="AG80" s="66">
        <f t="shared" si="5"/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6"/>
        <v>阿璽</v>
      </c>
      <c r="AJ80" s="73"/>
    </row>
    <row r="81" spans="1:36" ht="18" customHeight="1">
      <c r="A81" s="95" t="s">
        <v>58</v>
      </c>
      <c r="B81" s="96" t="s">
        <v>33</v>
      </c>
      <c r="C81" s="147"/>
      <c r="D81" s="145"/>
      <c r="E81" s="120"/>
      <c r="F81" s="147"/>
      <c r="G81" s="120"/>
      <c r="H81" s="147"/>
      <c r="I81" s="120"/>
      <c r="J81" s="120"/>
      <c r="K81" s="147"/>
      <c r="L81" s="120"/>
      <c r="M81" s="147"/>
      <c r="N81" s="147"/>
      <c r="O81" s="147"/>
      <c r="P81" s="120"/>
      <c r="Q81" s="120"/>
      <c r="R81" s="120"/>
      <c r="S81" s="120"/>
      <c r="T81" s="147"/>
      <c r="U81" s="120"/>
      <c r="V81" s="147"/>
      <c r="W81" s="120"/>
      <c r="X81" s="120"/>
      <c r="Y81" s="120"/>
      <c r="Z81" s="120"/>
      <c r="AA81" s="147"/>
      <c r="AB81" s="120"/>
      <c r="AC81" s="148"/>
      <c r="AD81" s="120"/>
      <c r="AE81" s="148"/>
      <c r="AF81" s="148"/>
      <c r="AG81" s="66">
        <f t="shared" si="5"/>
        <v>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6"/>
        <v>一飛</v>
      </c>
      <c r="AJ81" s="73"/>
    </row>
    <row r="82" spans="1:36" ht="18" customHeight="1">
      <c r="A82" s="95" t="s">
        <v>58</v>
      </c>
      <c r="B82" s="96" t="s">
        <v>34</v>
      </c>
      <c r="C82" s="147"/>
      <c r="D82" s="145"/>
      <c r="E82" s="120"/>
      <c r="F82" s="147"/>
      <c r="G82" s="120"/>
      <c r="H82" s="147"/>
      <c r="I82" s="120"/>
      <c r="J82" s="120"/>
      <c r="K82" s="147"/>
      <c r="L82" s="120"/>
      <c r="M82" s="147"/>
      <c r="N82" s="147"/>
      <c r="O82" s="147"/>
      <c r="P82" s="120"/>
      <c r="Q82" s="120"/>
      <c r="R82" s="120"/>
      <c r="S82" s="120"/>
      <c r="T82" s="147"/>
      <c r="U82" s="120"/>
      <c r="V82" s="147"/>
      <c r="W82" s="120"/>
      <c r="X82" s="120"/>
      <c r="Y82" s="120"/>
      <c r="Z82" s="120"/>
      <c r="AA82" s="147"/>
      <c r="AB82" s="120"/>
      <c r="AC82" s="148"/>
      <c r="AD82" s="120"/>
      <c r="AE82" s="148"/>
      <c r="AF82" s="148"/>
      <c r="AG82" s="66">
        <f t="shared" si="5"/>
        <v>0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6"/>
        <v>雲翔</v>
      </c>
      <c r="AJ82" s="70"/>
    </row>
    <row r="83" spans="1:36" ht="18" customHeight="1">
      <c r="A83" s="95" t="s">
        <v>58</v>
      </c>
      <c r="B83" s="96" t="s">
        <v>88</v>
      </c>
      <c r="C83" s="147"/>
      <c r="D83" s="145"/>
      <c r="E83" s="120"/>
      <c r="F83" s="147"/>
      <c r="G83" s="120"/>
      <c r="H83" s="147"/>
      <c r="I83" s="120"/>
      <c r="J83" s="120"/>
      <c r="K83" s="147"/>
      <c r="L83" s="120"/>
      <c r="M83" s="147"/>
      <c r="N83" s="147"/>
      <c r="O83" s="147"/>
      <c r="P83" s="120"/>
      <c r="Q83" s="120"/>
      <c r="R83" s="120"/>
      <c r="S83" s="120"/>
      <c r="T83" s="147"/>
      <c r="U83" s="120"/>
      <c r="V83" s="147"/>
      <c r="W83" s="120"/>
      <c r="X83" s="120"/>
      <c r="Y83" s="120"/>
      <c r="Z83" s="120"/>
      <c r="AA83" s="147"/>
      <c r="AB83" s="120"/>
      <c r="AC83" s="148"/>
      <c r="AD83" s="120"/>
      <c r="AE83" s="148"/>
      <c r="AF83" s="148"/>
      <c r="AG83" s="66">
        <f t="shared" si="5"/>
        <v>0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6"/>
        <v>皓皓</v>
      </c>
      <c r="AJ83" s="70"/>
    </row>
    <row r="84" spans="1:36" ht="18" customHeight="1">
      <c r="A84" s="95" t="s">
        <v>58</v>
      </c>
      <c r="B84" s="96" t="s">
        <v>35</v>
      </c>
      <c r="C84" s="147"/>
      <c r="D84" s="145"/>
      <c r="E84" s="120"/>
      <c r="F84" s="147"/>
      <c r="G84" s="120"/>
      <c r="H84" s="147"/>
      <c r="I84" s="120"/>
      <c r="J84" s="120"/>
      <c r="K84" s="147"/>
      <c r="L84" s="120"/>
      <c r="M84" s="147"/>
      <c r="N84" s="147"/>
      <c r="O84" s="147"/>
      <c r="P84" s="120"/>
      <c r="Q84" s="120"/>
      <c r="R84" s="120"/>
      <c r="S84" s="120"/>
      <c r="T84" s="147"/>
      <c r="U84" s="120"/>
      <c r="V84" s="147"/>
      <c r="W84" s="120"/>
      <c r="X84" s="120"/>
      <c r="Y84" s="120"/>
      <c r="Z84" s="120"/>
      <c r="AA84" s="147"/>
      <c r="AB84" s="120"/>
      <c r="AC84" s="148"/>
      <c r="AD84" s="120"/>
      <c r="AE84" s="148"/>
      <c r="AF84" s="148"/>
      <c r="AG84" s="66">
        <f t="shared" si="5"/>
        <v>0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6"/>
        <v>阿戴</v>
      </c>
      <c r="AJ84" s="70"/>
    </row>
    <row r="85" spans="1:36" ht="18" customHeight="1">
      <c r="A85" s="95" t="s">
        <v>58</v>
      </c>
      <c r="B85" s="96" t="s">
        <v>36</v>
      </c>
      <c r="C85" s="147"/>
      <c r="D85" s="145"/>
      <c r="E85" s="120"/>
      <c r="F85" s="147"/>
      <c r="G85" s="120">
        <v>1</v>
      </c>
      <c r="H85" s="147"/>
      <c r="I85" s="120"/>
      <c r="J85" s="120"/>
      <c r="K85" s="147"/>
      <c r="L85" s="120"/>
      <c r="M85" s="147"/>
      <c r="N85" s="147"/>
      <c r="O85" s="147"/>
      <c r="P85" s="120"/>
      <c r="Q85" s="120"/>
      <c r="R85" s="120"/>
      <c r="S85" s="120"/>
      <c r="T85" s="147"/>
      <c r="U85" s="120"/>
      <c r="V85" s="147"/>
      <c r="W85" s="120"/>
      <c r="X85" s="120"/>
      <c r="Y85" s="120"/>
      <c r="Z85" s="120"/>
      <c r="AA85" s="147"/>
      <c r="AB85" s="120"/>
      <c r="AC85" s="148"/>
      <c r="AD85" s="120"/>
      <c r="AE85" s="148"/>
      <c r="AF85" s="148"/>
      <c r="AG85" s="66">
        <f t="shared" si="5"/>
        <v>1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6"/>
        <v>子澔</v>
      </c>
      <c r="AJ85" s="70"/>
    </row>
    <row r="86" spans="1:36" ht="18" customHeight="1">
      <c r="A86" s="95" t="s">
        <v>58</v>
      </c>
      <c r="B86" s="96" t="s">
        <v>37</v>
      </c>
      <c r="C86" s="147"/>
      <c r="D86" s="145"/>
      <c r="E86" s="120"/>
      <c r="F86" s="147"/>
      <c r="G86" s="120">
        <v>1</v>
      </c>
      <c r="H86" s="147"/>
      <c r="I86" s="120">
        <v>1</v>
      </c>
      <c r="J86" s="120"/>
      <c r="K86" s="147"/>
      <c r="L86" s="120"/>
      <c r="M86" s="147"/>
      <c r="N86" s="147"/>
      <c r="O86" s="147"/>
      <c r="P86" s="120"/>
      <c r="Q86" s="120"/>
      <c r="R86" s="120"/>
      <c r="S86" s="120"/>
      <c r="T86" s="147"/>
      <c r="U86" s="120"/>
      <c r="V86" s="147"/>
      <c r="W86" s="120"/>
      <c r="X86" s="120">
        <v>1</v>
      </c>
      <c r="Y86" s="120"/>
      <c r="Z86" s="120">
        <v>1</v>
      </c>
      <c r="AA86" s="147"/>
      <c r="AB86" s="120"/>
      <c r="AC86" s="148"/>
      <c r="AD86" s="120"/>
      <c r="AE86" s="148"/>
      <c r="AF86" s="148"/>
      <c r="AG86" s="66">
        <f t="shared" si="5"/>
        <v>4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6"/>
        <v>魚仔</v>
      </c>
      <c r="AJ86" s="70"/>
    </row>
    <row r="87" spans="1:36" ht="18" customHeight="1">
      <c r="A87" s="95" t="s">
        <v>58</v>
      </c>
      <c r="B87" s="96" t="s">
        <v>87</v>
      </c>
      <c r="C87" s="147"/>
      <c r="D87" s="145"/>
      <c r="E87" s="120"/>
      <c r="F87" s="147"/>
      <c r="G87" s="120">
        <v>1</v>
      </c>
      <c r="H87" s="147"/>
      <c r="I87" s="120">
        <v>1</v>
      </c>
      <c r="J87" s="120"/>
      <c r="K87" s="147"/>
      <c r="L87" s="120"/>
      <c r="M87" s="147"/>
      <c r="N87" s="147"/>
      <c r="O87" s="147"/>
      <c r="P87" s="120"/>
      <c r="Q87" s="120"/>
      <c r="R87" s="120"/>
      <c r="S87" s="120"/>
      <c r="T87" s="147"/>
      <c r="U87" s="120"/>
      <c r="V87" s="147"/>
      <c r="W87" s="120"/>
      <c r="X87" s="120"/>
      <c r="Y87" s="120"/>
      <c r="Z87" s="120"/>
      <c r="AA87" s="147"/>
      <c r="AB87" s="120"/>
      <c r="AC87" s="148"/>
      <c r="AD87" s="120"/>
      <c r="AE87" s="148"/>
      <c r="AF87" s="148"/>
      <c r="AG87" s="66">
        <f t="shared" si="5"/>
        <v>2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6"/>
        <v>Mango</v>
      </c>
      <c r="AJ87" s="70"/>
    </row>
    <row r="88" spans="1:36" ht="18" customHeight="1">
      <c r="A88" s="95" t="s">
        <v>58</v>
      </c>
      <c r="B88" s="96" t="s">
        <v>38</v>
      </c>
      <c r="C88" s="147"/>
      <c r="D88" s="145"/>
      <c r="E88" s="120"/>
      <c r="F88" s="147"/>
      <c r="G88" s="120"/>
      <c r="H88" s="147"/>
      <c r="I88" s="120">
        <v>1</v>
      </c>
      <c r="J88" s="120"/>
      <c r="K88" s="147"/>
      <c r="L88" s="120"/>
      <c r="M88" s="147"/>
      <c r="N88" s="147"/>
      <c r="O88" s="147"/>
      <c r="P88" s="120"/>
      <c r="Q88" s="120"/>
      <c r="R88" s="120"/>
      <c r="S88" s="120"/>
      <c r="T88" s="147"/>
      <c r="U88" s="120"/>
      <c r="V88" s="147"/>
      <c r="W88" s="120"/>
      <c r="X88" s="120"/>
      <c r="Y88" s="120"/>
      <c r="Z88" s="120"/>
      <c r="AA88" s="147"/>
      <c r="AB88" s="120"/>
      <c r="AC88" s="148"/>
      <c r="AD88" s="120"/>
      <c r="AE88" s="148"/>
      <c r="AF88" s="148"/>
      <c r="AG88" s="66">
        <f t="shared" si="5"/>
        <v>1</v>
      </c>
      <c r="AH88" s="6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69" t="str">
        <f t="shared" si="6"/>
        <v>阿龍</v>
      </c>
      <c r="AJ88" s="70"/>
    </row>
    <row r="89" spans="1:36" ht="18" customHeight="1">
      <c r="A89" s="95" t="s">
        <v>58</v>
      </c>
      <c r="B89" s="96" t="s">
        <v>39</v>
      </c>
      <c r="C89" s="147"/>
      <c r="D89" s="145"/>
      <c r="E89" s="120">
        <v>1</v>
      </c>
      <c r="F89" s="147"/>
      <c r="G89" s="120">
        <v>1</v>
      </c>
      <c r="H89" s="147"/>
      <c r="I89" s="120">
        <v>1</v>
      </c>
      <c r="J89" s="120">
        <v>1</v>
      </c>
      <c r="K89" s="147"/>
      <c r="L89" s="120">
        <v>1</v>
      </c>
      <c r="M89" s="147"/>
      <c r="N89" s="147"/>
      <c r="O89" s="147"/>
      <c r="P89" s="120"/>
      <c r="Q89" s="120"/>
      <c r="R89" s="120"/>
      <c r="S89" s="120"/>
      <c r="T89" s="147"/>
      <c r="U89" s="120"/>
      <c r="V89" s="147"/>
      <c r="W89" s="120"/>
      <c r="X89" s="120"/>
      <c r="Y89" s="120"/>
      <c r="Z89" s="120"/>
      <c r="AA89" s="147"/>
      <c r="AB89" s="120"/>
      <c r="AC89" s="148"/>
      <c r="AD89" s="120"/>
      <c r="AE89" s="148"/>
      <c r="AF89" s="148"/>
      <c r="AG89" s="66">
        <f t="shared" si="5"/>
        <v>5</v>
      </c>
      <c r="AH89" s="6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69" t="s">
        <v>39</v>
      </c>
      <c r="AJ89" s="70"/>
    </row>
    <row r="90" spans="1:36" ht="18" customHeight="1">
      <c r="A90" s="95" t="s">
        <v>58</v>
      </c>
      <c r="B90" s="96" t="s">
        <v>223</v>
      </c>
      <c r="C90" s="147"/>
      <c r="D90" s="145"/>
      <c r="E90" s="120">
        <v>1</v>
      </c>
      <c r="F90" s="147"/>
      <c r="G90" s="120">
        <v>1</v>
      </c>
      <c r="H90" s="147"/>
      <c r="I90" s="120">
        <v>1</v>
      </c>
      <c r="J90" s="120"/>
      <c r="K90" s="147"/>
      <c r="L90" s="120"/>
      <c r="M90" s="147"/>
      <c r="N90" s="147"/>
      <c r="O90" s="147"/>
      <c r="P90" s="120">
        <v>1</v>
      </c>
      <c r="Q90" s="120"/>
      <c r="R90" s="120"/>
      <c r="S90" s="120"/>
      <c r="T90" s="147"/>
      <c r="U90" s="120"/>
      <c r="V90" s="114"/>
      <c r="W90" s="164"/>
      <c r="X90" s="160"/>
      <c r="Y90" s="164"/>
      <c r="Z90" s="160"/>
      <c r="AA90" s="147"/>
      <c r="AB90" s="120"/>
      <c r="AC90" s="148"/>
      <c r="AD90" s="120">
        <v>1</v>
      </c>
      <c r="AE90" s="148"/>
      <c r="AF90" s="148"/>
      <c r="AG90" s="66">
        <f t="shared" si="5"/>
        <v>5</v>
      </c>
      <c r="AH90" s="6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69" t="s">
        <v>223</v>
      </c>
      <c r="AJ90" s="70"/>
    </row>
    <row r="91" spans="1:36" ht="18" customHeight="1">
      <c r="A91" s="95" t="s">
        <v>58</v>
      </c>
      <c r="B91" s="96" t="s">
        <v>40</v>
      </c>
      <c r="C91" s="147"/>
      <c r="D91" s="145"/>
      <c r="E91" s="120"/>
      <c r="F91" s="147"/>
      <c r="G91" s="120"/>
      <c r="H91" s="147"/>
      <c r="I91" s="120">
        <v>1</v>
      </c>
      <c r="J91" s="120"/>
      <c r="K91" s="147"/>
      <c r="L91" s="120"/>
      <c r="M91" s="147"/>
      <c r="N91" s="147"/>
      <c r="O91" s="147"/>
      <c r="P91" s="120">
        <v>1</v>
      </c>
      <c r="Q91" s="120"/>
      <c r="R91" s="120"/>
      <c r="S91" s="120"/>
      <c r="T91" s="147"/>
      <c r="U91" s="120"/>
      <c r="V91" s="147"/>
      <c r="W91" s="120"/>
      <c r="X91" s="120"/>
      <c r="Y91" s="120"/>
      <c r="Z91" s="120"/>
      <c r="AA91" s="147"/>
      <c r="AB91" s="120"/>
      <c r="AC91" s="148"/>
      <c r="AD91" s="120"/>
      <c r="AE91" s="148"/>
      <c r="AF91" s="148"/>
      <c r="AG91" s="66"/>
      <c r="AH91" s="68"/>
      <c r="AI91" s="69"/>
      <c r="AJ91" s="70"/>
    </row>
    <row r="92" spans="1:36" ht="18" customHeight="1">
      <c r="A92" s="95"/>
      <c r="B92" s="96"/>
      <c r="C92" s="147"/>
      <c r="D92" s="145"/>
      <c r="E92" s="120"/>
      <c r="F92" s="147"/>
      <c r="G92" s="120"/>
      <c r="H92" s="147"/>
      <c r="I92" s="120"/>
      <c r="J92" s="120"/>
      <c r="K92" s="147"/>
      <c r="L92" s="120"/>
      <c r="M92" s="147"/>
      <c r="N92" s="147"/>
      <c r="O92" s="147"/>
      <c r="P92" s="120"/>
      <c r="Q92" s="120"/>
      <c r="R92" s="120"/>
      <c r="S92" s="120"/>
      <c r="T92" s="147"/>
      <c r="U92" s="120"/>
      <c r="V92" s="147"/>
      <c r="W92" s="120"/>
      <c r="X92" s="120"/>
      <c r="Y92" s="120"/>
      <c r="Z92" s="120"/>
      <c r="AA92" s="147"/>
      <c r="AB92" s="120"/>
      <c r="AC92" s="148"/>
      <c r="AD92" s="120"/>
      <c r="AE92" s="148"/>
      <c r="AF92" s="148"/>
      <c r="AG92" s="66"/>
      <c r="AH92" s="142"/>
      <c r="AI92" s="69"/>
      <c r="AJ92" s="70"/>
    </row>
    <row r="93" spans="1:36" ht="18" customHeight="1">
      <c r="A93" s="99" t="s">
        <v>58</v>
      </c>
      <c r="B93" s="100" t="s">
        <v>151</v>
      </c>
      <c r="C93" s="147"/>
      <c r="D93" s="145"/>
      <c r="E93" s="99"/>
      <c r="F93" s="147"/>
      <c r="G93" s="99"/>
      <c r="H93" s="147"/>
      <c r="I93" s="99"/>
      <c r="J93" s="99"/>
      <c r="K93" s="147"/>
      <c r="L93" s="99"/>
      <c r="M93" s="147"/>
      <c r="N93" s="147"/>
      <c r="O93" s="147"/>
      <c r="P93" s="99">
        <v>1</v>
      </c>
      <c r="Q93" s="99"/>
      <c r="R93" s="99"/>
      <c r="S93" s="99"/>
      <c r="T93" s="147"/>
      <c r="U93" s="99"/>
      <c r="V93" s="147"/>
      <c r="W93" s="99"/>
      <c r="X93" s="99"/>
      <c r="Y93" s="99"/>
      <c r="Z93" s="99"/>
      <c r="AA93" s="147"/>
      <c r="AB93" s="99">
        <v>1</v>
      </c>
      <c r="AC93" s="148"/>
      <c r="AD93" s="99"/>
      <c r="AE93" s="148"/>
      <c r="AF93" s="148"/>
      <c r="AG93" s="66">
        <f t="shared" ref="AG93:AG115" si="7">COUNTA(C93:AF93)</f>
        <v>2</v>
      </c>
      <c r="AH93" s="9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79" t="str">
        <f t="shared" ref="AI93:AI112" si="8">B93</f>
        <v>宇嬅</v>
      </c>
      <c r="AJ93" s="82"/>
    </row>
    <row r="94" spans="1:36" ht="18" customHeight="1">
      <c r="A94" s="99" t="s">
        <v>58</v>
      </c>
      <c r="B94" s="100" t="s">
        <v>152</v>
      </c>
      <c r="C94" s="147"/>
      <c r="D94" s="145"/>
      <c r="E94" s="99"/>
      <c r="F94" s="147"/>
      <c r="G94" s="99"/>
      <c r="H94" s="147"/>
      <c r="I94" s="99"/>
      <c r="J94" s="99"/>
      <c r="K94" s="147"/>
      <c r="L94" s="99"/>
      <c r="M94" s="147"/>
      <c r="N94" s="147"/>
      <c r="O94" s="147"/>
      <c r="P94" s="99"/>
      <c r="Q94" s="99"/>
      <c r="R94" s="99"/>
      <c r="S94" s="99"/>
      <c r="T94" s="147"/>
      <c r="U94" s="99"/>
      <c r="V94" s="147"/>
      <c r="W94" s="99"/>
      <c r="X94" s="99"/>
      <c r="Y94" s="99"/>
      <c r="Z94" s="99"/>
      <c r="AA94" s="147"/>
      <c r="AB94" s="99"/>
      <c r="AC94" s="148"/>
      <c r="AD94" s="99"/>
      <c r="AE94" s="148"/>
      <c r="AF94" s="148"/>
      <c r="AG94" s="66">
        <f t="shared" si="7"/>
        <v>0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si="8"/>
        <v>阿俗</v>
      </c>
      <c r="AJ94" s="81"/>
    </row>
    <row r="95" spans="1:36" ht="18" customHeight="1">
      <c r="A95" s="99" t="s">
        <v>58</v>
      </c>
      <c r="B95" s="100" t="s">
        <v>153</v>
      </c>
      <c r="C95" s="147"/>
      <c r="D95" s="145"/>
      <c r="E95" s="99"/>
      <c r="F95" s="147"/>
      <c r="G95" s="99"/>
      <c r="H95" s="147"/>
      <c r="I95" s="99"/>
      <c r="J95" s="99"/>
      <c r="K95" s="147"/>
      <c r="L95" s="99"/>
      <c r="M95" s="147"/>
      <c r="N95" s="147"/>
      <c r="O95" s="147"/>
      <c r="P95" s="99"/>
      <c r="Q95" s="99"/>
      <c r="R95" s="99"/>
      <c r="S95" s="99"/>
      <c r="T95" s="147"/>
      <c r="U95" s="99"/>
      <c r="V95" s="147"/>
      <c r="W95" s="99"/>
      <c r="X95" s="99"/>
      <c r="Y95" s="99"/>
      <c r="Z95" s="99"/>
      <c r="AA95" s="147"/>
      <c r="AB95" s="99"/>
      <c r="AC95" s="148"/>
      <c r="AD95" s="99"/>
      <c r="AE95" s="148"/>
      <c r="AF95" s="148"/>
      <c r="AG95" s="66">
        <f t="shared" si="7"/>
        <v>0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8"/>
        <v>傻妹</v>
      </c>
      <c r="AJ95" s="81"/>
    </row>
    <row r="96" spans="1:36" ht="18" customHeight="1">
      <c r="A96" s="99" t="s">
        <v>58</v>
      </c>
      <c r="B96" s="100" t="s">
        <v>96</v>
      </c>
      <c r="C96" s="147"/>
      <c r="D96" s="145"/>
      <c r="E96" s="99"/>
      <c r="F96" s="147"/>
      <c r="G96" s="99"/>
      <c r="H96" s="147"/>
      <c r="I96" s="99"/>
      <c r="J96" s="99"/>
      <c r="K96" s="147"/>
      <c r="L96" s="99"/>
      <c r="M96" s="147"/>
      <c r="N96" s="147"/>
      <c r="O96" s="147"/>
      <c r="P96" s="99"/>
      <c r="Q96" s="99"/>
      <c r="R96" s="99"/>
      <c r="S96" s="99"/>
      <c r="T96" s="147"/>
      <c r="U96" s="99"/>
      <c r="V96" s="147"/>
      <c r="W96" s="99"/>
      <c r="X96" s="99"/>
      <c r="Y96" s="99"/>
      <c r="Z96" s="99"/>
      <c r="AA96" s="147"/>
      <c r="AB96" s="99"/>
      <c r="AC96" s="148"/>
      <c r="AD96" s="99"/>
      <c r="AE96" s="148"/>
      <c r="AF96" s="148"/>
      <c r="AG96" s="66">
        <f t="shared" si="7"/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8"/>
        <v>靜婷</v>
      </c>
      <c r="AJ96" s="81"/>
    </row>
    <row r="97" spans="1:36" ht="18" customHeight="1">
      <c r="A97" s="99" t="s">
        <v>58</v>
      </c>
      <c r="B97" s="100" t="s">
        <v>154</v>
      </c>
      <c r="C97" s="147"/>
      <c r="D97" s="145"/>
      <c r="E97" s="99"/>
      <c r="F97" s="147"/>
      <c r="G97" s="99">
        <v>1</v>
      </c>
      <c r="H97" s="147"/>
      <c r="I97" s="99">
        <v>1</v>
      </c>
      <c r="J97" s="99"/>
      <c r="K97" s="147"/>
      <c r="L97" s="99"/>
      <c r="M97" s="147"/>
      <c r="N97" s="147"/>
      <c r="O97" s="147"/>
      <c r="P97" s="99"/>
      <c r="Q97" s="99"/>
      <c r="R97" s="99"/>
      <c r="S97" s="99"/>
      <c r="T97" s="147"/>
      <c r="U97" s="99"/>
      <c r="V97" s="147"/>
      <c r="W97" s="99"/>
      <c r="X97" s="99"/>
      <c r="Y97" s="99"/>
      <c r="Z97" s="99"/>
      <c r="AA97" s="147"/>
      <c r="AB97" s="99"/>
      <c r="AC97" s="148"/>
      <c r="AD97" s="99"/>
      <c r="AE97" s="148"/>
      <c r="AF97" s="148"/>
      <c r="AG97" s="66">
        <f t="shared" si="7"/>
        <v>2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8"/>
        <v>筱攸</v>
      </c>
      <c r="AJ97" s="81"/>
    </row>
    <row r="98" spans="1:36" ht="18" customHeight="1">
      <c r="A98" s="99" t="s">
        <v>58</v>
      </c>
      <c r="B98" s="100" t="s">
        <v>155</v>
      </c>
      <c r="C98" s="147"/>
      <c r="D98" s="145"/>
      <c r="E98" s="99"/>
      <c r="F98" s="147"/>
      <c r="G98" s="99"/>
      <c r="H98" s="147"/>
      <c r="I98" s="99">
        <v>1</v>
      </c>
      <c r="J98" s="99"/>
      <c r="K98" s="147"/>
      <c r="L98" s="99"/>
      <c r="M98" s="147"/>
      <c r="N98" s="147"/>
      <c r="O98" s="147"/>
      <c r="P98" s="99">
        <v>1</v>
      </c>
      <c r="Q98" s="99"/>
      <c r="R98" s="99"/>
      <c r="S98" s="99"/>
      <c r="T98" s="147"/>
      <c r="U98" s="99"/>
      <c r="V98" s="147"/>
      <c r="W98" s="99"/>
      <c r="X98" s="99"/>
      <c r="Y98" s="99"/>
      <c r="Z98" s="99"/>
      <c r="AA98" s="147"/>
      <c r="AB98" s="99"/>
      <c r="AC98" s="148"/>
      <c r="AD98" s="99"/>
      <c r="AE98" s="148"/>
      <c r="AF98" s="148"/>
      <c r="AG98" s="66">
        <f t="shared" si="7"/>
        <v>2</v>
      </c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8"/>
        <v>康康</v>
      </c>
      <c r="AJ98" s="81"/>
    </row>
    <row r="99" spans="1:36" ht="18" customHeight="1">
      <c r="A99" s="99" t="s">
        <v>58</v>
      </c>
      <c r="B99" s="100" t="s">
        <v>156</v>
      </c>
      <c r="C99" s="147"/>
      <c r="D99" s="145"/>
      <c r="E99" s="99"/>
      <c r="F99" s="147"/>
      <c r="G99" s="99"/>
      <c r="H99" s="147"/>
      <c r="I99" s="99"/>
      <c r="J99" s="99"/>
      <c r="K99" s="147"/>
      <c r="L99" s="99"/>
      <c r="M99" s="147"/>
      <c r="N99" s="147"/>
      <c r="O99" s="147"/>
      <c r="P99" s="99"/>
      <c r="Q99" s="99"/>
      <c r="R99" s="99"/>
      <c r="S99" s="99"/>
      <c r="T99" s="147"/>
      <c r="U99" s="99"/>
      <c r="V99" s="147"/>
      <c r="W99" s="99"/>
      <c r="X99" s="99"/>
      <c r="Y99" s="99"/>
      <c r="Z99" s="99"/>
      <c r="AA99" s="147"/>
      <c r="AB99" s="99"/>
      <c r="AC99" s="148"/>
      <c r="AD99" s="99"/>
      <c r="AE99" s="148"/>
      <c r="AF99" s="148"/>
      <c r="AG99" s="66">
        <f t="shared" si="7"/>
        <v>0</v>
      </c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8"/>
        <v>阿金</v>
      </c>
      <c r="AJ99" s="81"/>
    </row>
    <row r="100" spans="1:36" ht="18" customHeight="1">
      <c r="A100" s="99" t="s">
        <v>58</v>
      </c>
      <c r="B100" s="100" t="s">
        <v>157</v>
      </c>
      <c r="C100" s="147"/>
      <c r="D100" s="145"/>
      <c r="E100" s="99"/>
      <c r="F100" s="147"/>
      <c r="G100" s="99"/>
      <c r="H100" s="147"/>
      <c r="I100" s="99"/>
      <c r="J100" s="99"/>
      <c r="K100" s="147"/>
      <c r="L100" s="99"/>
      <c r="M100" s="147"/>
      <c r="N100" s="147"/>
      <c r="O100" s="147"/>
      <c r="P100" s="99"/>
      <c r="Q100" s="99"/>
      <c r="R100" s="99"/>
      <c r="S100" s="99"/>
      <c r="T100" s="147"/>
      <c r="U100" s="99"/>
      <c r="V100" s="147"/>
      <c r="W100" s="99"/>
      <c r="X100" s="99"/>
      <c r="Y100" s="99"/>
      <c r="Z100" s="99"/>
      <c r="AA100" s="147"/>
      <c r="AB100" s="99"/>
      <c r="AC100" s="148"/>
      <c r="AD100" s="99"/>
      <c r="AE100" s="148"/>
      <c r="AF100" s="148"/>
      <c r="AG100" s="66">
        <f t="shared" si="7"/>
        <v>0</v>
      </c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si="8"/>
        <v>派大</v>
      </c>
      <c r="AJ100" s="81"/>
    </row>
    <row r="101" spans="1:36" ht="18" customHeight="1">
      <c r="A101" s="99" t="s">
        <v>58</v>
      </c>
      <c r="B101" s="100" t="s">
        <v>158</v>
      </c>
      <c r="C101" s="147"/>
      <c r="D101" s="145"/>
      <c r="E101" s="99"/>
      <c r="F101" s="147"/>
      <c r="G101" s="99"/>
      <c r="H101" s="147"/>
      <c r="I101" s="99"/>
      <c r="J101" s="99"/>
      <c r="K101" s="147"/>
      <c r="L101" s="99"/>
      <c r="M101" s="147"/>
      <c r="N101" s="147"/>
      <c r="O101" s="147"/>
      <c r="P101" s="99"/>
      <c r="Q101" s="99"/>
      <c r="R101" s="99"/>
      <c r="S101" s="99"/>
      <c r="T101" s="147"/>
      <c r="U101" s="99"/>
      <c r="V101" s="147"/>
      <c r="W101" s="99"/>
      <c r="X101" s="99"/>
      <c r="Y101" s="99"/>
      <c r="Z101" s="99"/>
      <c r="AA101" s="147"/>
      <c r="AB101" s="99"/>
      <c r="AC101" s="148"/>
      <c r="AD101" s="99"/>
      <c r="AE101" s="148"/>
      <c r="AF101" s="148"/>
      <c r="AG101" s="66">
        <f t="shared" si="7"/>
        <v>0</v>
      </c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8"/>
        <v>吉娃</v>
      </c>
      <c r="AJ101" s="81"/>
    </row>
    <row r="102" spans="1:36" ht="18" customHeight="1">
      <c r="A102" s="99" t="s">
        <v>58</v>
      </c>
      <c r="B102" s="100" t="s">
        <v>159</v>
      </c>
      <c r="C102" s="147"/>
      <c r="D102" s="145"/>
      <c r="E102" s="99"/>
      <c r="F102" s="147"/>
      <c r="G102" s="99"/>
      <c r="H102" s="147"/>
      <c r="I102" s="99"/>
      <c r="J102" s="99"/>
      <c r="K102" s="147"/>
      <c r="L102" s="99"/>
      <c r="M102" s="147"/>
      <c r="N102" s="147"/>
      <c r="O102" s="147"/>
      <c r="P102" s="99"/>
      <c r="Q102" s="99"/>
      <c r="R102" s="99"/>
      <c r="S102" s="99"/>
      <c r="T102" s="147"/>
      <c r="U102" s="99"/>
      <c r="V102" s="147"/>
      <c r="W102" s="99"/>
      <c r="X102" s="99"/>
      <c r="Y102" s="99"/>
      <c r="Z102" s="99"/>
      <c r="AA102" s="147"/>
      <c r="AB102" s="99"/>
      <c r="AC102" s="148"/>
      <c r="AD102" s="99"/>
      <c r="AE102" s="148"/>
      <c r="AF102" s="148"/>
      <c r="AG102" s="66">
        <f t="shared" si="7"/>
        <v>0</v>
      </c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8"/>
        <v>小寧</v>
      </c>
      <c r="AJ102" s="81"/>
    </row>
    <row r="103" spans="1:36" ht="18" customHeight="1">
      <c r="A103" s="99" t="s">
        <v>58</v>
      </c>
      <c r="B103" s="100" t="s">
        <v>160</v>
      </c>
      <c r="C103" s="147"/>
      <c r="D103" s="145"/>
      <c r="E103" s="99"/>
      <c r="F103" s="147"/>
      <c r="G103" s="99"/>
      <c r="H103" s="147"/>
      <c r="I103" s="99"/>
      <c r="J103" s="99"/>
      <c r="K103" s="147"/>
      <c r="L103" s="99"/>
      <c r="M103" s="147"/>
      <c r="N103" s="147"/>
      <c r="O103" s="147"/>
      <c r="P103" s="99"/>
      <c r="Q103" s="99"/>
      <c r="R103" s="99"/>
      <c r="S103" s="99"/>
      <c r="T103" s="147"/>
      <c r="U103" s="99"/>
      <c r="V103" s="147"/>
      <c r="W103" s="99"/>
      <c r="X103" s="99"/>
      <c r="Y103" s="99"/>
      <c r="Z103" s="99"/>
      <c r="AA103" s="147"/>
      <c r="AB103" s="99"/>
      <c r="AC103" s="148"/>
      <c r="AD103" s="99"/>
      <c r="AE103" s="148"/>
      <c r="AF103" s="148"/>
      <c r="AG103" s="66">
        <f t="shared" si="7"/>
        <v>0</v>
      </c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8"/>
        <v>小妹</v>
      </c>
      <c r="AJ103" s="81"/>
    </row>
    <row r="104" spans="1:36" ht="18" customHeight="1">
      <c r="A104" s="99" t="s">
        <v>58</v>
      </c>
      <c r="B104" s="100" t="s">
        <v>101</v>
      </c>
      <c r="C104" s="147"/>
      <c r="D104" s="145"/>
      <c r="E104" s="99"/>
      <c r="F104" s="147"/>
      <c r="G104" s="99"/>
      <c r="H104" s="147"/>
      <c r="I104" s="99"/>
      <c r="J104" s="99"/>
      <c r="K104" s="147"/>
      <c r="L104" s="99"/>
      <c r="M104" s="147"/>
      <c r="N104" s="147"/>
      <c r="O104" s="147"/>
      <c r="P104" s="99"/>
      <c r="Q104" s="99"/>
      <c r="R104" s="99"/>
      <c r="S104" s="99"/>
      <c r="T104" s="147"/>
      <c r="U104" s="99"/>
      <c r="V104" s="147"/>
      <c r="W104" s="99"/>
      <c r="X104" s="99"/>
      <c r="Y104" s="99"/>
      <c r="Z104" s="99"/>
      <c r="AA104" s="147"/>
      <c r="AB104" s="99"/>
      <c r="AC104" s="148"/>
      <c r="AD104" s="99"/>
      <c r="AE104" s="148"/>
      <c r="AF104" s="148"/>
      <c r="AG104" s="66">
        <f t="shared" si="7"/>
        <v>0</v>
      </c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8"/>
        <v>文媛</v>
      </c>
      <c r="AJ104" s="81"/>
    </row>
    <row r="105" spans="1:36" ht="18" customHeight="1">
      <c r="A105" s="99" t="s">
        <v>58</v>
      </c>
      <c r="B105" s="100" t="s">
        <v>161</v>
      </c>
      <c r="C105" s="147"/>
      <c r="D105" s="145"/>
      <c r="E105" s="99"/>
      <c r="F105" s="147"/>
      <c r="G105" s="99"/>
      <c r="H105" s="147"/>
      <c r="I105" s="99"/>
      <c r="J105" s="99"/>
      <c r="K105" s="147"/>
      <c r="L105" s="99"/>
      <c r="M105" s="147"/>
      <c r="N105" s="147"/>
      <c r="O105" s="147"/>
      <c r="P105" s="99"/>
      <c r="Q105" s="99"/>
      <c r="R105" s="99"/>
      <c r="S105" s="99"/>
      <c r="T105" s="147"/>
      <c r="U105" s="99"/>
      <c r="V105" s="147"/>
      <c r="W105" s="99"/>
      <c r="X105" s="99"/>
      <c r="Y105" s="99"/>
      <c r="Z105" s="99"/>
      <c r="AA105" s="147"/>
      <c r="AB105" s="99"/>
      <c r="AC105" s="148"/>
      <c r="AD105" s="99"/>
      <c r="AE105" s="148"/>
      <c r="AF105" s="148"/>
      <c r="AG105" s="66">
        <f t="shared" si="7"/>
        <v>0</v>
      </c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8"/>
        <v>佩鈺</v>
      </c>
      <c r="AJ105" s="81"/>
    </row>
    <row r="106" spans="1:36" ht="18" customHeight="1">
      <c r="A106" s="99" t="s">
        <v>58</v>
      </c>
      <c r="B106" s="100" t="s">
        <v>162</v>
      </c>
      <c r="C106" s="147"/>
      <c r="D106" s="145"/>
      <c r="E106" s="99"/>
      <c r="F106" s="147"/>
      <c r="G106" s="99"/>
      <c r="H106" s="147"/>
      <c r="I106" s="99"/>
      <c r="J106" s="99"/>
      <c r="K106" s="147"/>
      <c r="L106" s="99"/>
      <c r="M106" s="147"/>
      <c r="N106" s="147"/>
      <c r="O106" s="147"/>
      <c r="P106" s="99"/>
      <c r="Q106" s="99"/>
      <c r="R106" s="99"/>
      <c r="S106" s="99"/>
      <c r="T106" s="147"/>
      <c r="U106" s="99"/>
      <c r="V106" s="147"/>
      <c r="W106" s="99"/>
      <c r="X106" s="99"/>
      <c r="Y106" s="99"/>
      <c r="Z106" s="99"/>
      <c r="AA106" s="147"/>
      <c r="AB106" s="99"/>
      <c r="AC106" s="148"/>
      <c r="AD106" s="99"/>
      <c r="AE106" s="148"/>
      <c r="AF106" s="148"/>
      <c r="AG106" s="66">
        <f t="shared" si="7"/>
        <v>0</v>
      </c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8"/>
        <v>阿布</v>
      </c>
      <c r="AJ106" s="81"/>
    </row>
    <row r="107" spans="1:36" ht="18" customHeight="1">
      <c r="A107" s="99" t="s">
        <v>58</v>
      </c>
      <c r="B107" s="100" t="s">
        <v>100</v>
      </c>
      <c r="C107" s="147"/>
      <c r="D107" s="145"/>
      <c r="E107" s="99"/>
      <c r="F107" s="147"/>
      <c r="G107" s="99"/>
      <c r="H107" s="147"/>
      <c r="I107" s="99"/>
      <c r="J107" s="99"/>
      <c r="K107" s="147"/>
      <c r="L107" s="99"/>
      <c r="M107" s="147"/>
      <c r="N107" s="147"/>
      <c r="O107" s="147"/>
      <c r="P107" s="99"/>
      <c r="Q107" s="99"/>
      <c r="R107" s="99"/>
      <c r="S107" s="99"/>
      <c r="T107" s="147"/>
      <c r="U107" s="99"/>
      <c r="V107" s="147"/>
      <c r="W107" s="99"/>
      <c r="X107" s="99"/>
      <c r="Y107" s="99"/>
      <c r="Z107" s="99"/>
      <c r="AA107" s="147"/>
      <c r="AB107" s="99"/>
      <c r="AC107" s="148"/>
      <c r="AD107" s="99"/>
      <c r="AE107" s="148"/>
      <c r="AF107" s="148"/>
      <c r="AG107" s="66">
        <f t="shared" si="7"/>
        <v>0</v>
      </c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8"/>
        <v>餅餅</v>
      </c>
      <c r="AJ107" s="81"/>
    </row>
    <row r="108" spans="1:36" ht="18" customHeight="1">
      <c r="A108" s="99" t="s">
        <v>58</v>
      </c>
      <c r="B108" s="100" t="s">
        <v>163</v>
      </c>
      <c r="C108" s="147"/>
      <c r="D108" s="145"/>
      <c r="E108" s="99"/>
      <c r="F108" s="147"/>
      <c r="G108" s="99"/>
      <c r="H108" s="147"/>
      <c r="I108" s="99"/>
      <c r="J108" s="99"/>
      <c r="K108" s="147"/>
      <c r="L108" s="99"/>
      <c r="M108" s="147"/>
      <c r="N108" s="147"/>
      <c r="O108" s="147"/>
      <c r="P108" s="99"/>
      <c r="Q108" s="99"/>
      <c r="R108" s="99"/>
      <c r="S108" s="99"/>
      <c r="T108" s="147"/>
      <c r="U108" s="99"/>
      <c r="V108" s="147"/>
      <c r="W108" s="99"/>
      <c r="X108" s="99"/>
      <c r="Y108" s="99"/>
      <c r="Z108" s="99"/>
      <c r="AA108" s="147"/>
      <c r="AB108" s="99"/>
      <c r="AC108" s="148"/>
      <c r="AD108" s="99"/>
      <c r="AE108" s="148"/>
      <c r="AF108" s="148"/>
      <c r="AG108" s="66">
        <f t="shared" si="7"/>
        <v>0</v>
      </c>
      <c r="AH108" s="98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79" t="str">
        <f t="shared" si="8"/>
        <v>小個</v>
      </c>
      <c r="AJ108" s="81"/>
    </row>
    <row r="109" spans="1:36" ht="18" customHeight="1">
      <c r="A109" s="99" t="s">
        <v>58</v>
      </c>
      <c r="B109" s="100" t="s">
        <v>164</v>
      </c>
      <c r="C109" s="147"/>
      <c r="D109" s="145"/>
      <c r="E109" s="99"/>
      <c r="F109" s="147"/>
      <c r="G109" s="99"/>
      <c r="H109" s="147"/>
      <c r="I109" s="99"/>
      <c r="J109" s="99"/>
      <c r="K109" s="147"/>
      <c r="L109" s="99"/>
      <c r="M109" s="147"/>
      <c r="N109" s="147"/>
      <c r="O109" s="147"/>
      <c r="P109" s="99"/>
      <c r="Q109" s="99"/>
      <c r="R109" s="99"/>
      <c r="S109" s="99"/>
      <c r="T109" s="147"/>
      <c r="U109" s="99"/>
      <c r="V109" s="147"/>
      <c r="W109" s="99"/>
      <c r="X109" s="99"/>
      <c r="Y109" s="99"/>
      <c r="Z109" s="99"/>
      <c r="AA109" s="147"/>
      <c r="AB109" s="99"/>
      <c r="AC109" s="148"/>
      <c r="AD109" s="99"/>
      <c r="AE109" s="148"/>
      <c r="AF109" s="148"/>
      <c r="AG109" s="66">
        <f t="shared" si="7"/>
        <v>0</v>
      </c>
      <c r="AH109" s="98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79" t="str">
        <f t="shared" si="8"/>
        <v>小菜</v>
      </c>
      <c r="AJ109" s="81"/>
    </row>
    <row r="110" spans="1:36" ht="18" customHeight="1">
      <c r="A110" s="99" t="s">
        <v>58</v>
      </c>
      <c r="B110" s="100" t="s">
        <v>102</v>
      </c>
      <c r="C110" s="147"/>
      <c r="D110" s="145"/>
      <c r="E110" s="99"/>
      <c r="F110" s="147"/>
      <c r="G110" s="99"/>
      <c r="H110" s="147"/>
      <c r="I110" s="99"/>
      <c r="J110" s="99"/>
      <c r="K110" s="147"/>
      <c r="L110" s="99"/>
      <c r="M110" s="147"/>
      <c r="N110" s="147"/>
      <c r="O110" s="147"/>
      <c r="P110" s="99"/>
      <c r="Q110" s="99"/>
      <c r="R110" s="99"/>
      <c r="S110" s="99"/>
      <c r="T110" s="147"/>
      <c r="U110" s="99"/>
      <c r="V110" s="147"/>
      <c r="W110" s="99"/>
      <c r="X110" s="99"/>
      <c r="Y110" s="99"/>
      <c r="Z110" s="99"/>
      <c r="AA110" s="147"/>
      <c r="AB110" s="99"/>
      <c r="AC110" s="148"/>
      <c r="AD110" s="99"/>
      <c r="AE110" s="148"/>
      <c r="AF110" s="148"/>
      <c r="AG110" s="66">
        <f t="shared" si="7"/>
        <v>0</v>
      </c>
      <c r="AH110" s="98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79" t="str">
        <f t="shared" si="8"/>
        <v>妮妮</v>
      </c>
      <c r="AJ110" s="81"/>
    </row>
    <row r="111" spans="1:36" ht="18" customHeight="1">
      <c r="A111" s="99" t="s">
        <v>58</v>
      </c>
      <c r="B111" s="100" t="s">
        <v>165</v>
      </c>
      <c r="C111" s="147"/>
      <c r="D111" s="145"/>
      <c r="E111" s="99"/>
      <c r="F111" s="147"/>
      <c r="G111" s="99"/>
      <c r="H111" s="147"/>
      <c r="I111" s="99"/>
      <c r="J111" s="99"/>
      <c r="K111" s="147"/>
      <c r="L111" s="99"/>
      <c r="M111" s="147"/>
      <c r="N111" s="147"/>
      <c r="O111" s="147"/>
      <c r="P111" s="99"/>
      <c r="Q111" s="99"/>
      <c r="R111" s="99"/>
      <c r="S111" s="99"/>
      <c r="T111" s="147"/>
      <c r="U111" s="99"/>
      <c r="V111" s="147"/>
      <c r="W111" s="99"/>
      <c r="X111" s="99"/>
      <c r="Y111" s="99"/>
      <c r="Z111" s="99"/>
      <c r="AA111" s="147"/>
      <c r="AB111" s="99"/>
      <c r="AC111" s="148"/>
      <c r="AD111" s="99"/>
      <c r="AE111" s="148"/>
      <c r="AF111" s="148"/>
      <c r="AG111" s="66">
        <f t="shared" si="7"/>
        <v>0</v>
      </c>
      <c r="AH111" s="98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79" t="str">
        <f t="shared" si="8"/>
        <v>小貓</v>
      </c>
      <c r="AJ111" s="81"/>
    </row>
    <row r="112" spans="1:36" ht="18" customHeight="1">
      <c r="A112" s="99" t="s">
        <v>58</v>
      </c>
      <c r="B112" s="100" t="s">
        <v>166</v>
      </c>
      <c r="C112" s="147"/>
      <c r="D112" s="145"/>
      <c r="E112" s="99"/>
      <c r="F112" s="147"/>
      <c r="G112" s="99"/>
      <c r="H112" s="147"/>
      <c r="I112" s="99"/>
      <c r="J112" s="99"/>
      <c r="K112" s="147"/>
      <c r="L112" s="99"/>
      <c r="M112" s="147"/>
      <c r="N112" s="147"/>
      <c r="O112" s="147"/>
      <c r="P112" s="99"/>
      <c r="Q112" s="99"/>
      <c r="R112" s="99"/>
      <c r="S112" s="99"/>
      <c r="T112" s="147"/>
      <c r="U112" s="99"/>
      <c r="V112" s="147"/>
      <c r="W112" s="99"/>
      <c r="X112" s="99"/>
      <c r="Y112" s="99"/>
      <c r="Z112" s="99"/>
      <c r="AA112" s="147"/>
      <c r="AB112" s="99"/>
      <c r="AC112" s="148"/>
      <c r="AD112" s="99"/>
      <c r="AE112" s="148"/>
      <c r="AF112" s="148"/>
      <c r="AG112" s="66">
        <f t="shared" si="7"/>
        <v>0</v>
      </c>
      <c r="AH112" s="98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79" t="str">
        <f t="shared" si="8"/>
        <v>哈比</v>
      </c>
      <c r="AJ112" s="81"/>
    </row>
    <row r="113" spans="1:36" ht="18" customHeight="1">
      <c r="A113" s="99" t="s">
        <v>58</v>
      </c>
      <c r="B113" s="100" t="s">
        <v>97</v>
      </c>
      <c r="C113" s="147"/>
      <c r="D113" s="145"/>
      <c r="E113" s="99"/>
      <c r="F113" s="147"/>
      <c r="G113" s="99"/>
      <c r="H113" s="147"/>
      <c r="I113" s="99">
        <v>1</v>
      </c>
      <c r="J113" s="99"/>
      <c r="K113" s="147"/>
      <c r="L113" s="99"/>
      <c r="M113" s="147"/>
      <c r="N113" s="147"/>
      <c r="O113" s="147"/>
      <c r="P113" s="99"/>
      <c r="Q113" s="99"/>
      <c r="R113" s="99">
        <v>1</v>
      </c>
      <c r="S113" s="99"/>
      <c r="T113" s="147"/>
      <c r="U113" s="99"/>
      <c r="V113" s="147"/>
      <c r="W113" s="99">
        <v>1</v>
      </c>
      <c r="X113" s="99"/>
      <c r="Y113" s="99"/>
      <c r="Z113" s="99"/>
      <c r="AA113" s="147"/>
      <c r="AB113" s="99"/>
      <c r="AC113" s="148"/>
      <c r="AD113" s="99">
        <v>1</v>
      </c>
      <c r="AE113" s="148"/>
      <c r="AF113" s="148"/>
      <c r="AG113" s="66">
        <f t="shared" si="7"/>
        <v>4</v>
      </c>
      <c r="AH113" s="98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79" t="s">
        <v>97</v>
      </c>
      <c r="AJ113" s="81"/>
    </row>
    <row r="114" spans="1:36" ht="18" customHeight="1">
      <c r="A114" s="99" t="s">
        <v>58</v>
      </c>
      <c r="B114" s="100" t="s">
        <v>98</v>
      </c>
      <c r="C114" s="147"/>
      <c r="D114" s="145"/>
      <c r="E114" s="99"/>
      <c r="F114" s="147"/>
      <c r="G114" s="99">
        <v>1</v>
      </c>
      <c r="H114" s="147"/>
      <c r="I114" s="99">
        <v>1</v>
      </c>
      <c r="J114" s="99"/>
      <c r="K114" s="147"/>
      <c r="L114" s="99"/>
      <c r="M114" s="147"/>
      <c r="N114" s="147"/>
      <c r="O114" s="147"/>
      <c r="P114" s="99"/>
      <c r="Q114" s="99"/>
      <c r="R114" s="99">
        <v>1</v>
      </c>
      <c r="S114" s="99"/>
      <c r="T114" s="147"/>
      <c r="U114" s="99"/>
      <c r="V114" s="147"/>
      <c r="W114" s="99">
        <v>1</v>
      </c>
      <c r="X114" s="99"/>
      <c r="Y114" s="99"/>
      <c r="Z114" s="99"/>
      <c r="AA114" s="147"/>
      <c r="AB114" s="99"/>
      <c r="AC114" s="148"/>
      <c r="AD114" s="99">
        <v>1</v>
      </c>
      <c r="AE114" s="148"/>
      <c r="AF114" s="148"/>
      <c r="AG114" s="66">
        <f t="shared" si="7"/>
        <v>5</v>
      </c>
      <c r="AH114" s="98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79" t="s">
        <v>98</v>
      </c>
      <c r="AJ114" s="81"/>
    </row>
    <row r="115" spans="1:36" ht="18" customHeight="1">
      <c r="A115" s="99" t="s">
        <v>58</v>
      </c>
      <c r="B115" s="100" t="s">
        <v>99</v>
      </c>
      <c r="C115" s="147"/>
      <c r="D115" s="145"/>
      <c r="E115" s="99">
        <v>1</v>
      </c>
      <c r="F115" s="147"/>
      <c r="G115" s="99">
        <v>1</v>
      </c>
      <c r="H115" s="147"/>
      <c r="I115" s="99">
        <v>1</v>
      </c>
      <c r="J115" s="99">
        <v>1</v>
      </c>
      <c r="K115" s="147"/>
      <c r="L115" s="99">
        <v>1</v>
      </c>
      <c r="M115" s="147"/>
      <c r="N115" s="147"/>
      <c r="O115" s="147"/>
      <c r="P115" s="99"/>
      <c r="Q115" s="99"/>
      <c r="R115" s="99"/>
      <c r="S115" s="99"/>
      <c r="T115" s="147"/>
      <c r="U115" s="99"/>
      <c r="V115" s="147"/>
      <c r="W115" s="99">
        <v>1</v>
      </c>
      <c r="X115" s="99"/>
      <c r="Y115" s="99"/>
      <c r="Z115" s="99">
        <v>1</v>
      </c>
      <c r="AA115" s="147"/>
      <c r="AB115" s="99"/>
      <c r="AC115" s="148"/>
      <c r="AD115" s="99">
        <v>1</v>
      </c>
      <c r="AE115" s="148"/>
      <c r="AF115" s="148"/>
      <c r="AG115" s="66">
        <f t="shared" si="7"/>
        <v>8</v>
      </c>
      <c r="AH115" s="98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79" t="s">
        <v>99</v>
      </c>
      <c r="AJ115" s="81"/>
    </row>
    <row r="116" spans="1:36" ht="18" customHeight="1">
      <c r="A116" s="99" t="s">
        <v>58</v>
      </c>
      <c r="B116" s="100" t="s">
        <v>110</v>
      </c>
      <c r="C116" s="147"/>
      <c r="D116" s="145"/>
      <c r="E116" s="99"/>
      <c r="F116" s="147"/>
      <c r="G116" s="99"/>
      <c r="H116" s="147"/>
      <c r="I116" s="99"/>
      <c r="J116" s="99"/>
      <c r="K116" s="147"/>
      <c r="L116" s="99"/>
      <c r="M116" s="147"/>
      <c r="N116" s="147"/>
      <c r="O116" s="147"/>
      <c r="P116" s="99"/>
      <c r="Q116" s="99"/>
      <c r="R116" s="99"/>
      <c r="S116" s="99"/>
      <c r="T116" s="147"/>
      <c r="U116" s="99"/>
      <c r="V116" s="147"/>
      <c r="W116" s="99"/>
      <c r="X116" s="99"/>
      <c r="Y116" s="99"/>
      <c r="Z116" s="99"/>
      <c r="AA116" s="147"/>
      <c r="AB116" s="99">
        <v>1</v>
      </c>
      <c r="AC116" s="148"/>
      <c r="AD116" s="99"/>
      <c r="AE116" s="148"/>
      <c r="AF116" s="148"/>
      <c r="AG116" s="66"/>
      <c r="AH116" s="98"/>
      <c r="AI116" s="79"/>
      <c r="AJ116" s="81"/>
    </row>
    <row r="117" spans="1:36" ht="18" customHeight="1">
      <c r="A117" s="101" t="s">
        <v>58</v>
      </c>
      <c r="B117" s="102" t="s">
        <v>124</v>
      </c>
      <c r="C117" s="147"/>
      <c r="D117" s="145"/>
      <c r="E117" s="101"/>
      <c r="F117" s="147"/>
      <c r="G117" s="101"/>
      <c r="H117" s="147"/>
      <c r="I117" s="101"/>
      <c r="J117" s="101"/>
      <c r="K117" s="147"/>
      <c r="L117" s="101"/>
      <c r="M117" s="147"/>
      <c r="N117" s="147"/>
      <c r="O117" s="147"/>
      <c r="P117" s="101"/>
      <c r="Q117" s="101"/>
      <c r="R117" s="101"/>
      <c r="S117" s="101"/>
      <c r="T117" s="147"/>
      <c r="U117" s="101"/>
      <c r="V117" s="147"/>
      <c r="W117" s="101"/>
      <c r="X117" s="101"/>
      <c r="Y117" s="101"/>
      <c r="Z117" s="101"/>
      <c r="AA117" s="147"/>
      <c r="AB117" s="101"/>
      <c r="AC117" s="148"/>
      <c r="AD117" s="101"/>
      <c r="AE117" s="148"/>
      <c r="AF117" s="148"/>
      <c r="AG117" s="66">
        <f t="shared" ref="AG117:AG141" si="9">COUNTA(C117:AF117)</f>
        <v>0</v>
      </c>
      <c r="AH117" s="103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ref="AI117:AI141" si="10">B117</f>
        <v>玉蕙</v>
      </c>
      <c r="AJ117" s="89"/>
    </row>
    <row r="118" spans="1:36" ht="18" customHeight="1">
      <c r="A118" s="101" t="s">
        <v>58</v>
      </c>
      <c r="B118" s="102" t="s">
        <v>125</v>
      </c>
      <c r="C118" s="147"/>
      <c r="D118" s="145"/>
      <c r="E118" s="101"/>
      <c r="F118" s="147"/>
      <c r="G118" s="101"/>
      <c r="H118" s="147"/>
      <c r="I118" s="101"/>
      <c r="J118" s="101"/>
      <c r="K118" s="147"/>
      <c r="L118" s="101"/>
      <c r="M118" s="147"/>
      <c r="N118" s="147"/>
      <c r="O118" s="147"/>
      <c r="P118" s="101"/>
      <c r="Q118" s="101"/>
      <c r="R118" s="101"/>
      <c r="S118" s="101"/>
      <c r="T118" s="147"/>
      <c r="U118" s="101"/>
      <c r="V118" s="147"/>
      <c r="W118" s="101"/>
      <c r="X118" s="101"/>
      <c r="Y118" s="101"/>
      <c r="Z118" s="101"/>
      <c r="AA118" s="147"/>
      <c r="AB118" s="101"/>
      <c r="AC118" s="148"/>
      <c r="AD118" s="101"/>
      <c r="AE118" s="148"/>
      <c r="AF118" s="148"/>
      <c r="AG118" s="66">
        <f t="shared" si="9"/>
        <v>0</v>
      </c>
      <c r="AH118" s="103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10"/>
        <v>沛緁</v>
      </c>
      <c r="AJ118" s="89"/>
    </row>
    <row r="119" spans="1:36" ht="18" customHeight="1">
      <c r="A119" s="101" t="s">
        <v>58</v>
      </c>
      <c r="B119" s="102" t="s">
        <v>126</v>
      </c>
      <c r="C119" s="147"/>
      <c r="D119" s="145"/>
      <c r="E119" s="101"/>
      <c r="F119" s="147"/>
      <c r="G119" s="101"/>
      <c r="H119" s="147"/>
      <c r="I119" s="101"/>
      <c r="J119" s="101"/>
      <c r="K119" s="147"/>
      <c r="L119" s="101"/>
      <c r="M119" s="147"/>
      <c r="N119" s="147"/>
      <c r="O119" s="147"/>
      <c r="P119" s="101"/>
      <c r="Q119" s="101"/>
      <c r="R119" s="101"/>
      <c r="S119" s="101"/>
      <c r="T119" s="147"/>
      <c r="U119" s="101"/>
      <c r="V119" s="147"/>
      <c r="W119" s="101"/>
      <c r="X119" s="101"/>
      <c r="Y119" s="101"/>
      <c r="Z119" s="101"/>
      <c r="AA119" s="147"/>
      <c r="AB119" s="101"/>
      <c r="AC119" s="148"/>
      <c r="AD119" s="101"/>
      <c r="AE119" s="148"/>
      <c r="AF119" s="148"/>
      <c r="AG119" s="66">
        <f t="shared" si="9"/>
        <v>0</v>
      </c>
      <c r="AH119" s="103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10"/>
        <v>妹妹</v>
      </c>
      <c r="AJ119" s="89"/>
    </row>
    <row r="120" spans="1:36" ht="18" customHeight="1">
      <c r="A120" s="101" t="s">
        <v>58</v>
      </c>
      <c r="B120" s="102" t="s">
        <v>127</v>
      </c>
      <c r="C120" s="147"/>
      <c r="D120" s="145"/>
      <c r="E120" s="101">
        <v>1</v>
      </c>
      <c r="F120" s="147"/>
      <c r="G120" s="101">
        <v>1</v>
      </c>
      <c r="H120" s="147"/>
      <c r="I120" s="101">
        <v>1</v>
      </c>
      <c r="J120" s="101">
        <v>1</v>
      </c>
      <c r="K120" s="147"/>
      <c r="L120" s="101">
        <v>1</v>
      </c>
      <c r="M120" s="147"/>
      <c r="N120" s="147"/>
      <c r="O120" s="147"/>
      <c r="P120" s="101"/>
      <c r="Q120" s="101"/>
      <c r="R120" s="101"/>
      <c r="S120" s="101">
        <v>1</v>
      </c>
      <c r="T120" s="147"/>
      <c r="U120" s="101"/>
      <c r="V120" s="147"/>
      <c r="W120" s="101"/>
      <c r="X120" s="101"/>
      <c r="Y120" s="101">
        <v>1</v>
      </c>
      <c r="Z120" s="101">
        <v>1</v>
      </c>
      <c r="AA120" s="147"/>
      <c r="AB120" s="101"/>
      <c r="AC120" s="148"/>
      <c r="AD120" s="101"/>
      <c r="AE120" s="148"/>
      <c r="AF120" s="148"/>
      <c r="AG120" s="66">
        <f t="shared" si="9"/>
        <v>8</v>
      </c>
      <c r="AH120" s="103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10"/>
        <v>小雞</v>
      </c>
      <c r="AJ120" s="89"/>
    </row>
    <row r="121" spans="1:36" ht="18" customHeight="1">
      <c r="A121" s="101" t="s">
        <v>58</v>
      </c>
      <c r="B121" s="102" t="s">
        <v>128</v>
      </c>
      <c r="C121" s="147"/>
      <c r="D121" s="145"/>
      <c r="E121" s="101"/>
      <c r="F121" s="147"/>
      <c r="G121" s="101"/>
      <c r="H121" s="147"/>
      <c r="I121" s="101"/>
      <c r="J121" s="101"/>
      <c r="K121" s="147"/>
      <c r="L121" s="101"/>
      <c r="M121" s="147"/>
      <c r="N121" s="147"/>
      <c r="O121" s="147"/>
      <c r="P121" s="101"/>
      <c r="Q121" s="101"/>
      <c r="R121" s="101"/>
      <c r="S121" s="101"/>
      <c r="T121" s="147"/>
      <c r="U121" s="101"/>
      <c r="V121" s="147"/>
      <c r="W121" s="101"/>
      <c r="X121" s="101"/>
      <c r="Y121" s="101"/>
      <c r="Z121" s="101"/>
      <c r="AA121" s="147"/>
      <c r="AB121" s="101"/>
      <c r="AC121" s="148"/>
      <c r="AD121" s="101"/>
      <c r="AE121" s="148"/>
      <c r="AF121" s="148"/>
      <c r="AG121" s="66">
        <f t="shared" si="9"/>
        <v>0</v>
      </c>
      <c r="AH121" s="103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10"/>
        <v>雨昕</v>
      </c>
      <c r="AJ121" s="89"/>
    </row>
    <row r="122" spans="1:36" ht="18" customHeight="1">
      <c r="A122" s="101" t="s">
        <v>58</v>
      </c>
      <c r="B122" s="102" t="s">
        <v>129</v>
      </c>
      <c r="C122" s="147"/>
      <c r="D122" s="145"/>
      <c r="E122" s="101"/>
      <c r="F122" s="147"/>
      <c r="G122" s="101"/>
      <c r="H122" s="147"/>
      <c r="I122" s="101"/>
      <c r="J122" s="101"/>
      <c r="K122" s="147"/>
      <c r="L122" s="101"/>
      <c r="M122" s="147"/>
      <c r="N122" s="147"/>
      <c r="O122" s="147"/>
      <c r="P122" s="101"/>
      <c r="Q122" s="101"/>
      <c r="R122" s="101"/>
      <c r="S122" s="101"/>
      <c r="T122" s="147"/>
      <c r="U122" s="101"/>
      <c r="V122" s="147"/>
      <c r="W122" s="101"/>
      <c r="X122" s="101"/>
      <c r="Y122" s="101"/>
      <c r="Z122" s="101"/>
      <c r="AA122" s="147"/>
      <c r="AB122" s="101"/>
      <c r="AC122" s="148"/>
      <c r="AD122" s="101"/>
      <c r="AE122" s="148"/>
      <c r="AF122" s="148"/>
      <c r="AG122" s="66">
        <f t="shared" si="9"/>
        <v>0</v>
      </c>
      <c r="AH122" s="103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10"/>
        <v>矮矮</v>
      </c>
      <c r="AJ122" s="89"/>
    </row>
    <row r="123" spans="1:36" ht="18" customHeight="1">
      <c r="A123" s="101" t="s">
        <v>58</v>
      </c>
      <c r="B123" s="102" t="s">
        <v>130</v>
      </c>
      <c r="C123" s="147"/>
      <c r="D123" s="145"/>
      <c r="E123" s="101"/>
      <c r="F123" s="147"/>
      <c r="G123" s="101"/>
      <c r="H123" s="147"/>
      <c r="I123" s="101"/>
      <c r="J123" s="101"/>
      <c r="K123" s="147"/>
      <c r="L123" s="101"/>
      <c r="M123" s="147"/>
      <c r="N123" s="147"/>
      <c r="O123" s="147"/>
      <c r="P123" s="101"/>
      <c r="Q123" s="101"/>
      <c r="R123" s="101"/>
      <c r="S123" s="101"/>
      <c r="T123" s="147"/>
      <c r="U123" s="101"/>
      <c r="V123" s="147"/>
      <c r="W123" s="101"/>
      <c r="X123" s="101"/>
      <c r="Y123" s="101"/>
      <c r="Z123" s="101"/>
      <c r="AA123" s="147"/>
      <c r="AB123" s="101"/>
      <c r="AC123" s="148"/>
      <c r="AD123" s="101"/>
      <c r="AE123" s="148"/>
      <c r="AF123" s="148"/>
      <c r="AG123" s="66">
        <f t="shared" si="9"/>
        <v>0</v>
      </c>
      <c r="AH123" s="103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10"/>
        <v>猛女</v>
      </c>
      <c r="AJ123" s="89"/>
    </row>
    <row r="124" spans="1:36" ht="18" customHeight="1">
      <c r="A124" s="101" t="s">
        <v>58</v>
      </c>
      <c r="B124" s="102" t="s">
        <v>131</v>
      </c>
      <c r="C124" s="147"/>
      <c r="D124" s="145"/>
      <c r="E124" s="101"/>
      <c r="F124" s="147"/>
      <c r="G124" s="101"/>
      <c r="H124" s="147"/>
      <c r="I124" s="101"/>
      <c r="J124" s="101"/>
      <c r="K124" s="147"/>
      <c r="L124" s="101"/>
      <c r="M124" s="147"/>
      <c r="N124" s="147"/>
      <c r="O124" s="147"/>
      <c r="P124" s="101"/>
      <c r="Q124" s="101"/>
      <c r="R124" s="101"/>
      <c r="S124" s="101"/>
      <c r="T124" s="147"/>
      <c r="U124" s="101"/>
      <c r="V124" s="147"/>
      <c r="W124" s="101"/>
      <c r="X124" s="101"/>
      <c r="Y124" s="101"/>
      <c r="Z124" s="101"/>
      <c r="AA124" s="147"/>
      <c r="AB124" s="101"/>
      <c r="AC124" s="148"/>
      <c r="AD124" s="101"/>
      <c r="AE124" s="148"/>
      <c r="AF124" s="148"/>
      <c r="AG124" s="66">
        <f t="shared" si="9"/>
        <v>0</v>
      </c>
      <c r="AH124" s="103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10"/>
        <v>欣容</v>
      </c>
      <c r="AJ124" s="89"/>
    </row>
    <row r="125" spans="1:36" ht="18" customHeight="1">
      <c r="A125" s="101" t="s">
        <v>58</v>
      </c>
      <c r="B125" s="102" t="s">
        <v>132</v>
      </c>
      <c r="C125" s="147"/>
      <c r="D125" s="145"/>
      <c r="E125" s="101"/>
      <c r="F125" s="147"/>
      <c r="G125" s="101"/>
      <c r="H125" s="147"/>
      <c r="I125" s="101"/>
      <c r="J125" s="101"/>
      <c r="K125" s="147"/>
      <c r="L125" s="101"/>
      <c r="M125" s="147"/>
      <c r="N125" s="147"/>
      <c r="O125" s="147"/>
      <c r="P125" s="101"/>
      <c r="Q125" s="101"/>
      <c r="R125" s="101"/>
      <c r="S125" s="101"/>
      <c r="T125" s="147"/>
      <c r="U125" s="101"/>
      <c r="V125" s="147"/>
      <c r="W125" s="101"/>
      <c r="X125" s="101"/>
      <c r="Y125" s="101"/>
      <c r="Z125" s="101"/>
      <c r="AA125" s="147"/>
      <c r="AB125" s="101"/>
      <c r="AC125" s="148"/>
      <c r="AD125" s="101"/>
      <c r="AE125" s="148"/>
      <c r="AF125" s="148"/>
      <c r="AG125" s="66">
        <f t="shared" si="9"/>
        <v>0</v>
      </c>
      <c r="AH125" s="103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10"/>
        <v>萁萁</v>
      </c>
      <c r="AJ125" s="89"/>
    </row>
    <row r="126" spans="1:36" ht="18" customHeight="1">
      <c r="A126" s="101" t="s">
        <v>58</v>
      </c>
      <c r="B126" s="102" t="s">
        <v>133</v>
      </c>
      <c r="C126" s="147"/>
      <c r="D126" s="145"/>
      <c r="E126" s="101"/>
      <c r="F126" s="147"/>
      <c r="G126" s="101"/>
      <c r="H126" s="147"/>
      <c r="I126" s="101"/>
      <c r="J126" s="101"/>
      <c r="K126" s="147"/>
      <c r="L126" s="101"/>
      <c r="M126" s="147"/>
      <c r="N126" s="147"/>
      <c r="O126" s="147"/>
      <c r="P126" s="101"/>
      <c r="Q126" s="101"/>
      <c r="R126" s="101"/>
      <c r="S126" s="101"/>
      <c r="T126" s="147"/>
      <c r="U126" s="101"/>
      <c r="V126" s="147"/>
      <c r="W126" s="101"/>
      <c r="X126" s="101"/>
      <c r="Y126" s="101"/>
      <c r="Z126" s="101"/>
      <c r="AA126" s="147"/>
      <c r="AB126" s="101"/>
      <c r="AC126" s="148"/>
      <c r="AD126" s="101"/>
      <c r="AE126" s="148"/>
      <c r="AF126" s="148"/>
      <c r="AG126" s="66">
        <f t="shared" si="9"/>
        <v>0</v>
      </c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10"/>
        <v>萱</v>
      </c>
      <c r="AJ126" s="91"/>
    </row>
    <row r="127" spans="1:36" ht="18" customHeight="1">
      <c r="A127" s="101" t="s">
        <v>58</v>
      </c>
      <c r="B127" s="102" t="s">
        <v>134</v>
      </c>
      <c r="C127" s="147"/>
      <c r="D127" s="145"/>
      <c r="E127" s="101"/>
      <c r="F127" s="147"/>
      <c r="G127" s="101"/>
      <c r="H127" s="147"/>
      <c r="I127" s="101"/>
      <c r="J127" s="101"/>
      <c r="K127" s="147"/>
      <c r="L127" s="101"/>
      <c r="M127" s="147"/>
      <c r="N127" s="147"/>
      <c r="O127" s="147"/>
      <c r="P127" s="101"/>
      <c r="Q127" s="101"/>
      <c r="R127" s="101"/>
      <c r="S127" s="101"/>
      <c r="T127" s="147"/>
      <c r="U127" s="101"/>
      <c r="V127" s="147"/>
      <c r="W127" s="101"/>
      <c r="X127" s="101"/>
      <c r="Y127" s="101"/>
      <c r="Z127" s="101"/>
      <c r="AA127" s="147"/>
      <c r="AB127" s="101"/>
      <c r="AC127" s="148"/>
      <c r="AD127" s="101"/>
      <c r="AE127" s="148"/>
      <c r="AF127" s="148"/>
      <c r="AG127" s="66">
        <f t="shared" si="9"/>
        <v>0</v>
      </c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10"/>
        <v>Mei</v>
      </c>
      <c r="AJ127" s="91"/>
    </row>
    <row r="128" spans="1:36" ht="18" customHeight="1">
      <c r="A128" s="101" t="s">
        <v>58</v>
      </c>
      <c r="B128" s="102" t="s">
        <v>135</v>
      </c>
      <c r="C128" s="147"/>
      <c r="D128" s="145"/>
      <c r="E128" s="101"/>
      <c r="F128" s="147"/>
      <c r="G128" s="101"/>
      <c r="H128" s="147"/>
      <c r="I128" s="101"/>
      <c r="J128" s="101"/>
      <c r="K128" s="147"/>
      <c r="L128" s="101"/>
      <c r="M128" s="147"/>
      <c r="N128" s="147"/>
      <c r="O128" s="147"/>
      <c r="P128" s="101"/>
      <c r="Q128" s="101"/>
      <c r="R128" s="101"/>
      <c r="S128" s="101"/>
      <c r="T128" s="147"/>
      <c r="U128" s="101"/>
      <c r="V128" s="147"/>
      <c r="W128" s="101"/>
      <c r="X128" s="101"/>
      <c r="Y128" s="101"/>
      <c r="Z128" s="101"/>
      <c r="AA128" s="147"/>
      <c r="AB128" s="101"/>
      <c r="AC128" s="148"/>
      <c r="AD128" s="101"/>
      <c r="AE128" s="148"/>
      <c r="AF128" s="148"/>
      <c r="AG128" s="66">
        <f t="shared" si="9"/>
        <v>0</v>
      </c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10"/>
        <v>屁屁</v>
      </c>
      <c r="AJ128" s="91"/>
    </row>
    <row r="129" spans="1:36" ht="18" customHeight="1">
      <c r="A129" s="101" t="s">
        <v>58</v>
      </c>
      <c r="B129" s="102" t="s">
        <v>136</v>
      </c>
      <c r="C129" s="147"/>
      <c r="D129" s="145"/>
      <c r="E129" s="101"/>
      <c r="F129" s="147"/>
      <c r="G129" s="101"/>
      <c r="H129" s="147"/>
      <c r="I129" s="101"/>
      <c r="J129" s="101"/>
      <c r="K129" s="147"/>
      <c r="L129" s="101"/>
      <c r="M129" s="147"/>
      <c r="N129" s="147"/>
      <c r="O129" s="147"/>
      <c r="P129" s="101"/>
      <c r="Q129" s="101"/>
      <c r="R129" s="101"/>
      <c r="S129" s="101"/>
      <c r="T129" s="147"/>
      <c r="U129" s="101"/>
      <c r="V129" s="147"/>
      <c r="W129" s="101"/>
      <c r="X129" s="101"/>
      <c r="Y129" s="101"/>
      <c r="Z129" s="101"/>
      <c r="AA129" s="147"/>
      <c r="AB129" s="101"/>
      <c r="AC129" s="148"/>
      <c r="AD129" s="101"/>
      <c r="AE129" s="148"/>
      <c r="AF129" s="148"/>
      <c r="AG129" s="66">
        <f t="shared" si="9"/>
        <v>0</v>
      </c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10"/>
        <v>泡泡</v>
      </c>
      <c r="AJ129" s="91"/>
    </row>
    <row r="130" spans="1:36" ht="18" customHeight="1">
      <c r="A130" s="101" t="s">
        <v>58</v>
      </c>
      <c r="B130" s="102" t="s">
        <v>137</v>
      </c>
      <c r="C130" s="147"/>
      <c r="D130" s="145"/>
      <c r="E130" s="101"/>
      <c r="F130" s="147"/>
      <c r="G130" s="101"/>
      <c r="H130" s="147"/>
      <c r="I130" s="101"/>
      <c r="J130" s="101"/>
      <c r="K130" s="147"/>
      <c r="L130" s="101"/>
      <c r="M130" s="147"/>
      <c r="N130" s="147"/>
      <c r="O130" s="147"/>
      <c r="P130" s="101"/>
      <c r="Q130" s="101"/>
      <c r="R130" s="101"/>
      <c r="S130" s="101"/>
      <c r="T130" s="147"/>
      <c r="U130" s="101"/>
      <c r="V130" s="147"/>
      <c r="W130" s="101"/>
      <c r="X130" s="101"/>
      <c r="Y130" s="101"/>
      <c r="Z130" s="101"/>
      <c r="AA130" s="147"/>
      <c r="AB130" s="101"/>
      <c r="AC130" s="148"/>
      <c r="AD130" s="101"/>
      <c r="AE130" s="148"/>
      <c r="AF130" s="148"/>
      <c r="AG130" s="66">
        <f t="shared" si="9"/>
        <v>0</v>
      </c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10"/>
        <v>姚</v>
      </c>
      <c r="AJ130" s="91"/>
    </row>
    <row r="131" spans="1:36" ht="18" customHeight="1">
      <c r="A131" s="101" t="s">
        <v>58</v>
      </c>
      <c r="B131" s="102" t="s">
        <v>138</v>
      </c>
      <c r="C131" s="147"/>
      <c r="D131" s="145"/>
      <c r="E131" s="101"/>
      <c r="F131" s="147"/>
      <c r="G131" s="101"/>
      <c r="H131" s="147"/>
      <c r="I131" s="101"/>
      <c r="J131" s="101"/>
      <c r="K131" s="147"/>
      <c r="L131" s="101"/>
      <c r="M131" s="147"/>
      <c r="N131" s="147"/>
      <c r="O131" s="147"/>
      <c r="P131" s="101"/>
      <c r="Q131" s="101"/>
      <c r="R131" s="101"/>
      <c r="S131" s="101"/>
      <c r="T131" s="147"/>
      <c r="U131" s="101"/>
      <c r="V131" s="147"/>
      <c r="W131" s="101"/>
      <c r="X131" s="101"/>
      <c r="Y131" s="101"/>
      <c r="Z131" s="101"/>
      <c r="AA131" s="147"/>
      <c r="AB131" s="101"/>
      <c r="AC131" s="148"/>
      <c r="AD131" s="101"/>
      <c r="AE131" s="148"/>
      <c r="AF131" s="148"/>
      <c r="AG131" s="66">
        <f t="shared" si="9"/>
        <v>0</v>
      </c>
      <c r="AH131" s="87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88" t="str">
        <f t="shared" si="10"/>
        <v>奜茜</v>
      </c>
      <c r="AJ131" s="91"/>
    </row>
    <row r="132" spans="1:36" ht="18" customHeight="1">
      <c r="A132" s="101" t="s">
        <v>58</v>
      </c>
      <c r="B132" s="115" t="s">
        <v>139</v>
      </c>
      <c r="C132" s="147"/>
      <c r="D132" s="145"/>
      <c r="E132" s="101"/>
      <c r="F132" s="147"/>
      <c r="G132" s="101"/>
      <c r="H132" s="147"/>
      <c r="I132" s="101"/>
      <c r="J132" s="101"/>
      <c r="K132" s="147"/>
      <c r="L132" s="101"/>
      <c r="M132" s="147"/>
      <c r="N132" s="147"/>
      <c r="O132" s="147"/>
      <c r="P132" s="101"/>
      <c r="Q132" s="101"/>
      <c r="R132" s="101"/>
      <c r="S132" s="101"/>
      <c r="T132" s="147"/>
      <c r="U132" s="101"/>
      <c r="V132" s="147"/>
      <c r="W132" s="101"/>
      <c r="X132" s="101"/>
      <c r="Y132" s="101"/>
      <c r="Z132" s="101"/>
      <c r="AA132" s="147"/>
      <c r="AB132" s="101"/>
      <c r="AC132" s="148"/>
      <c r="AD132" s="101"/>
      <c r="AE132" s="148"/>
      <c r="AF132" s="148"/>
      <c r="AG132" s="66">
        <f t="shared" si="9"/>
        <v>0</v>
      </c>
      <c r="AH132" s="87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88" t="str">
        <f t="shared" si="10"/>
        <v>Tina</v>
      </c>
      <c r="AJ132" s="91"/>
    </row>
    <row r="133" spans="1:36" ht="18" customHeight="1">
      <c r="A133" s="101" t="s">
        <v>58</v>
      </c>
      <c r="B133" s="115" t="s">
        <v>140</v>
      </c>
      <c r="C133" s="147"/>
      <c r="D133" s="145"/>
      <c r="E133" s="101"/>
      <c r="F133" s="147"/>
      <c r="G133" s="101"/>
      <c r="H133" s="147"/>
      <c r="I133" s="101"/>
      <c r="J133" s="101"/>
      <c r="K133" s="147"/>
      <c r="L133" s="101"/>
      <c r="M133" s="147"/>
      <c r="N133" s="147"/>
      <c r="O133" s="147"/>
      <c r="P133" s="101"/>
      <c r="Q133" s="101"/>
      <c r="R133" s="101"/>
      <c r="S133" s="101"/>
      <c r="T133" s="147"/>
      <c r="U133" s="101"/>
      <c r="V133" s="147"/>
      <c r="W133" s="101"/>
      <c r="X133" s="101"/>
      <c r="Y133" s="101"/>
      <c r="Z133" s="101"/>
      <c r="AA133" s="147"/>
      <c r="AB133" s="101"/>
      <c r="AC133" s="148"/>
      <c r="AD133" s="101"/>
      <c r="AE133" s="148"/>
      <c r="AF133" s="148"/>
      <c r="AG133" s="66">
        <f t="shared" si="9"/>
        <v>0</v>
      </c>
      <c r="AH133" s="87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88" t="str">
        <f t="shared" si="10"/>
        <v>芷琦</v>
      </c>
      <c r="AJ133" s="91"/>
    </row>
    <row r="134" spans="1:36" ht="18" customHeight="1">
      <c r="A134" s="101" t="s">
        <v>58</v>
      </c>
      <c r="B134" s="115" t="s">
        <v>106</v>
      </c>
      <c r="C134" s="147"/>
      <c r="D134" s="145"/>
      <c r="E134" s="101"/>
      <c r="F134" s="147"/>
      <c r="G134" s="101"/>
      <c r="H134" s="147"/>
      <c r="I134" s="101"/>
      <c r="J134" s="101"/>
      <c r="K134" s="147"/>
      <c r="L134" s="101"/>
      <c r="M134" s="147"/>
      <c r="N134" s="147"/>
      <c r="O134" s="147"/>
      <c r="P134" s="101"/>
      <c r="Q134" s="101"/>
      <c r="R134" s="101"/>
      <c r="S134" s="101"/>
      <c r="T134" s="147"/>
      <c r="U134" s="101"/>
      <c r="V134" s="147"/>
      <c r="W134" s="101"/>
      <c r="X134" s="101"/>
      <c r="Y134" s="101"/>
      <c r="Z134" s="101"/>
      <c r="AA134" s="147"/>
      <c r="AB134" s="101"/>
      <c r="AC134" s="148"/>
      <c r="AD134" s="101"/>
      <c r="AE134" s="148"/>
      <c r="AF134" s="148"/>
      <c r="AG134" s="66">
        <f t="shared" si="9"/>
        <v>0</v>
      </c>
      <c r="AH134" s="87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88" t="str">
        <f t="shared" si="10"/>
        <v>Nina</v>
      </c>
      <c r="AJ134" s="91"/>
    </row>
    <row r="135" spans="1:36" ht="18" customHeight="1">
      <c r="A135" s="101" t="s">
        <v>58</v>
      </c>
      <c r="B135" s="102" t="s">
        <v>141</v>
      </c>
      <c r="C135" s="147"/>
      <c r="D135" s="145"/>
      <c r="E135" s="101"/>
      <c r="F135" s="147"/>
      <c r="G135" s="101"/>
      <c r="H135" s="147"/>
      <c r="I135" s="101"/>
      <c r="J135" s="101"/>
      <c r="K135" s="147"/>
      <c r="L135" s="101"/>
      <c r="M135" s="147"/>
      <c r="N135" s="147"/>
      <c r="O135" s="147"/>
      <c r="P135" s="101"/>
      <c r="Q135" s="101"/>
      <c r="R135" s="101"/>
      <c r="S135" s="101"/>
      <c r="T135" s="147"/>
      <c r="U135" s="101"/>
      <c r="V135" s="147"/>
      <c r="W135" s="101"/>
      <c r="X135" s="101"/>
      <c r="Y135" s="101"/>
      <c r="Z135" s="101"/>
      <c r="AA135" s="147"/>
      <c r="AB135" s="101"/>
      <c r="AC135" s="148"/>
      <c r="AD135" s="101"/>
      <c r="AE135" s="148"/>
      <c r="AF135" s="148"/>
      <c r="AG135" s="66">
        <f t="shared" si="9"/>
        <v>0</v>
      </c>
      <c r="AH135" s="87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88" t="str">
        <f t="shared" si="10"/>
        <v>Cindy</v>
      </c>
      <c r="AJ135" s="91"/>
    </row>
    <row r="136" spans="1:36" ht="18" customHeight="1">
      <c r="A136" s="101" t="s">
        <v>58</v>
      </c>
      <c r="B136" s="102" t="s">
        <v>142</v>
      </c>
      <c r="C136" s="147"/>
      <c r="D136" s="145"/>
      <c r="E136" s="101"/>
      <c r="F136" s="147"/>
      <c r="G136" s="101"/>
      <c r="H136" s="147"/>
      <c r="I136" s="101"/>
      <c r="J136" s="101"/>
      <c r="K136" s="147"/>
      <c r="L136" s="101"/>
      <c r="M136" s="147"/>
      <c r="N136" s="147"/>
      <c r="O136" s="147"/>
      <c r="P136" s="101"/>
      <c r="Q136" s="101"/>
      <c r="R136" s="101"/>
      <c r="S136" s="101"/>
      <c r="T136" s="147"/>
      <c r="U136" s="101"/>
      <c r="V136" s="147"/>
      <c r="W136" s="101"/>
      <c r="X136" s="101"/>
      <c r="Y136" s="101"/>
      <c r="Z136" s="101"/>
      <c r="AA136" s="147"/>
      <c r="AB136" s="101"/>
      <c r="AC136" s="148"/>
      <c r="AD136" s="101"/>
      <c r="AE136" s="148"/>
      <c r="AF136" s="148"/>
      <c r="AG136" s="66">
        <f t="shared" si="9"/>
        <v>0</v>
      </c>
      <c r="AH136" s="87" t="e">
        <f ca="1">IF(A136="O", (VALUE(_xludf.IFS(AG136=0,"0",AG136=1,"150",AG136=2,"300",AG136=3,"450",AG136=4,"600",AG136=5,"750",AG136&gt;=6,"800"))),(VALUE(_xludf.IFS(AG136=0,"0",AG136=1,"150",AG136=2,"300",AG136=3,"450",AG136=4,"600",AG136=5,"750",AG136=6,"900",AG136&gt;=7,"1,000"))))</f>
        <v>#NAME?</v>
      </c>
      <c r="AI136" s="88" t="str">
        <f t="shared" si="10"/>
        <v>如靜</v>
      </c>
      <c r="AJ136" s="91"/>
    </row>
    <row r="137" spans="1:36" ht="18" customHeight="1">
      <c r="A137" s="101" t="s">
        <v>58</v>
      </c>
      <c r="B137" s="102" t="s">
        <v>143</v>
      </c>
      <c r="C137" s="147"/>
      <c r="D137" s="145"/>
      <c r="E137" s="101"/>
      <c r="F137" s="147"/>
      <c r="G137" s="101"/>
      <c r="H137" s="147"/>
      <c r="I137" s="101"/>
      <c r="J137" s="101"/>
      <c r="K137" s="147"/>
      <c r="L137" s="101"/>
      <c r="M137" s="147"/>
      <c r="N137" s="147"/>
      <c r="O137" s="147"/>
      <c r="P137" s="101"/>
      <c r="Q137" s="101"/>
      <c r="R137" s="101"/>
      <c r="S137" s="101"/>
      <c r="T137" s="147"/>
      <c r="U137" s="101"/>
      <c r="V137" s="147"/>
      <c r="W137" s="101"/>
      <c r="X137" s="101"/>
      <c r="Y137" s="101"/>
      <c r="Z137" s="101"/>
      <c r="AA137" s="147"/>
      <c r="AB137" s="101"/>
      <c r="AC137" s="148"/>
      <c r="AD137" s="101"/>
      <c r="AE137" s="148"/>
      <c r="AF137" s="148"/>
      <c r="AG137" s="66">
        <f t="shared" si="9"/>
        <v>0</v>
      </c>
      <c r="AH137" s="87" t="e">
        <f ca="1">IF(A137="O", (VALUE(_xludf.IFS(AG137=0,"0",AG137=1,"150",AG137=2,"300",AG137=3,"450",AG137=4,"600",AG137=5,"750",AG137&gt;=6,"800"))),(VALUE(_xludf.IFS(AG137=0,"0",AG137=1,"150",AG137=2,"300",AG137=3,"450",AG137=4,"600",AG137=5,"750",AG137=6,"900",AG137&gt;=7,"1,000"))))</f>
        <v>#NAME?</v>
      </c>
      <c r="AI137" s="88" t="str">
        <f t="shared" si="10"/>
        <v>毓玫</v>
      </c>
      <c r="AJ137" s="91"/>
    </row>
    <row r="138" spans="1:36" ht="18" customHeight="1">
      <c r="A138" s="101" t="s">
        <v>58</v>
      </c>
      <c r="B138" s="102" t="s">
        <v>144</v>
      </c>
      <c r="C138" s="147"/>
      <c r="D138" s="145"/>
      <c r="E138" s="101"/>
      <c r="F138" s="147"/>
      <c r="G138" s="101"/>
      <c r="H138" s="147"/>
      <c r="I138" s="101"/>
      <c r="J138" s="101"/>
      <c r="K138" s="147"/>
      <c r="L138" s="101"/>
      <c r="M138" s="147"/>
      <c r="N138" s="147"/>
      <c r="O138" s="147"/>
      <c r="P138" s="101"/>
      <c r="Q138" s="101"/>
      <c r="R138" s="101"/>
      <c r="S138" s="101"/>
      <c r="T138" s="147"/>
      <c r="U138" s="101"/>
      <c r="V138" s="147"/>
      <c r="W138" s="101"/>
      <c r="X138" s="101"/>
      <c r="Y138" s="101"/>
      <c r="Z138" s="101"/>
      <c r="AA138" s="147"/>
      <c r="AB138" s="101"/>
      <c r="AC138" s="148"/>
      <c r="AD138" s="101"/>
      <c r="AE138" s="148"/>
      <c r="AF138" s="148"/>
      <c r="AG138" s="66">
        <f t="shared" si="9"/>
        <v>0</v>
      </c>
      <c r="AH138" s="87" t="e">
        <f ca="1">IF(A138="O", (VALUE(_xludf.IFS(AG138=0,"0",AG138=1,"150",AG138=2,"300",AG138=3,"450",AG138=4,"600",AG138=5,"750",AG138&gt;=6,"800"))),(VALUE(_xludf.IFS(AG138=0,"0",AG138=1,"150",AG138=2,"300",AG138=3,"450",AG138=4,"600",AG138=5,"750",AG138=6,"900",AG138&gt;=7,"1,000"))))</f>
        <v>#NAME?</v>
      </c>
      <c r="AI138" s="88" t="str">
        <f t="shared" si="10"/>
        <v>美枝</v>
      </c>
      <c r="AJ138" s="91"/>
    </row>
    <row r="139" spans="1:36" ht="18" customHeight="1">
      <c r="A139" s="101" t="s">
        <v>58</v>
      </c>
      <c r="B139" s="102" t="s">
        <v>145</v>
      </c>
      <c r="C139" s="147"/>
      <c r="D139" s="145"/>
      <c r="E139" s="101"/>
      <c r="F139" s="147"/>
      <c r="G139" s="101"/>
      <c r="H139" s="147"/>
      <c r="I139" s="101"/>
      <c r="J139" s="101"/>
      <c r="K139" s="147"/>
      <c r="L139" s="101"/>
      <c r="M139" s="147"/>
      <c r="N139" s="147"/>
      <c r="O139" s="147"/>
      <c r="P139" s="101"/>
      <c r="Q139" s="101"/>
      <c r="R139" s="101"/>
      <c r="S139" s="101"/>
      <c r="T139" s="147"/>
      <c r="U139" s="101"/>
      <c r="V139" s="147"/>
      <c r="W139" s="101"/>
      <c r="X139" s="101"/>
      <c r="Y139" s="101"/>
      <c r="Z139" s="101"/>
      <c r="AA139" s="147"/>
      <c r="AB139" s="101"/>
      <c r="AC139" s="148"/>
      <c r="AD139" s="101"/>
      <c r="AE139" s="148"/>
      <c r="AF139" s="148"/>
      <c r="AG139" s="66">
        <f t="shared" si="9"/>
        <v>0</v>
      </c>
      <c r="AH139" s="87" t="e">
        <f ca="1">IF(A139="O", (VALUE(_xludf.IFS(AG139=0,"0",AG139=1,"150",AG139=2,"300",AG139=3,"450",AG139=4,"600",AG139=5,"750",AG139&gt;=6,"800"))),(VALUE(_xludf.IFS(AG139=0,"0",AG139=1,"150",AG139=2,"300",AG139=3,"450",AG139=4,"600",AG139=5,"750",AG139=6,"900",AG139&gt;=7,"1,000"))))</f>
        <v>#NAME?</v>
      </c>
      <c r="AI139" s="88" t="str">
        <f t="shared" si="10"/>
        <v>魯魯咪</v>
      </c>
      <c r="AJ139" s="91"/>
    </row>
    <row r="140" spans="1:36" ht="18" customHeight="1">
      <c r="A140" s="120" t="s">
        <v>58</v>
      </c>
      <c r="B140" s="121" t="s">
        <v>41</v>
      </c>
      <c r="C140" s="147"/>
      <c r="D140" s="145"/>
      <c r="E140" s="120"/>
      <c r="F140" s="147"/>
      <c r="G140" s="120"/>
      <c r="H140" s="147"/>
      <c r="I140" s="120"/>
      <c r="J140" s="120"/>
      <c r="K140" s="147"/>
      <c r="L140" s="120"/>
      <c r="M140" s="147"/>
      <c r="N140" s="147"/>
      <c r="O140" s="147"/>
      <c r="P140" s="120"/>
      <c r="Q140" s="120"/>
      <c r="R140" s="120"/>
      <c r="S140" s="120"/>
      <c r="T140" s="147"/>
      <c r="U140" s="120"/>
      <c r="V140" s="147"/>
      <c r="W140" s="120"/>
      <c r="X140" s="120"/>
      <c r="Y140" s="120"/>
      <c r="Z140" s="120"/>
      <c r="AA140" s="147"/>
      <c r="AB140" s="120"/>
      <c r="AC140" s="148"/>
      <c r="AD140" s="120"/>
      <c r="AE140" s="148"/>
      <c r="AF140" s="148"/>
      <c r="AG140" s="66">
        <f t="shared" si="9"/>
        <v>0</v>
      </c>
      <c r="AH140" s="108" t="e">
        <f ca="1">IF(A140="O", (VALUE(_xludf.IFS(AG140=0,"0",AG140=1,"150",AG140=2,"300",AG140=3,"450",AG140=4,"600",AG140=5,"750",AG140&gt;=6,"800"))),(VALUE(_xludf.IFS(AG140=0,"0",AG140=1,"150",AG140=2,"300",AG140=3,"450",AG140=4,"600",AG140=5,"750",AG140=6,"900",AG140&gt;=7,"1,000"))))</f>
        <v>#NAME?</v>
      </c>
      <c r="AI140" s="109" t="str">
        <f t="shared" si="10"/>
        <v>軟軟</v>
      </c>
      <c r="AJ140" s="110"/>
    </row>
    <row r="141" spans="1:36" ht="18" customHeight="1">
      <c r="A141" s="120" t="s">
        <v>58</v>
      </c>
      <c r="B141" s="121" t="s">
        <v>42</v>
      </c>
      <c r="C141" s="147"/>
      <c r="D141" s="145"/>
      <c r="E141" s="120"/>
      <c r="F141" s="147"/>
      <c r="G141" s="120"/>
      <c r="H141" s="147"/>
      <c r="I141" s="120"/>
      <c r="J141" s="120"/>
      <c r="K141" s="147"/>
      <c r="L141" s="120"/>
      <c r="M141" s="147"/>
      <c r="N141" s="147"/>
      <c r="O141" s="147"/>
      <c r="P141" s="120"/>
      <c r="Q141" s="120"/>
      <c r="R141" s="120"/>
      <c r="S141" s="120"/>
      <c r="T141" s="147"/>
      <c r="U141" s="120"/>
      <c r="V141" s="147"/>
      <c r="W141" s="120"/>
      <c r="X141" s="120"/>
      <c r="Y141" s="120"/>
      <c r="Z141" s="120"/>
      <c r="AA141" s="147"/>
      <c r="AB141" s="120"/>
      <c r="AC141" s="148"/>
      <c r="AD141" s="120"/>
      <c r="AE141" s="148"/>
      <c r="AF141" s="148"/>
      <c r="AG141" s="66">
        <f t="shared" si="9"/>
        <v>0</v>
      </c>
      <c r="AH141" s="108" t="e">
        <f ca="1">IF(A141="O", (VALUE(_xludf.IFS(AG141=0,"0",AG141=1,"150",AG141=2,"300",AG141=3,"450",AG141=4,"600",AG141=5,"750",AG141&gt;=6,"800"))),(VALUE(_xludf.IFS(AG141=0,"0",AG141=1,"150",AG141=2,"300",AG141=3,"450",AG141=4,"600",AG141=5,"750",AG141=6,"900",AG141&gt;=7,"1,000"))))</f>
        <v>#NAME?</v>
      </c>
      <c r="AI141" s="109" t="str">
        <f t="shared" si="10"/>
        <v>屎蛋</v>
      </c>
      <c r="AJ141" s="110"/>
    </row>
  </sheetData>
  <autoFilter ref="AG4:AI141" xr:uid="{00000000-0009-0000-0000-000015000000}"/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41">
    <cfRule type="expression" dxfId="13" priority="1">
      <formula>COUNTIF($B:$B,$B2)&gt;1</formula>
    </cfRule>
  </conditionalFormatting>
  <dataValidations count="1">
    <dataValidation type="list" allowBlank="1" showDropDown="1" showErrorMessage="1" sqref="C1:AF1" xr:uid="{00000000-0002-0000-15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A9999"/>
    <outlinePr summaryBelow="0" summaryRight="0"/>
    <pageSetUpPr fitToPage="1"/>
  </sheetPr>
  <dimension ref="A1:AJ141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 t="s">
        <v>13</v>
      </c>
      <c r="D1" s="126" t="s">
        <v>219</v>
      </c>
      <c r="E1" s="126" t="s">
        <v>13</v>
      </c>
      <c r="F1" s="51" t="s">
        <v>219</v>
      </c>
      <c r="G1" s="126" t="s">
        <v>22</v>
      </c>
      <c r="H1" s="51" t="s">
        <v>19</v>
      </c>
      <c r="I1" s="126" t="s">
        <v>219</v>
      </c>
      <c r="J1" s="126" t="s">
        <v>13</v>
      </c>
      <c r="K1" s="126" t="s">
        <v>219</v>
      </c>
      <c r="L1" s="126" t="s">
        <v>184</v>
      </c>
      <c r="M1" s="51" t="s">
        <v>14</v>
      </c>
      <c r="N1" s="126" t="s">
        <v>22</v>
      </c>
      <c r="O1" s="51" t="s">
        <v>19</v>
      </c>
      <c r="P1" s="126" t="s">
        <v>219</v>
      </c>
      <c r="Q1" s="126" t="s">
        <v>22</v>
      </c>
      <c r="R1" s="126" t="s">
        <v>219</v>
      </c>
      <c r="S1" s="126" t="s">
        <v>22</v>
      </c>
      <c r="T1" s="51" t="s">
        <v>22</v>
      </c>
      <c r="U1" s="126" t="s">
        <v>22</v>
      </c>
      <c r="V1" s="51" t="s">
        <v>19</v>
      </c>
      <c r="W1" s="126" t="s">
        <v>219</v>
      </c>
      <c r="X1" s="126" t="s">
        <v>13</v>
      </c>
      <c r="Y1" s="126" t="s">
        <v>219</v>
      </c>
      <c r="Z1" s="126" t="s">
        <v>184</v>
      </c>
      <c r="AA1" s="51" t="s">
        <v>14</v>
      </c>
      <c r="AB1" s="126" t="s">
        <v>22</v>
      </c>
      <c r="AC1" s="126" t="s">
        <v>219</v>
      </c>
      <c r="AD1" s="126" t="s">
        <v>219</v>
      </c>
      <c r="AE1" s="126"/>
      <c r="AF1" s="126"/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45689</v>
      </c>
      <c r="D2" s="55">
        <v>45690</v>
      </c>
      <c r="E2" s="55">
        <v>45691</v>
      </c>
      <c r="F2" s="55">
        <v>45717</v>
      </c>
      <c r="G2" s="55">
        <v>45718</v>
      </c>
      <c r="H2" s="55">
        <v>45719</v>
      </c>
      <c r="I2" s="55">
        <v>45720</v>
      </c>
      <c r="J2" s="55">
        <v>45721</v>
      </c>
      <c r="K2" s="55">
        <v>45722</v>
      </c>
      <c r="L2" s="55">
        <v>45723</v>
      </c>
      <c r="M2" s="55">
        <v>45724</v>
      </c>
      <c r="N2" s="55">
        <v>45725</v>
      </c>
      <c r="O2" s="55">
        <v>45726</v>
      </c>
      <c r="P2" s="55">
        <v>45727</v>
      </c>
      <c r="Q2" s="55">
        <v>45728</v>
      </c>
      <c r="R2" s="55">
        <v>45729</v>
      </c>
      <c r="S2" s="55">
        <v>45730</v>
      </c>
      <c r="T2" s="55">
        <v>45731</v>
      </c>
      <c r="U2" s="55">
        <v>45732</v>
      </c>
      <c r="V2" s="55">
        <v>45733</v>
      </c>
      <c r="W2" s="55">
        <v>45734</v>
      </c>
      <c r="X2" s="55">
        <v>45735</v>
      </c>
      <c r="Y2" s="55">
        <v>45736</v>
      </c>
      <c r="Z2" s="55">
        <v>45737</v>
      </c>
      <c r="AA2" s="55">
        <v>45738</v>
      </c>
      <c r="AB2" s="55">
        <v>45739</v>
      </c>
      <c r="AC2" s="55">
        <v>45740</v>
      </c>
      <c r="AD2" s="55">
        <v>45741</v>
      </c>
      <c r="AE2" s="55">
        <v>45742</v>
      </c>
      <c r="AF2" s="55">
        <v>45743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D3" si="0">WEEKDAY(C2-1)</f>
        <v>6</v>
      </c>
      <c r="D3" s="152">
        <f t="shared" si="0"/>
        <v>7</v>
      </c>
      <c r="E3" s="126">
        <f t="shared" si="0"/>
        <v>1</v>
      </c>
      <c r="F3" s="51">
        <f t="shared" si="0"/>
        <v>6</v>
      </c>
      <c r="G3" s="126">
        <f t="shared" si="0"/>
        <v>7</v>
      </c>
      <c r="H3" s="51">
        <f t="shared" si="0"/>
        <v>1</v>
      </c>
      <c r="I3" s="126">
        <f t="shared" si="0"/>
        <v>2</v>
      </c>
      <c r="J3" s="126">
        <f t="shared" si="0"/>
        <v>3</v>
      </c>
      <c r="K3" s="126">
        <f t="shared" si="0"/>
        <v>4</v>
      </c>
      <c r="L3" s="126">
        <f t="shared" si="0"/>
        <v>5</v>
      </c>
      <c r="M3" s="51">
        <f t="shared" si="0"/>
        <v>6</v>
      </c>
      <c r="N3" s="126">
        <f t="shared" si="0"/>
        <v>7</v>
      </c>
      <c r="O3" s="51">
        <f t="shared" si="0"/>
        <v>1</v>
      </c>
      <c r="P3" s="126">
        <f t="shared" si="0"/>
        <v>2</v>
      </c>
      <c r="Q3" s="126">
        <f t="shared" si="0"/>
        <v>3</v>
      </c>
      <c r="R3" s="126">
        <f t="shared" si="0"/>
        <v>4</v>
      </c>
      <c r="S3" s="126">
        <f t="shared" si="0"/>
        <v>5</v>
      </c>
      <c r="T3" s="51">
        <f t="shared" si="0"/>
        <v>6</v>
      </c>
      <c r="U3" s="126">
        <f t="shared" si="0"/>
        <v>7</v>
      </c>
      <c r="V3" s="51">
        <f t="shared" si="0"/>
        <v>1</v>
      </c>
      <c r="W3" s="126">
        <f t="shared" si="0"/>
        <v>2</v>
      </c>
      <c r="X3" s="126">
        <f t="shared" si="0"/>
        <v>3</v>
      </c>
      <c r="Y3" s="126">
        <f t="shared" si="0"/>
        <v>4</v>
      </c>
      <c r="Z3" s="126">
        <f t="shared" si="0"/>
        <v>5</v>
      </c>
      <c r="AA3" s="51">
        <f t="shared" si="0"/>
        <v>6</v>
      </c>
      <c r="AB3" s="126">
        <f t="shared" si="0"/>
        <v>7</v>
      </c>
      <c r="AC3" s="126">
        <f t="shared" si="0"/>
        <v>1</v>
      </c>
      <c r="AD3" s="126">
        <f t="shared" si="0"/>
        <v>2</v>
      </c>
      <c r="AE3" s="126"/>
      <c r="AF3" s="126"/>
      <c r="AG3" s="283"/>
      <c r="AH3" s="278"/>
      <c r="AI3" s="273"/>
      <c r="AJ3" s="62" t="e">
        <f ca="1">SUM(AH4:AH142)</f>
        <v>#NAME?</v>
      </c>
    </row>
    <row r="4" spans="1:36" ht="18" customHeight="1">
      <c r="A4" s="92" t="s">
        <v>174</v>
      </c>
      <c r="B4" s="93" t="s">
        <v>10</v>
      </c>
      <c r="C4" s="149"/>
      <c r="D4" s="150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6"/>
      <c r="AE4" s="146"/>
      <c r="AF4" s="146"/>
      <c r="AG4" s="66">
        <v>0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1">B4</f>
        <v>阿發</v>
      </c>
      <c r="AJ4" s="70"/>
    </row>
    <row r="5" spans="1:36" ht="18" customHeight="1">
      <c r="A5" s="95" t="s">
        <v>174</v>
      </c>
      <c r="B5" s="122" t="s">
        <v>11</v>
      </c>
      <c r="C5" s="151"/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48"/>
      <c r="AE5" s="148"/>
      <c r="AF5" s="148"/>
      <c r="AG5" s="66">
        <v>12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1"/>
        <v>捷升</v>
      </c>
      <c r="AJ5" s="70"/>
    </row>
    <row r="6" spans="1:36" ht="18" customHeight="1">
      <c r="A6" s="95" t="s">
        <v>174</v>
      </c>
      <c r="B6" s="122" t="s">
        <v>14</v>
      </c>
      <c r="C6" s="151"/>
      <c r="D6" s="150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48"/>
      <c r="AE6" s="148"/>
      <c r="AF6" s="148"/>
      <c r="AG6" s="66">
        <v>10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1"/>
        <v>曉明</v>
      </c>
      <c r="AJ6" s="70"/>
    </row>
    <row r="7" spans="1:36" ht="18" customHeight="1">
      <c r="A7" s="95" t="s">
        <v>174</v>
      </c>
      <c r="B7" s="96" t="s">
        <v>15</v>
      </c>
      <c r="C7" s="151"/>
      <c r="D7" s="150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48"/>
      <c r="AE7" s="148"/>
      <c r="AF7" s="148"/>
      <c r="AG7" s="66">
        <v>7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1"/>
        <v>大支</v>
      </c>
      <c r="AJ7" s="70"/>
    </row>
    <row r="8" spans="1:36" ht="18" customHeight="1">
      <c r="A8" s="95" t="s">
        <v>174</v>
      </c>
      <c r="B8" s="96" t="s">
        <v>16</v>
      </c>
      <c r="C8" s="151"/>
      <c r="D8" s="1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48"/>
      <c r="AE8" s="148"/>
      <c r="AF8" s="148"/>
      <c r="AG8" s="66">
        <v>5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1"/>
        <v>弼善</v>
      </c>
      <c r="AJ8" s="70"/>
    </row>
    <row r="9" spans="1:36" ht="18" customHeight="1">
      <c r="A9" s="95" t="s">
        <v>174</v>
      </c>
      <c r="B9" s="96" t="s">
        <v>17</v>
      </c>
      <c r="C9" s="151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48"/>
      <c r="AE9" s="148"/>
      <c r="AF9" s="148"/>
      <c r="AG9" s="66">
        <v>10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1"/>
        <v>光曜</v>
      </c>
      <c r="AJ9" s="70"/>
    </row>
    <row r="10" spans="1:36" ht="18" customHeight="1">
      <c r="A10" s="95" t="s">
        <v>174</v>
      </c>
      <c r="B10" s="122" t="s">
        <v>13</v>
      </c>
      <c r="C10" s="151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48"/>
      <c r="AE10" s="148"/>
      <c r="AF10" s="148"/>
      <c r="AG10" s="66">
        <v>13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1"/>
        <v>李洋</v>
      </c>
      <c r="AJ10" s="70"/>
    </row>
    <row r="11" spans="1:36" ht="18" customHeight="1">
      <c r="A11" s="95" t="s">
        <v>174</v>
      </c>
      <c r="B11" s="96" t="s">
        <v>18</v>
      </c>
      <c r="C11" s="151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48"/>
      <c r="AE11" s="148"/>
      <c r="AF11" s="148"/>
      <c r="AG11" s="66">
        <v>7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1"/>
        <v>皓元</v>
      </c>
      <c r="AJ11" s="70"/>
    </row>
    <row r="12" spans="1:36" ht="18" customHeight="1">
      <c r="A12" s="95" t="s">
        <v>174</v>
      </c>
      <c r="B12" s="122" t="s">
        <v>19</v>
      </c>
      <c r="C12" s="151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48"/>
      <c r="AE12" s="148"/>
      <c r="AF12" s="148"/>
      <c r="AG12" s="66">
        <v>9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1"/>
        <v>青蛙</v>
      </c>
      <c r="AJ12" s="70"/>
    </row>
    <row r="13" spans="1:36" ht="18" customHeight="1">
      <c r="A13" s="95" t="s">
        <v>174</v>
      </c>
      <c r="B13" s="96" t="s">
        <v>61</v>
      </c>
      <c r="C13" s="151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48"/>
      <c r="AE13" s="148"/>
      <c r="AF13" s="148"/>
      <c r="AG13" s="66">
        <v>3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1"/>
        <v>韋融</v>
      </c>
      <c r="AJ13" s="70"/>
    </row>
    <row r="14" spans="1:36" ht="18" customHeight="1">
      <c r="A14" s="95" t="s">
        <v>174</v>
      </c>
      <c r="B14" s="96" t="s">
        <v>175</v>
      </c>
      <c r="C14" s="151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48"/>
      <c r="AE14" s="148"/>
      <c r="AF14" s="148"/>
      <c r="AG14" s="66">
        <v>9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1"/>
        <v>咪咪</v>
      </c>
      <c r="AJ14" s="70"/>
    </row>
    <row r="15" spans="1:36" ht="18" customHeight="1">
      <c r="A15" s="95" t="s">
        <v>174</v>
      </c>
      <c r="B15" s="96" t="s">
        <v>20</v>
      </c>
      <c r="C15" s="151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48"/>
      <c r="AE15" s="148"/>
      <c r="AF15" s="148"/>
      <c r="AG15" s="66">
        <v>11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1"/>
        <v>港弟</v>
      </c>
      <c r="AJ15" s="70"/>
    </row>
    <row r="16" spans="1:36" ht="18" customHeight="1">
      <c r="A16" s="95" t="s">
        <v>174</v>
      </c>
      <c r="B16" s="96" t="s">
        <v>21</v>
      </c>
      <c r="C16" s="151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48"/>
      <c r="AE16" s="148"/>
      <c r="AF16" s="148"/>
      <c r="AG16" s="66">
        <v>5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1"/>
        <v>晧全</v>
      </c>
      <c r="AJ16" s="70"/>
    </row>
    <row r="17" spans="1:36" ht="18" customHeight="1">
      <c r="A17" s="95" t="s">
        <v>174</v>
      </c>
      <c r="B17" s="96" t="s">
        <v>22</v>
      </c>
      <c r="C17" s="151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48"/>
      <c r="AE17" s="148"/>
      <c r="AF17" s="148"/>
      <c r="AG17" s="66">
        <v>10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1"/>
        <v>Mars</v>
      </c>
      <c r="AJ17" s="70"/>
    </row>
    <row r="18" spans="1:36" ht="18" customHeight="1">
      <c r="A18" s="99" t="s">
        <v>174</v>
      </c>
      <c r="B18" s="100" t="s">
        <v>89</v>
      </c>
      <c r="C18" s="99"/>
      <c r="D18" s="132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148"/>
      <c r="AE18" s="148"/>
      <c r="AF18" s="148"/>
      <c r="AG18" s="66">
        <v>5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1"/>
        <v>泡芙</v>
      </c>
      <c r="AJ18" s="80"/>
    </row>
    <row r="19" spans="1:36" ht="18" customHeight="1">
      <c r="A19" s="99" t="s">
        <v>174</v>
      </c>
      <c r="B19" s="100" t="s">
        <v>90</v>
      </c>
      <c r="C19" s="99"/>
      <c r="D19" s="13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148"/>
      <c r="AE19" s="148"/>
      <c r="AF19" s="148"/>
      <c r="AG19" s="66">
        <v>5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1"/>
        <v>蓓蓓</v>
      </c>
      <c r="AJ19" s="80"/>
    </row>
    <row r="20" spans="1:36" ht="18" customHeight="1">
      <c r="A20" s="99" t="s">
        <v>174</v>
      </c>
      <c r="B20" s="100" t="s">
        <v>91</v>
      </c>
      <c r="C20" s="99"/>
      <c r="D20" s="132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148"/>
      <c r="AE20" s="148"/>
      <c r="AF20" s="148"/>
      <c r="AG20" s="66">
        <v>3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1"/>
        <v>柔柔</v>
      </c>
      <c r="AJ20" s="80"/>
    </row>
    <row r="21" spans="1:36" ht="18" customHeight="1">
      <c r="A21" s="99" t="s">
        <v>174</v>
      </c>
      <c r="B21" s="100" t="s">
        <v>92</v>
      </c>
      <c r="C21" s="99"/>
      <c r="D21" s="132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148"/>
      <c r="AE21" s="148"/>
      <c r="AF21" s="148"/>
      <c r="AG21" s="66">
        <v>7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1"/>
        <v>婉晴</v>
      </c>
      <c r="AJ21" s="80"/>
    </row>
    <row r="22" spans="1:36" ht="18" customHeight="1">
      <c r="A22" s="99" t="s">
        <v>174</v>
      </c>
      <c r="B22" s="100" t="s">
        <v>93</v>
      </c>
      <c r="C22" s="99"/>
      <c r="D22" s="132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148"/>
      <c r="AE22" s="148"/>
      <c r="AF22" s="148"/>
      <c r="AG22" s="66">
        <v>9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1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132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148"/>
      <c r="AE23" s="148"/>
      <c r="AF23" s="148"/>
      <c r="AG23" s="66">
        <v>4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1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132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148"/>
      <c r="AE24" s="148"/>
      <c r="AF24" s="148"/>
      <c r="AG24" s="66">
        <v>7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1"/>
        <v>高麗菜</v>
      </c>
      <c r="AJ24" s="80"/>
    </row>
    <row r="25" spans="1:36" ht="18" customHeight="1">
      <c r="A25" s="99" t="s">
        <v>174</v>
      </c>
      <c r="B25" s="100" t="s">
        <v>113</v>
      </c>
      <c r="C25" s="99"/>
      <c r="D25" s="132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148"/>
      <c r="AE25" s="148"/>
      <c r="AF25" s="148"/>
      <c r="AG25" s="66">
        <v>2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1"/>
        <v>容容</v>
      </c>
      <c r="AJ25" s="82"/>
    </row>
    <row r="26" spans="1:36" ht="18" customHeight="1">
      <c r="A26" s="99" t="s">
        <v>174</v>
      </c>
      <c r="B26" s="100" t="s">
        <v>94</v>
      </c>
      <c r="C26" s="99"/>
      <c r="D26" s="132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148"/>
      <c r="AE26" s="148"/>
      <c r="AF26" s="148"/>
      <c r="AG26" s="66">
        <v>4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1"/>
        <v>小花</v>
      </c>
      <c r="AJ26" s="80"/>
    </row>
    <row r="27" spans="1:36" ht="18" customHeight="1">
      <c r="A27" s="99" t="s">
        <v>174</v>
      </c>
      <c r="B27" s="100" t="s">
        <v>95</v>
      </c>
      <c r="C27" s="99"/>
      <c r="D27" s="132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148"/>
      <c r="AE27" s="148"/>
      <c r="AF27" s="148"/>
      <c r="AG27" s="66">
        <v>6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1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148"/>
      <c r="AE28" s="148"/>
      <c r="AF28" s="148"/>
      <c r="AG28" s="66">
        <v>4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1"/>
        <v>飛飛</v>
      </c>
      <c r="AJ28" s="81"/>
    </row>
    <row r="29" spans="1:36" ht="18" customHeight="1">
      <c r="A29" s="99" t="s">
        <v>174</v>
      </c>
      <c r="B29" s="100" t="s">
        <v>147</v>
      </c>
      <c r="C29" s="99"/>
      <c r="D29" s="132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148"/>
      <c r="AE29" s="148"/>
      <c r="AF29" s="148"/>
      <c r="AG29" s="66">
        <v>0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1"/>
        <v>湘苡</v>
      </c>
      <c r="AJ29" s="80"/>
    </row>
    <row r="30" spans="1:36" ht="18" customHeight="1">
      <c r="A30" s="99" t="s">
        <v>174</v>
      </c>
      <c r="B30" s="100" t="s">
        <v>148</v>
      </c>
      <c r="C30" s="99"/>
      <c r="D30" s="132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148"/>
      <c r="AE30" s="148"/>
      <c r="AF30" s="148"/>
      <c r="AG30" s="66">
        <v>0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1"/>
        <v>雅雅</v>
      </c>
      <c r="AJ30" s="82"/>
    </row>
    <row r="31" spans="1:36" ht="18" customHeight="1">
      <c r="A31" s="101" t="s">
        <v>174</v>
      </c>
      <c r="B31" s="102" t="s">
        <v>103</v>
      </c>
      <c r="C31" s="101"/>
      <c r="D31" s="137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48"/>
      <c r="AE31" s="148"/>
      <c r="AF31" s="148"/>
      <c r="AG31" s="66">
        <v>10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1"/>
        <v>圈圈</v>
      </c>
      <c r="AJ31" s="90"/>
    </row>
    <row r="32" spans="1:36" ht="18" customHeight="1">
      <c r="A32" s="101" t="s">
        <v>174</v>
      </c>
      <c r="B32" s="102" t="s">
        <v>104</v>
      </c>
      <c r="C32" s="101"/>
      <c r="D32" s="137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48"/>
      <c r="AE32" s="148"/>
      <c r="AF32" s="148"/>
      <c r="AG32" s="66">
        <v>2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1"/>
        <v>卡丘</v>
      </c>
      <c r="AJ32" s="90"/>
    </row>
    <row r="33" spans="1:36" ht="18" customHeight="1">
      <c r="A33" s="101" t="s">
        <v>174</v>
      </c>
      <c r="B33" s="102" t="s">
        <v>105</v>
      </c>
      <c r="C33" s="101"/>
      <c r="D33" s="137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48"/>
      <c r="AE33" s="148"/>
      <c r="AF33" s="148"/>
      <c r="AG33" s="66">
        <v>4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1"/>
        <v>琬蓁</v>
      </c>
      <c r="AJ33" s="90"/>
    </row>
    <row r="34" spans="1:36" ht="18" customHeight="1">
      <c r="A34" s="101" t="s">
        <v>174</v>
      </c>
      <c r="B34" s="102" t="s">
        <v>116</v>
      </c>
      <c r="C34" s="101"/>
      <c r="D34" s="137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48"/>
      <c r="AE34" s="148"/>
      <c r="AF34" s="148"/>
      <c r="AG34" s="66">
        <v>1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1"/>
        <v>大汪</v>
      </c>
      <c r="AJ34" s="89"/>
    </row>
    <row r="35" spans="1:36" ht="18" customHeight="1">
      <c r="A35" s="101" t="s">
        <v>174</v>
      </c>
      <c r="B35" s="102" t="s">
        <v>117</v>
      </c>
      <c r="C35" s="101"/>
      <c r="D35" s="137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48"/>
      <c r="AE35" s="148"/>
      <c r="AF35" s="148"/>
      <c r="AG35" s="66">
        <v>0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1"/>
        <v>依凡</v>
      </c>
      <c r="AJ35" s="89"/>
    </row>
    <row r="36" spans="1:36" ht="18" customHeight="1">
      <c r="A36" s="101" t="s">
        <v>174</v>
      </c>
      <c r="B36" s="102" t="s">
        <v>118</v>
      </c>
      <c r="C36" s="101"/>
      <c r="D36" s="137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48"/>
      <c r="AE36" s="148"/>
      <c r="AF36" s="148"/>
      <c r="AG36" s="66"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2">B36</f>
        <v>雅筑</v>
      </c>
      <c r="AJ36" s="89"/>
    </row>
    <row r="37" spans="1:36" ht="18" customHeight="1">
      <c r="A37" s="101" t="s">
        <v>174</v>
      </c>
      <c r="B37" s="102" t="s">
        <v>119</v>
      </c>
      <c r="C37" s="101"/>
      <c r="D37" s="137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48"/>
      <c r="AE37" s="148"/>
      <c r="AF37" s="148"/>
      <c r="AG37" s="66">
        <v>0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2"/>
        <v>ABBY</v>
      </c>
      <c r="AJ37" s="90"/>
    </row>
    <row r="38" spans="1:36" ht="18" customHeight="1">
      <c r="A38" s="101" t="s">
        <v>174</v>
      </c>
      <c r="B38" s="102" t="s">
        <v>120</v>
      </c>
      <c r="C38" s="101"/>
      <c r="D38" s="137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48"/>
      <c r="AE38" s="148"/>
      <c r="AF38" s="148"/>
      <c r="AG38" s="66">
        <v>0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2"/>
        <v>品君</v>
      </c>
      <c r="AJ38" s="90"/>
    </row>
    <row r="39" spans="1:36" ht="18" customHeight="1">
      <c r="A39" s="101" t="s">
        <v>174</v>
      </c>
      <c r="B39" s="102" t="s">
        <v>121</v>
      </c>
      <c r="C39" s="101"/>
      <c r="D39" s="137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48"/>
      <c r="AE39" s="148"/>
      <c r="AF39" s="148"/>
      <c r="AG39" s="66">
        <v>13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2"/>
        <v>冰沙</v>
      </c>
      <c r="AJ39" s="90"/>
    </row>
    <row r="40" spans="1:36" ht="18" customHeight="1">
      <c r="A40" s="101" t="s">
        <v>174</v>
      </c>
      <c r="B40" s="102" t="s">
        <v>122</v>
      </c>
      <c r="C40" s="101"/>
      <c r="D40" s="137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48"/>
      <c r="AE40" s="148"/>
      <c r="AF40" s="148"/>
      <c r="AG40" s="66">
        <v>0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2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48"/>
      <c r="AE41" s="148"/>
      <c r="AF41" s="148"/>
      <c r="AG41" s="66">
        <v>2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2"/>
        <v>瑤瑤</v>
      </c>
      <c r="AJ41" s="89"/>
    </row>
    <row r="42" spans="1:36" ht="18" customHeight="1">
      <c r="A42" s="95" t="s">
        <v>58</v>
      </c>
      <c r="B42" s="96" t="s">
        <v>23</v>
      </c>
      <c r="C42" s="120"/>
      <c r="D42" s="14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48"/>
      <c r="AE42" s="148"/>
      <c r="AF42" s="148"/>
      <c r="AG42" s="66">
        <v>6</v>
      </c>
      <c r="AH42" s="68" t="e">
        <f ca="1">(IF(A42="O", (VALUE(_xludf.IFS(AG42=0,"0",AG42=1,"150",AG42=2,"300",AG42=3,"450",AG42=4,"600",AG42=5,"750",AG42&gt;=6,"800"))),(VALUE(_xludf.IFS(AG42=0,"0",AG42=1,"150",AG42=2,"300",AG42=3,"450",AG42=4,"600",AG42=5,"750",AG42=6,"900",AG42&gt;=7,"1,000")))))</f>
        <v>#NAME?</v>
      </c>
      <c r="AI42" s="69" t="str">
        <f t="shared" si="2"/>
        <v>ㄈㄈ</v>
      </c>
      <c r="AJ42" s="73"/>
    </row>
    <row r="43" spans="1:36" ht="18" customHeight="1">
      <c r="A43" s="95" t="s">
        <v>58</v>
      </c>
      <c r="B43" s="96" t="s">
        <v>24</v>
      </c>
      <c r="C43" s="120"/>
      <c r="D43" s="14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48"/>
      <c r="AE43" s="148"/>
      <c r="AF43" s="148"/>
      <c r="AG43" s="66">
        <v>2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2"/>
        <v>大熊</v>
      </c>
      <c r="AJ43" s="73"/>
    </row>
    <row r="44" spans="1:36" ht="18" customHeight="1">
      <c r="A44" s="95" t="s">
        <v>58</v>
      </c>
      <c r="B44" s="96" t="s">
        <v>64</v>
      </c>
      <c r="C44" s="120"/>
      <c r="D44" s="14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48"/>
      <c r="AE44" s="148"/>
      <c r="AF44" s="148"/>
      <c r="AG44" s="66">
        <v>3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2"/>
        <v>園棠</v>
      </c>
      <c r="AJ44" s="73"/>
    </row>
    <row r="45" spans="1:36" ht="18" customHeight="1">
      <c r="A45" s="95" t="s">
        <v>58</v>
      </c>
      <c r="B45" s="96" t="s">
        <v>178</v>
      </c>
      <c r="C45" s="120"/>
      <c r="D45" s="14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48"/>
      <c r="AE45" s="148"/>
      <c r="AF45" s="148"/>
      <c r="AG45" s="66">
        <v>1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2"/>
        <v>Fish</v>
      </c>
      <c r="AJ45" s="73"/>
    </row>
    <row r="46" spans="1:36" ht="18" customHeight="1">
      <c r="A46" s="95" t="s">
        <v>58</v>
      </c>
      <c r="B46" s="96" t="s">
        <v>25</v>
      </c>
      <c r="C46" s="120"/>
      <c r="D46" s="14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48"/>
      <c r="AE46" s="148"/>
      <c r="AF46" s="148"/>
      <c r="AG46" s="66">
        <v>5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2"/>
        <v>潘潘</v>
      </c>
      <c r="AJ46" s="73"/>
    </row>
    <row r="47" spans="1:36" ht="18" customHeight="1">
      <c r="A47" s="95" t="s">
        <v>58</v>
      </c>
      <c r="B47" s="96" t="s">
        <v>63</v>
      </c>
      <c r="C47" s="120"/>
      <c r="D47" s="14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48"/>
      <c r="AE47" s="148"/>
      <c r="AF47" s="148"/>
      <c r="AG47" s="66"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2"/>
        <v>芒果</v>
      </c>
      <c r="AJ47" s="73"/>
    </row>
    <row r="48" spans="1:36" ht="18" customHeight="1">
      <c r="A48" s="95" t="s">
        <v>58</v>
      </c>
      <c r="B48" s="96" t="s">
        <v>62</v>
      </c>
      <c r="C48" s="120"/>
      <c r="D48" s="14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48"/>
      <c r="AE48" s="148"/>
      <c r="AF48" s="148"/>
      <c r="AG48" s="66">
        <v>3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2"/>
        <v>國源</v>
      </c>
      <c r="AJ48" s="73"/>
    </row>
    <row r="49" spans="1:36" ht="18" customHeight="1">
      <c r="A49" s="95" t="s">
        <v>58</v>
      </c>
      <c r="B49" s="96" t="s">
        <v>26</v>
      </c>
      <c r="C49" s="120"/>
      <c r="D49" s="14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48"/>
      <c r="AE49" s="148"/>
      <c r="AF49" s="148"/>
      <c r="AG49" s="66">
        <v>5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2"/>
        <v>曉強</v>
      </c>
      <c r="AJ49" s="73"/>
    </row>
    <row r="50" spans="1:36" ht="18" customHeight="1">
      <c r="A50" s="95" t="s">
        <v>58</v>
      </c>
      <c r="B50" s="96" t="s">
        <v>59</v>
      </c>
      <c r="C50" s="120"/>
      <c r="D50" s="14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48"/>
      <c r="AE50" s="148"/>
      <c r="AF50" s="148"/>
      <c r="AG50" s="66"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2"/>
        <v>阿幹</v>
      </c>
      <c r="AJ50" s="73"/>
    </row>
    <row r="51" spans="1:36" ht="18" customHeight="1">
      <c r="A51" s="95" t="s">
        <v>58</v>
      </c>
      <c r="B51" s="96" t="s">
        <v>27</v>
      </c>
      <c r="C51" s="120"/>
      <c r="D51" s="14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48"/>
      <c r="AE51" s="148"/>
      <c r="AF51" s="148"/>
      <c r="AG51" s="66">
        <v>5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2"/>
        <v>芋圓</v>
      </c>
      <c r="AJ51" s="73"/>
    </row>
    <row r="52" spans="1:36" ht="18" customHeight="1">
      <c r="A52" s="95" t="s">
        <v>58</v>
      </c>
      <c r="B52" s="96" t="s">
        <v>28</v>
      </c>
      <c r="C52" s="120"/>
      <c r="D52" s="14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48"/>
      <c r="AE52" s="148"/>
      <c r="AF52" s="148"/>
      <c r="AG52" s="66">
        <v>0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2"/>
        <v>克勤</v>
      </c>
      <c r="AJ52" s="73"/>
    </row>
    <row r="53" spans="1:36" ht="18" customHeight="1">
      <c r="A53" s="95" t="s">
        <v>58</v>
      </c>
      <c r="B53" s="96" t="s">
        <v>29</v>
      </c>
      <c r="C53" s="120"/>
      <c r="D53" s="14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48"/>
      <c r="AE53" s="148"/>
      <c r="AF53" s="148"/>
      <c r="AG53" s="66">
        <v>1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2"/>
        <v>大頭</v>
      </c>
      <c r="AJ53" s="73"/>
    </row>
    <row r="54" spans="1:36" ht="18" customHeight="1">
      <c r="A54" s="95" t="s">
        <v>58</v>
      </c>
      <c r="B54" s="96" t="s">
        <v>65</v>
      </c>
      <c r="C54" s="120"/>
      <c r="D54" s="14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48"/>
      <c r="AE54" s="148"/>
      <c r="AF54" s="148"/>
      <c r="AG54" s="66">
        <v>10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2"/>
        <v>文淵</v>
      </c>
      <c r="AJ54" s="73"/>
    </row>
    <row r="55" spans="1:36" ht="18" customHeight="1">
      <c r="A55" s="95" t="s">
        <v>58</v>
      </c>
      <c r="B55" s="96" t="s">
        <v>72</v>
      </c>
      <c r="C55" s="120"/>
      <c r="D55" s="14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48"/>
      <c r="AE55" s="148"/>
      <c r="AF55" s="148"/>
      <c r="AG55" s="66">
        <v>0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2"/>
        <v>八卦</v>
      </c>
      <c r="AJ55" s="73"/>
    </row>
    <row r="56" spans="1:36" ht="18" customHeight="1">
      <c r="A56" s="95" t="s">
        <v>58</v>
      </c>
      <c r="B56" s="96" t="s">
        <v>66</v>
      </c>
      <c r="C56" s="120"/>
      <c r="D56" s="14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48"/>
      <c r="AE56" s="148"/>
      <c r="AF56" s="148"/>
      <c r="AG56" s="66">
        <v>5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2"/>
        <v>昆佑</v>
      </c>
      <c r="AJ56" s="73"/>
    </row>
    <row r="57" spans="1:36" ht="18" customHeight="1">
      <c r="A57" s="95" t="s">
        <v>58</v>
      </c>
      <c r="B57" s="96" t="s">
        <v>68</v>
      </c>
      <c r="C57" s="120"/>
      <c r="D57" s="14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48"/>
      <c r="AE57" s="148"/>
      <c r="AF57" s="148"/>
      <c r="AG57" s="66"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2"/>
        <v>兔子</v>
      </c>
      <c r="AJ57" s="73"/>
    </row>
    <row r="58" spans="1:36" ht="18" customHeight="1">
      <c r="A58" s="95" t="s">
        <v>58</v>
      </c>
      <c r="B58" s="96" t="s">
        <v>69</v>
      </c>
      <c r="C58" s="120"/>
      <c r="D58" s="14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48"/>
      <c r="AE58" s="148"/>
      <c r="AF58" s="148"/>
      <c r="AG58" s="66">
        <v>0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2"/>
        <v>小馬</v>
      </c>
      <c r="AJ58" s="73"/>
    </row>
    <row r="59" spans="1:36" ht="18" customHeight="1">
      <c r="A59" s="95" t="s">
        <v>58</v>
      </c>
      <c r="B59" s="96" t="s">
        <v>70</v>
      </c>
      <c r="C59" s="120"/>
      <c r="D59" s="14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48"/>
      <c r="AE59" s="148"/>
      <c r="AF59" s="148"/>
      <c r="AG59" s="66">
        <v>1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2"/>
        <v>Allen</v>
      </c>
      <c r="AJ59" s="73"/>
    </row>
    <row r="60" spans="1:36" ht="18" customHeight="1">
      <c r="A60" s="95" t="s">
        <v>58</v>
      </c>
      <c r="B60" s="96" t="s">
        <v>71</v>
      </c>
      <c r="C60" s="120"/>
      <c r="D60" s="14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48"/>
      <c r="AE60" s="148"/>
      <c r="AF60" s="148"/>
      <c r="AG60" s="66"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2"/>
        <v>嘴嘴</v>
      </c>
      <c r="AJ60" s="73"/>
    </row>
    <row r="61" spans="1:36" ht="18" customHeight="1">
      <c r="A61" s="95" t="s">
        <v>58</v>
      </c>
      <c r="B61" s="96" t="s">
        <v>74</v>
      </c>
      <c r="C61" s="120"/>
      <c r="D61" s="14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48"/>
      <c r="AE61" s="148"/>
      <c r="AF61" s="148"/>
      <c r="AG61" s="66">
        <v>0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2"/>
        <v>蘆葦</v>
      </c>
      <c r="AJ61" s="73"/>
    </row>
    <row r="62" spans="1:36" ht="18" customHeight="1">
      <c r="A62" s="95" t="s">
        <v>58</v>
      </c>
      <c r="B62" s="96" t="s">
        <v>30</v>
      </c>
      <c r="C62" s="120"/>
      <c r="D62" s="14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48"/>
      <c r="AE62" s="148"/>
      <c r="AF62" s="148"/>
      <c r="AG62" s="66">
        <v>2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2"/>
        <v>鯰魚</v>
      </c>
      <c r="AJ62" s="73"/>
    </row>
    <row r="63" spans="1:36" ht="18" customHeight="1">
      <c r="A63" s="95" t="s">
        <v>58</v>
      </c>
      <c r="B63" s="96" t="s">
        <v>31</v>
      </c>
      <c r="C63" s="120"/>
      <c r="D63" s="14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48"/>
      <c r="AE63" s="148"/>
      <c r="AF63" s="148"/>
      <c r="AG63" s="66">
        <v>1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2"/>
        <v>阿美</v>
      </c>
      <c r="AJ63" s="73"/>
    </row>
    <row r="64" spans="1:36" ht="18" customHeight="1">
      <c r="A64" s="95" t="s">
        <v>58</v>
      </c>
      <c r="B64" s="96" t="s">
        <v>73</v>
      </c>
      <c r="C64" s="120"/>
      <c r="D64" s="14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48"/>
      <c r="AE64" s="148"/>
      <c r="AF64" s="148"/>
      <c r="AG64" s="66"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2"/>
        <v>冠軍</v>
      </c>
      <c r="AJ64" s="73"/>
    </row>
    <row r="65" spans="1:36" ht="18" customHeight="1">
      <c r="A65" s="95" t="s">
        <v>58</v>
      </c>
      <c r="B65" s="96" t="s">
        <v>198</v>
      </c>
      <c r="C65" s="120"/>
      <c r="D65" s="14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48"/>
      <c r="AE65" s="148"/>
      <c r="AF65" s="148"/>
      <c r="AG65" s="66">
        <v>5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2"/>
        <v>郁翔</v>
      </c>
      <c r="AJ65" s="73"/>
    </row>
    <row r="66" spans="1:36" ht="18" customHeight="1">
      <c r="A66" s="95" t="s">
        <v>58</v>
      </c>
      <c r="B66" s="96" t="s">
        <v>67</v>
      </c>
      <c r="C66" s="120"/>
      <c r="D66" s="14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48"/>
      <c r="AE66" s="148"/>
      <c r="AF66" s="148"/>
      <c r="AG66" s="66"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2"/>
        <v>歐吉</v>
      </c>
      <c r="AJ66" s="73"/>
    </row>
    <row r="67" spans="1:36" ht="18" customHeight="1">
      <c r="A67" s="95" t="s">
        <v>58</v>
      </c>
      <c r="B67" s="96" t="s">
        <v>75</v>
      </c>
      <c r="C67" s="120"/>
      <c r="D67" s="14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48"/>
      <c r="AE67" s="148"/>
      <c r="AF67" s="148"/>
      <c r="AG67" s="66">
        <v>0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2"/>
        <v>叮噹</v>
      </c>
      <c r="AJ67" s="73"/>
    </row>
    <row r="68" spans="1:36" ht="18" customHeight="1">
      <c r="A68" s="95" t="s">
        <v>58</v>
      </c>
      <c r="B68" s="96" t="s">
        <v>76</v>
      </c>
      <c r="C68" s="120"/>
      <c r="D68" s="14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48"/>
      <c r="AE68" s="148"/>
      <c r="AF68" s="148"/>
      <c r="AG68" s="66"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88" si="3">B68</f>
        <v>肥肥</v>
      </c>
      <c r="AJ68" s="73"/>
    </row>
    <row r="69" spans="1:36" ht="18" customHeight="1">
      <c r="A69" s="95" t="s">
        <v>58</v>
      </c>
      <c r="B69" s="96" t="s">
        <v>77</v>
      </c>
      <c r="C69" s="120"/>
      <c r="D69" s="14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48"/>
      <c r="AE69" s="148"/>
      <c r="AF69" s="148"/>
      <c r="AG69" s="66"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3"/>
        <v>小夫</v>
      </c>
      <c r="AJ69" s="73"/>
    </row>
    <row r="70" spans="1:36" ht="18" customHeight="1">
      <c r="A70" s="95" t="s">
        <v>58</v>
      </c>
      <c r="B70" s="96" t="s">
        <v>78</v>
      </c>
      <c r="C70" s="120"/>
      <c r="D70" s="14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48"/>
      <c r="AE70" s="148"/>
      <c r="AF70" s="148"/>
      <c r="AG70" s="66"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3"/>
        <v>小邱</v>
      </c>
      <c r="AJ70" s="73"/>
    </row>
    <row r="71" spans="1:36" ht="18" customHeight="1">
      <c r="A71" s="95" t="s">
        <v>58</v>
      </c>
      <c r="B71" s="96" t="s">
        <v>79</v>
      </c>
      <c r="C71" s="120"/>
      <c r="D71" s="14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48"/>
      <c r="AE71" s="148"/>
      <c r="AF71" s="148"/>
      <c r="AG71" s="66"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3"/>
        <v>淳淳</v>
      </c>
      <c r="AJ71" s="73"/>
    </row>
    <row r="72" spans="1:36" ht="18" customHeight="1">
      <c r="A72" s="95" t="s">
        <v>58</v>
      </c>
      <c r="B72" s="96" t="s">
        <v>80</v>
      </c>
      <c r="C72" s="120"/>
      <c r="D72" s="14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48"/>
      <c r="AE72" s="148"/>
      <c r="AF72" s="148"/>
      <c r="AG72" s="66"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3"/>
        <v>禿鷹</v>
      </c>
      <c r="AJ72" s="73"/>
    </row>
    <row r="73" spans="1:36" ht="18" customHeight="1">
      <c r="A73" s="95" t="s">
        <v>58</v>
      </c>
      <c r="B73" s="96" t="s">
        <v>81</v>
      </c>
      <c r="C73" s="120"/>
      <c r="D73" s="14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48"/>
      <c r="AE73" s="148"/>
      <c r="AF73" s="148"/>
      <c r="AG73" s="66"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3"/>
        <v>王宏</v>
      </c>
      <c r="AJ73" s="73"/>
    </row>
    <row r="74" spans="1:36" ht="18" customHeight="1">
      <c r="A74" s="95" t="s">
        <v>58</v>
      </c>
      <c r="B74" s="96" t="s">
        <v>82</v>
      </c>
      <c r="C74" s="120"/>
      <c r="D74" s="14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48"/>
      <c r="AE74" s="148"/>
      <c r="AF74" s="148"/>
      <c r="AG74" s="66"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3"/>
        <v>犀牛</v>
      </c>
      <c r="AJ74" s="73"/>
    </row>
    <row r="75" spans="1:36" ht="18" customHeight="1">
      <c r="A75" s="95" t="s">
        <v>58</v>
      </c>
      <c r="B75" s="96" t="s">
        <v>83</v>
      </c>
      <c r="C75" s="120"/>
      <c r="D75" s="14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48"/>
      <c r="AE75" s="148"/>
      <c r="AF75" s="148"/>
      <c r="AG75" s="66"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3"/>
        <v>來福</v>
      </c>
      <c r="AJ75" s="73"/>
    </row>
    <row r="76" spans="1:36" ht="18" customHeight="1">
      <c r="A76" s="95" t="s">
        <v>58</v>
      </c>
      <c r="B76" s="96" t="s">
        <v>84</v>
      </c>
      <c r="C76" s="120"/>
      <c r="D76" s="14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48"/>
      <c r="AE76" s="148"/>
      <c r="AF76" s="148"/>
      <c r="AG76" s="66"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3"/>
        <v>誌誌</v>
      </c>
      <c r="AJ76" s="73"/>
    </row>
    <row r="77" spans="1:36" ht="18" customHeight="1">
      <c r="A77" s="95" t="s">
        <v>58</v>
      </c>
      <c r="B77" s="96" t="s">
        <v>86</v>
      </c>
      <c r="C77" s="120"/>
      <c r="D77" s="14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48"/>
      <c r="AE77" s="148"/>
      <c r="AF77" s="148"/>
      <c r="AG77" s="66">
        <v>0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3"/>
        <v>正誼</v>
      </c>
      <c r="AJ77" s="73"/>
    </row>
    <row r="78" spans="1:36" ht="18" customHeight="1">
      <c r="A78" s="95" t="s">
        <v>58</v>
      </c>
      <c r="B78" s="96" t="s">
        <v>32</v>
      </c>
      <c r="C78" s="120"/>
      <c r="D78" s="14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48"/>
      <c r="AE78" s="148"/>
      <c r="AF78" s="148"/>
      <c r="AG78" s="66">
        <v>2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3"/>
        <v>小翔</v>
      </c>
      <c r="AJ78" s="73"/>
    </row>
    <row r="79" spans="1:36" ht="18" customHeight="1">
      <c r="A79" s="95" t="s">
        <v>58</v>
      </c>
      <c r="B79" s="96" t="s">
        <v>179</v>
      </c>
      <c r="C79" s="120"/>
      <c r="D79" s="14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48"/>
      <c r="AE79" s="148"/>
      <c r="AF79" s="148"/>
      <c r="AG79" s="66">
        <v>0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3"/>
        <v>玹玹</v>
      </c>
      <c r="AJ79" s="73"/>
    </row>
    <row r="80" spans="1:36" ht="18" customHeight="1">
      <c r="A80" s="95" t="s">
        <v>58</v>
      </c>
      <c r="B80" s="96" t="s">
        <v>85</v>
      </c>
      <c r="C80" s="120"/>
      <c r="D80" s="14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48"/>
      <c r="AE80" s="148"/>
      <c r="AF80" s="148"/>
      <c r="AG80" s="66"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3"/>
        <v>阿璽</v>
      </c>
      <c r="AJ80" s="73"/>
    </row>
    <row r="81" spans="1:36" ht="18" customHeight="1">
      <c r="A81" s="95" t="s">
        <v>58</v>
      </c>
      <c r="B81" s="96" t="s">
        <v>33</v>
      </c>
      <c r="C81" s="120"/>
      <c r="D81" s="14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48"/>
      <c r="AE81" s="148"/>
      <c r="AF81" s="148"/>
      <c r="AG81" s="66">
        <v>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3"/>
        <v>一飛</v>
      </c>
      <c r="AJ81" s="73"/>
    </row>
    <row r="82" spans="1:36" ht="18" customHeight="1">
      <c r="A82" s="95" t="s">
        <v>58</v>
      </c>
      <c r="B82" s="96" t="s">
        <v>34</v>
      </c>
      <c r="C82" s="120"/>
      <c r="D82" s="14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48"/>
      <c r="AE82" s="148"/>
      <c r="AF82" s="148"/>
      <c r="AG82" s="66">
        <v>0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3"/>
        <v>雲翔</v>
      </c>
      <c r="AJ82" s="70"/>
    </row>
    <row r="83" spans="1:36" ht="18" customHeight="1">
      <c r="A83" s="95" t="s">
        <v>58</v>
      </c>
      <c r="B83" s="96" t="s">
        <v>88</v>
      </c>
      <c r="C83" s="120"/>
      <c r="D83" s="14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48"/>
      <c r="AE83" s="148"/>
      <c r="AF83" s="148"/>
      <c r="AG83" s="66">
        <v>0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3"/>
        <v>皓皓</v>
      </c>
      <c r="AJ83" s="70"/>
    </row>
    <row r="84" spans="1:36" ht="18" customHeight="1">
      <c r="A84" s="95" t="s">
        <v>58</v>
      </c>
      <c r="B84" s="96" t="s">
        <v>35</v>
      </c>
      <c r="C84" s="120"/>
      <c r="D84" s="14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48"/>
      <c r="AE84" s="148"/>
      <c r="AF84" s="148"/>
      <c r="AG84" s="66">
        <v>0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3"/>
        <v>阿戴</v>
      </c>
      <c r="AJ84" s="70"/>
    </row>
    <row r="85" spans="1:36" ht="18" customHeight="1">
      <c r="A85" s="95" t="s">
        <v>58</v>
      </c>
      <c r="B85" s="96" t="s">
        <v>36</v>
      </c>
      <c r="C85" s="120"/>
      <c r="D85" s="14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48"/>
      <c r="AE85" s="148"/>
      <c r="AF85" s="148"/>
      <c r="AG85" s="66">
        <v>6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3"/>
        <v>子澔</v>
      </c>
      <c r="AJ85" s="70"/>
    </row>
    <row r="86" spans="1:36" ht="18" customHeight="1">
      <c r="A86" s="95" t="s">
        <v>58</v>
      </c>
      <c r="B86" s="96" t="s">
        <v>37</v>
      </c>
      <c r="C86" s="120"/>
      <c r="D86" s="14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48"/>
      <c r="AE86" s="148"/>
      <c r="AF86" s="148"/>
      <c r="AG86" s="66">
        <v>6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3"/>
        <v>魚仔</v>
      </c>
      <c r="AJ86" s="70"/>
    </row>
    <row r="87" spans="1:36" ht="18" customHeight="1">
      <c r="A87" s="95" t="s">
        <v>58</v>
      </c>
      <c r="B87" s="96" t="s">
        <v>87</v>
      </c>
      <c r="C87" s="120"/>
      <c r="D87" s="14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48"/>
      <c r="AE87" s="148"/>
      <c r="AF87" s="148"/>
      <c r="AG87" s="66">
        <v>2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3"/>
        <v>Mango</v>
      </c>
      <c r="AJ87" s="70"/>
    </row>
    <row r="88" spans="1:36" ht="18" customHeight="1">
      <c r="A88" s="95" t="s">
        <v>58</v>
      </c>
      <c r="B88" s="96" t="s">
        <v>38</v>
      </c>
      <c r="C88" s="120"/>
      <c r="D88" s="14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48"/>
      <c r="AE88" s="148"/>
      <c r="AF88" s="148"/>
      <c r="AG88" s="66">
        <v>0</v>
      </c>
      <c r="AH88" s="6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69" t="str">
        <f t="shared" si="3"/>
        <v>阿龍</v>
      </c>
      <c r="AJ88" s="70"/>
    </row>
    <row r="89" spans="1:36" ht="18" customHeight="1">
      <c r="A89" s="95" t="s">
        <v>58</v>
      </c>
      <c r="B89" s="96" t="s">
        <v>39</v>
      </c>
      <c r="C89" s="120"/>
      <c r="D89" s="14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48"/>
      <c r="AE89" s="148"/>
      <c r="AF89" s="148"/>
      <c r="AG89" s="66">
        <v>0</v>
      </c>
      <c r="AH89" s="6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69" t="s">
        <v>39</v>
      </c>
      <c r="AJ89" s="70"/>
    </row>
    <row r="90" spans="1:36" ht="18" customHeight="1">
      <c r="A90" s="95" t="s">
        <v>58</v>
      </c>
      <c r="B90" s="96" t="s">
        <v>223</v>
      </c>
      <c r="C90" s="120"/>
      <c r="D90" s="14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60"/>
      <c r="W90" s="164"/>
      <c r="X90" s="160"/>
      <c r="Y90" s="164"/>
      <c r="Z90" s="160"/>
      <c r="AA90" s="120"/>
      <c r="AB90" s="120"/>
      <c r="AC90" s="120"/>
      <c r="AD90" s="148"/>
      <c r="AE90" s="148"/>
      <c r="AF90" s="148"/>
      <c r="AG90" s="66">
        <v>2</v>
      </c>
      <c r="AH90" s="6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69" t="s">
        <v>223</v>
      </c>
      <c r="AJ90" s="70"/>
    </row>
    <row r="91" spans="1:36" ht="18" customHeight="1">
      <c r="A91" s="95" t="s">
        <v>58</v>
      </c>
      <c r="B91" s="96" t="s">
        <v>40</v>
      </c>
      <c r="C91" s="120"/>
      <c r="D91" s="14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48"/>
      <c r="AE91" s="148"/>
      <c r="AF91" s="148"/>
      <c r="AG91" s="66">
        <v>0</v>
      </c>
      <c r="AH91" s="68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69" t="s">
        <v>40</v>
      </c>
      <c r="AJ91" s="70"/>
    </row>
    <row r="92" spans="1:36" ht="18" customHeight="1">
      <c r="A92" s="95"/>
      <c r="B92" s="96"/>
      <c r="C92" s="120"/>
      <c r="D92" s="14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48"/>
      <c r="AE92" s="148"/>
      <c r="AF92" s="148"/>
      <c r="AG92" s="66">
        <v>3</v>
      </c>
      <c r="AH92" s="68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69" t="s">
        <v>224</v>
      </c>
      <c r="AJ92" s="70"/>
    </row>
    <row r="93" spans="1:36" ht="18" customHeight="1">
      <c r="A93" s="95"/>
      <c r="B93" s="96"/>
      <c r="C93" s="120"/>
      <c r="D93" s="14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48"/>
      <c r="AE93" s="148"/>
      <c r="AF93" s="148"/>
      <c r="AG93" s="66">
        <v>2</v>
      </c>
      <c r="AH93" s="6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69" t="s">
        <v>110</v>
      </c>
      <c r="AJ93" s="70"/>
    </row>
    <row r="94" spans="1:36" ht="18" customHeight="1">
      <c r="A94" s="99" t="s">
        <v>58</v>
      </c>
      <c r="B94" s="100" t="s">
        <v>151</v>
      </c>
      <c r="C94" s="99"/>
      <c r="D94" s="132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148"/>
      <c r="AE94" s="148"/>
      <c r="AF94" s="148"/>
      <c r="AG94" s="66">
        <v>2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ref="AI94:AI113" si="4">B94</f>
        <v>宇嬅</v>
      </c>
      <c r="AJ94" s="82"/>
    </row>
    <row r="95" spans="1:36" ht="18" customHeight="1">
      <c r="A95" s="99" t="s">
        <v>58</v>
      </c>
      <c r="B95" s="100" t="s">
        <v>152</v>
      </c>
      <c r="C95" s="99"/>
      <c r="D95" s="132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148"/>
      <c r="AE95" s="148"/>
      <c r="AF95" s="148"/>
      <c r="AG95" s="66">
        <v>1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4"/>
        <v>阿俗</v>
      </c>
      <c r="AJ95" s="81"/>
    </row>
    <row r="96" spans="1:36" ht="18" customHeight="1">
      <c r="A96" s="99" t="s">
        <v>58</v>
      </c>
      <c r="B96" s="100" t="s">
        <v>153</v>
      </c>
      <c r="C96" s="99"/>
      <c r="D96" s="132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148"/>
      <c r="AE96" s="148"/>
      <c r="AF96" s="148"/>
      <c r="AG96" s="66"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4"/>
        <v>傻妹</v>
      </c>
      <c r="AJ96" s="81"/>
    </row>
    <row r="97" spans="1:36" ht="18" customHeight="1">
      <c r="A97" s="99" t="s">
        <v>58</v>
      </c>
      <c r="B97" s="100" t="s">
        <v>96</v>
      </c>
      <c r="C97" s="99"/>
      <c r="D97" s="132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148"/>
      <c r="AE97" s="148"/>
      <c r="AF97" s="148"/>
      <c r="AG97" s="66">
        <v>3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4"/>
        <v>靜婷</v>
      </c>
      <c r="AJ97" s="81"/>
    </row>
    <row r="98" spans="1:36" ht="18" customHeight="1">
      <c r="A98" s="99" t="s">
        <v>58</v>
      </c>
      <c r="B98" s="100" t="s">
        <v>154</v>
      </c>
      <c r="C98" s="99"/>
      <c r="D98" s="132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148"/>
      <c r="AE98" s="148"/>
      <c r="AF98" s="148"/>
      <c r="AG98" s="66"/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4"/>
        <v>筱攸</v>
      </c>
      <c r="AJ98" s="81"/>
    </row>
    <row r="99" spans="1:36" ht="18" customHeight="1">
      <c r="A99" s="99" t="s">
        <v>58</v>
      </c>
      <c r="B99" s="100" t="s">
        <v>155</v>
      </c>
      <c r="C99" s="99"/>
      <c r="D99" s="132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148"/>
      <c r="AE99" s="148"/>
      <c r="AF99" s="148"/>
      <c r="AG99" s="66"/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4"/>
        <v>康康</v>
      </c>
      <c r="AJ99" s="81"/>
    </row>
    <row r="100" spans="1:36" ht="18" customHeight="1">
      <c r="A100" s="99" t="s">
        <v>58</v>
      </c>
      <c r="B100" s="100" t="s">
        <v>156</v>
      </c>
      <c r="C100" s="99"/>
      <c r="D100" s="132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148"/>
      <c r="AE100" s="148"/>
      <c r="AF100" s="148"/>
      <c r="AG100" s="66"/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si="4"/>
        <v>阿金</v>
      </c>
      <c r="AJ100" s="81"/>
    </row>
    <row r="101" spans="1:36" ht="18" customHeight="1">
      <c r="A101" s="99" t="s">
        <v>58</v>
      </c>
      <c r="B101" s="100" t="s">
        <v>157</v>
      </c>
      <c r="C101" s="99"/>
      <c r="D101" s="132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148"/>
      <c r="AE101" s="148"/>
      <c r="AF101" s="148"/>
      <c r="AG101" s="66"/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4"/>
        <v>派大</v>
      </c>
      <c r="AJ101" s="81"/>
    </row>
    <row r="102" spans="1:36" ht="18" customHeight="1">
      <c r="A102" s="99" t="s">
        <v>58</v>
      </c>
      <c r="B102" s="100" t="s">
        <v>158</v>
      </c>
      <c r="C102" s="99"/>
      <c r="D102" s="132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148"/>
      <c r="AE102" s="148"/>
      <c r="AF102" s="148"/>
      <c r="AG102" s="66"/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4"/>
        <v>吉娃</v>
      </c>
      <c r="AJ102" s="81"/>
    </row>
    <row r="103" spans="1:36" ht="18" customHeight="1">
      <c r="A103" s="99" t="s">
        <v>58</v>
      </c>
      <c r="B103" s="100" t="s">
        <v>159</v>
      </c>
      <c r="C103" s="99"/>
      <c r="D103" s="132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148"/>
      <c r="AE103" s="148"/>
      <c r="AF103" s="148"/>
      <c r="AG103" s="66"/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4"/>
        <v>小寧</v>
      </c>
      <c r="AJ103" s="81"/>
    </row>
    <row r="104" spans="1:36" ht="18" customHeight="1">
      <c r="A104" s="99" t="s">
        <v>58</v>
      </c>
      <c r="B104" s="100" t="s">
        <v>160</v>
      </c>
      <c r="C104" s="99"/>
      <c r="D104" s="132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148"/>
      <c r="AE104" s="148"/>
      <c r="AF104" s="148"/>
      <c r="AG104" s="66"/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4"/>
        <v>小妹</v>
      </c>
      <c r="AJ104" s="81"/>
    </row>
    <row r="105" spans="1:36" ht="18" customHeight="1">
      <c r="A105" s="99" t="s">
        <v>58</v>
      </c>
      <c r="B105" s="100" t="s">
        <v>101</v>
      </c>
      <c r="C105" s="99"/>
      <c r="D105" s="132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148"/>
      <c r="AE105" s="148"/>
      <c r="AF105" s="148"/>
      <c r="AG105" s="66"/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4"/>
        <v>文媛</v>
      </c>
      <c r="AJ105" s="81"/>
    </row>
    <row r="106" spans="1:36" ht="18" customHeight="1">
      <c r="A106" s="99" t="s">
        <v>58</v>
      </c>
      <c r="B106" s="100" t="s">
        <v>161</v>
      </c>
      <c r="C106" s="99"/>
      <c r="D106" s="132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148"/>
      <c r="AE106" s="148"/>
      <c r="AF106" s="148"/>
      <c r="AG106" s="66"/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4"/>
        <v>佩鈺</v>
      </c>
      <c r="AJ106" s="81"/>
    </row>
    <row r="107" spans="1:36" ht="18" customHeight="1">
      <c r="A107" s="99" t="s">
        <v>58</v>
      </c>
      <c r="B107" s="100" t="s">
        <v>162</v>
      </c>
      <c r="C107" s="99"/>
      <c r="D107" s="132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148"/>
      <c r="AE107" s="148"/>
      <c r="AF107" s="148"/>
      <c r="AG107" s="66"/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4"/>
        <v>阿布</v>
      </c>
      <c r="AJ107" s="81"/>
    </row>
    <row r="108" spans="1:36" ht="18" customHeight="1">
      <c r="A108" s="99" t="s">
        <v>58</v>
      </c>
      <c r="B108" s="100" t="s">
        <v>100</v>
      </c>
      <c r="C108" s="99"/>
      <c r="D108" s="132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148"/>
      <c r="AE108" s="148"/>
      <c r="AF108" s="148"/>
      <c r="AG108" s="66"/>
      <c r="AH108" s="98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79" t="str">
        <f t="shared" si="4"/>
        <v>餅餅</v>
      </c>
      <c r="AJ108" s="81"/>
    </row>
    <row r="109" spans="1:36" ht="18" customHeight="1">
      <c r="A109" s="99" t="s">
        <v>58</v>
      </c>
      <c r="B109" s="100" t="s">
        <v>163</v>
      </c>
      <c r="C109" s="99"/>
      <c r="D109" s="132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148"/>
      <c r="AE109" s="148"/>
      <c r="AF109" s="148"/>
      <c r="AG109" s="66"/>
      <c r="AH109" s="98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79" t="str">
        <f t="shared" si="4"/>
        <v>小個</v>
      </c>
      <c r="AJ109" s="81"/>
    </row>
    <row r="110" spans="1:36" ht="18" customHeight="1">
      <c r="A110" s="99" t="s">
        <v>58</v>
      </c>
      <c r="B110" s="100" t="s">
        <v>164</v>
      </c>
      <c r="C110" s="99"/>
      <c r="D110" s="132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148"/>
      <c r="AE110" s="148"/>
      <c r="AF110" s="148"/>
      <c r="AG110" s="66"/>
      <c r="AH110" s="98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79" t="str">
        <f t="shared" si="4"/>
        <v>小菜</v>
      </c>
      <c r="AJ110" s="81"/>
    </row>
    <row r="111" spans="1:36" ht="18" customHeight="1">
      <c r="A111" s="99" t="s">
        <v>58</v>
      </c>
      <c r="B111" s="100" t="s">
        <v>102</v>
      </c>
      <c r="C111" s="99"/>
      <c r="D111" s="132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148"/>
      <c r="AE111" s="148"/>
      <c r="AF111" s="148"/>
      <c r="AG111" s="66"/>
      <c r="AH111" s="98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79" t="str">
        <f t="shared" si="4"/>
        <v>妮妮</v>
      </c>
      <c r="AJ111" s="81"/>
    </row>
    <row r="112" spans="1:36" ht="18" customHeight="1">
      <c r="A112" s="99" t="s">
        <v>58</v>
      </c>
      <c r="B112" s="100" t="s">
        <v>165</v>
      </c>
      <c r="C112" s="99"/>
      <c r="D112" s="132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148"/>
      <c r="AE112" s="148"/>
      <c r="AF112" s="148"/>
      <c r="AG112" s="66"/>
      <c r="AH112" s="98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79" t="str">
        <f t="shared" si="4"/>
        <v>小貓</v>
      </c>
      <c r="AJ112" s="81"/>
    </row>
    <row r="113" spans="1:36" ht="18" customHeight="1">
      <c r="A113" s="99" t="s">
        <v>58</v>
      </c>
      <c r="B113" s="100" t="s">
        <v>166</v>
      </c>
      <c r="C113" s="99"/>
      <c r="D113" s="132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148"/>
      <c r="AE113" s="148"/>
      <c r="AF113" s="148"/>
      <c r="AG113" s="66"/>
      <c r="AH113" s="98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79" t="str">
        <f t="shared" si="4"/>
        <v>哈比</v>
      </c>
      <c r="AJ113" s="81"/>
    </row>
    <row r="114" spans="1:36" ht="18" customHeight="1">
      <c r="A114" s="99" t="s">
        <v>58</v>
      </c>
      <c r="B114" s="100" t="s">
        <v>97</v>
      </c>
      <c r="C114" s="99"/>
      <c r="D114" s="132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148"/>
      <c r="AE114" s="148"/>
      <c r="AF114" s="148"/>
      <c r="AG114" s="66"/>
      <c r="AH114" s="98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79" t="s">
        <v>97</v>
      </c>
      <c r="AJ114" s="81"/>
    </row>
    <row r="115" spans="1:36" ht="18" customHeight="1">
      <c r="A115" s="99" t="s">
        <v>58</v>
      </c>
      <c r="B115" s="100" t="s">
        <v>98</v>
      </c>
      <c r="C115" s="99"/>
      <c r="D115" s="132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148"/>
      <c r="AE115" s="148"/>
      <c r="AF115" s="148"/>
      <c r="AG115" s="66"/>
      <c r="AH115" s="98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79" t="s">
        <v>98</v>
      </c>
      <c r="AJ115" s="81"/>
    </row>
    <row r="116" spans="1:36" ht="18" customHeight="1">
      <c r="A116" s="99" t="s">
        <v>58</v>
      </c>
      <c r="B116" s="100" t="s">
        <v>99</v>
      </c>
      <c r="C116" s="99"/>
      <c r="D116" s="132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148"/>
      <c r="AE116" s="148"/>
      <c r="AF116" s="148"/>
      <c r="AG116" s="66"/>
      <c r="AH116" s="98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79" t="s">
        <v>99</v>
      </c>
      <c r="AJ116" s="81"/>
    </row>
    <row r="117" spans="1:36" ht="18" customHeight="1">
      <c r="A117" s="101" t="s">
        <v>58</v>
      </c>
      <c r="B117" s="102" t="s">
        <v>124</v>
      </c>
      <c r="C117" s="101"/>
      <c r="D117" s="137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48"/>
      <c r="AE117" s="148"/>
      <c r="AF117" s="148"/>
      <c r="AG117" s="66"/>
      <c r="AH117" s="103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ref="AI117:AI141" si="5">B117</f>
        <v>玉蕙</v>
      </c>
      <c r="AJ117" s="89"/>
    </row>
    <row r="118" spans="1:36" ht="18" customHeight="1">
      <c r="A118" s="101" t="s">
        <v>58</v>
      </c>
      <c r="B118" s="102" t="s">
        <v>125</v>
      </c>
      <c r="C118" s="101"/>
      <c r="D118" s="137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48"/>
      <c r="AE118" s="148"/>
      <c r="AF118" s="148"/>
      <c r="AG118" s="66"/>
      <c r="AH118" s="103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5"/>
        <v>沛緁</v>
      </c>
      <c r="AJ118" s="89"/>
    </row>
    <row r="119" spans="1:36" ht="18" customHeight="1">
      <c r="A119" s="101" t="s">
        <v>58</v>
      </c>
      <c r="B119" s="102" t="s">
        <v>126</v>
      </c>
      <c r="C119" s="101"/>
      <c r="D119" s="137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48"/>
      <c r="AE119" s="148"/>
      <c r="AF119" s="148"/>
      <c r="AG119" s="66"/>
      <c r="AH119" s="103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5"/>
        <v>妹妹</v>
      </c>
      <c r="AJ119" s="89"/>
    </row>
    <row r="120" spans="1:36" ht="18" customHeight="1">
      <c r="A120" s="101" t="s">
        <v>58</v>
      </c>
      <c r="B120" s="102" t="s">
        <v>127</v>
      </c>
      <c r="C120" s="101"/>
      <c r="D120" s="137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48"/>
      <c r="AE120" s="148"/>
      <c r="AF120" s="148"/>
      <c r="AG120" s="66">
        <v>6</v>
      </c>
      <c r="AH120" s="103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5"/>
        <v>小雞</v>
      </c>
      <c r="AJ120" s="89"/>
    </row>
    <row r="121" spans="1:36" ht="18" customHeight="1">
      <c r="A121" s="101" t="s">
        <v>58</v>
      </c>
      <c r="B121" s="102" t="s">
        <v>128</v>
      </c>
      <c r="C121" s="101"/>
      <c r="D121" s="137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48"/>
      <c r="AE121" s="148"/>
      <c r="AF121" s="148"/>
      <c r="AG121" s="66"/>
      <c r="AH121" s="103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5"/>
        <v>雨昕</v>
      </c>
      <c r="AJ121" s="89"/>
    </row>
    <row r="122" spans="1:36" ht="18" customHeight="1">
      <c r="A122" s="101" t="s">
        <v>58</v>
      </c>
      <c r="B122" s="102" t="s">
        <v>129</v>
      </c>
      <c r="C122" s="101"/>
      <c r="D122" s="137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48"/>
      <c r="AE122" s="148"/>
      <c r="AF122" s="148"/>
      <c r="AG122" s="66"/>
      <c r="AH122" s="103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5"/>
        <v>矮矮</v>
      </c>
      <c r="AJ122" s="89"/>
    </row>
    <row r="123" spans="1:36" ht="18" customHeight="1">
      <c r="A123" s="101" t="s">
        <v>58</v>
      </c>
      <c r="B123" s="102" t="s">
        <v>130</v>
      </c>
      <c r="C123" s="101"/>
      <c r="D123" s="137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48"/>
      <c r="AE123" s="148"/>
      <c r="AF123" s="148"/>
      <c r="AG123" s="66"/>
      <c r="AH123" s="103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5"/>
        <v>猛女</v>
      </c>
      <c r="AJ123" s="89"/>
    </row>
    <row r="124" spans="1:36" ht="18" customHeight="1">
      <c r="A124" s="101" t="s">
        <v>58</v>
      </c>
      <c r="B124" s="102" t="s">
        <v>131</v>
      </c>
      <c r="C124" s="101"/>
      <c r="D124" s="137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48"/>
      <c r="AE124" s="148"/>
      <c r="AF124" s="148"/>
      <c r="AG124" s="66"/>
      <c r="AH124" s="103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5"/>
        <v>欣容</v>
      </c>
      <c r="AJ124" s="89"/>
    </row>
    <row r="125" spans="1:36" ht="18" customHeight="1">
      <c r="A125" s="101" t="s">
        <v>58</v>
      </c>
      <c r="B125" s="102" t="s">
        <v>132</v>
      </c>
      <c r="C125" s="101"/>
      <c r="D125" s="137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48"/>
      <c r="AE125" s="148"/>
      <c r="AF125" s="148"/>
      <c r="AG125" s="66"/>
      <c r="AH125" s="103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5"/>
        <v>萁萁</v>
      </c>
      <c r="AJ125" s="89"/>
    </row>
    <row r="126" spans="1:36" ht="18" customHeight="1">
      <c r="A126" s="101" t="s">
        <v>58</v>
      </c>
      <c r="B126" s="102" t="s">
        <v>133</v>
      </c>
      <c r="C126" s="101"/>
      <c r="D126" s="137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48"/>
      <c r="AE126" s="148"/>
      <c r="AF126" s="148"/>
      <c r="AG126" s="66"/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5"/>
        <v>萱</v>
      </c>
      <c r="AJ126" s="91"/>
    </row>
    <row r="127" spans="1:36" ht="18" customHeight="1">
      <c r="A127" s="101" t="s">
        <v>58</v>
      </c>
      <c r="B127" s="102" t="s">
        <v>134</v>
      </c>
      <c r="C127" s="101"/>
      <c r="D127" s="137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48"/>
      <c r="AE127" s="148"/>
      <c r="AF127" s="148"/>
      <c r="AG127" s="66"/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5"/>
        <v>Mei</v>
      </c>
      <c r="AJ127" s="91"/>
    </row>
    <row r="128" spans="1:36" ht="18" customHeight="1">
      <c r="A128" s="101" t="s">
        <v>58</v>
      </c>
      <c r="B128" s="102" t="s">
        <v>135</v>
      </c>
      <c r="C128" s="101"/>
      <c r="D128" s="137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48"/>
      <c r="AE128" s="148"/>
      <c r="AF128" s="148"/>
      <c r="AG128" s="66"/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5"/>
        <v>屁屁</v>
      </c>
      <c r="AJ128" s="91"/>
    </row>
    <row r="129" spans="1:36" ht="18" customHeight="1">
      <c r="A129" s="101" t="s">
        <v>58</v>
      </c>
      <c r="B129" s="102" t="s">
        <v>136</v>
      </c>
      <c r="C129" s="101"/>
      <c r="D129" s="137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48"/>
      <c r="AE129" s="148"/>
      <c r="AF129" s="148"/>
      <c r="AG129" s="66"/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5"/>
        <v>泡泡</v>
      </c>
      <c r="AJ129" s="91"/>
    </row>
    <row r="130" spans="1:36" ht="18" customHeight="1">
      <c r="A130" s="101" t="s">
        <v>58</v>
      </c>
      <c r="B130" s="102" t="s">
        <v>137</v>
      </c>
      <c r="C130" s="101"/>
      <c r="D130" s="137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48"/>
      <c r="AE130" s="148"/>
      <c r="AF130" s="148"/>
      <c r="AG130" s="66"/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5"/>
        <v>姚</v>
      </c>
      <c r="AJ130" s="91"/>
    </row>
    <row r="131" spans="1:36" ht="18" customHeight="1">
      <c r="A131" s="101" t="s">
        <v>58</v>
      </c>
      <c r="B131" s="102" t="s">
        <v>138</v>
      </c>
      <c r="C131" s="101"/>
      <c r="D131" s="137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48"/>
      <c r="AE131" s="148"/>
      <c r="AF131" s="148"/>
      <c r="AG131" s="66"/>
      <c r="AH131" s="87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88" t="str">
        <f t="shared" si="5"/>
        <v>奜茜</v>
      </c>
      <c r="AJ131" s="91"/>
    </row>
    <row r="132" spans="1:36" ht="18" customHeight="1">
      <c r="A132" s="101" t="s">
        <v>58</v>
      </c>
      <c r="B132" s="115" t="s">
        <v>139</v>
      </c>
      <c r="C132" s="101"/>
      <c r="D132" s="137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48"/>
      <c r="AE132" s="148"/>
      <c r="AF132" s="148"/>
      <c r="AG132" s="66"/>
      <c r="AH132" s="87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88" t="str">
        <f t="shared" si="5"/>
        <v>Tina</v>
      </c>
      <c r="AJ132" s="91"/>
    </row>
    <row r="133" spans="1:36" ht="18" customHeight="1">
      <c r="A133" s="101" t="s">
        <v>58</v>
      </c>
      <c r="B133" s="115" t="s">
        <v>140</v>
      </c>
      <c r="C133" s="101"/>
      <c r="D133" s="137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48"/>
      <c r="AE133" s="148"/>
      <c r="AF133" s="148"/>
      <c r="AG133" s="66"/>
      <c r="AH133" s="87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88" t="str">
        <f t="shared" si="5"/>
        <v>芷琦</v>
      </c>
      <c r="AJ133" s="91"/>
    </row>
    <row r="134" spans="1:36" ht="18" customHeight="1">
      <c r="A134" s="101" t="s">
        <v>58</v>
      </c>
      <c r="B134" s="115" t="s">
        <v>106</v>
      </c>
      <c r="C134" s="101"/>
      <c r="D134" s="137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48"/>
      <c r="AE134" s="148"/>
      <c r="AF134" s="148"/>
      <c r="AG134" s="66">
        <v>3</v>
      </c>
      <c r="AH134" s="87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88" t="str">
        <f t="shared" si="5"/>
        <v>Nina</v>
      </c>
      <c r="AJ134" s="91"/>
    </row>
    <row r="135" spans="1:36" ht="18" customHeight="1">
      <c r="A135" s="101" t="s">
        <v>58</v>
      </c>
      <c r="B135" s="102" t="s">
        <v>141</v>
      </c>
      <c r="C135" s="101"/>
      <c r="D135" s="137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48"/>
      <c r="AE135" s="148"/>
      <c r="AF135" s="148"/>
      <c r="AG135" s="66"/>
      <c r="AH135" s="87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88" t="str">
        <f t="shared" si="5"/>
        <v>Cindy</v>
      </c>
      <c r="AJ135" s="91"/>
    </row>
    <row r="136" spans="1:36" ht="18" customHeight="1">
      <c r="A136" s="101" t="s">
        <v>58</v>
      </c>
      <c r="B136" s="102" t="s">
        <v>142</v>
      </c>
      <c r="C136" s="101"/>
      <c r="D136" s="137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48"/>
      <c r="AE136" s="148"/>
      <c r="AF136" s="148"/>
      <c r="AG136" s="66"/>
      <c r="AH136" s="87" t="e">
        <f ca="1">IF(A136="O", (VALUE(_xludf.IFS(AG136=0,"0",AG136=1,"150",AG136=2,"300",AG136=3,"450",AG136=4,"600",AG136=5,"750",AG136&gt;=6,"800"))),(VALUE(_xludf.IFS(AG136=0,"0",AG136=1,"150",AG136=2,"300",AG136=3,"450",AG136=4,"600",AG136=5,"750",AG136=6,"900",AG136&gt;=7,"1,000"))))</f>
        <v>#NAME?</v>
      </c>
      <c r="AI136" s="88" t="str">
        <f t="shared" si="5"/>
        <v>如靜</v>
      </c>
      <c r="AJ136" s="91"/>
    </row>
    <row r="137" spans="1:36" ht="18" customHeight="1">
      <c r="A137" s="101" t="s">
        <v>58</v>
      </c>
      <c r="B137" s="102" t="s">
        <v>143</v>
      </c>
      <c r="C137" s="101"/>
      <c r="D137" s="137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48"/>
      <c r="AE137" s="148"/>
      <c r="AF137" s="148"/>
      <c r="AG137" s="66"/>
      <c r="AH137" s="87" t="e">
        <f ca="1">IF(A137="O", (VALUE(_xludf.IFS(AG137=0,"0",AG137=1,"150",AG137=2,"300",AG137=3,"450",AG137=4,"600",AG137=5,"750",AG137&gt;=6,"800"))),(VALUE(_xludf.IFS(AG137=0,"0",AG137=1,"150",AG137=2,"300",AG137=3,"450",AG137=4,"600",AG137=5,"750",AG137=6,"900",AG137&gt;=7,"1,000"))))</f>
        <v>#NAME?</v>
      </c>
      <c r="AI137" s="88" t="str">
        <f t="shared" si="5"/>
        <v>毓玫</v>
      </c>
      <c r="AJ137" s="91"/>
    </row>
    <row r="138" spans="1:36" ht="18" customHeight="1">
      <c r="A138" s="101" t="s">
        <v>58</v>
      </c>
      <c r="B138" s="102" t="s">
        <v>144</v>
      </c>
      <c r="C138" s="101"/>
      <c r="D138" s="137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48"/>
      <c r="AE138" s="148"/>
      <c r="AF138" s="148"/>
      <c r="AG138" s="66"/>
      <c r="AH138" s="87" t="e">
        <f ca="1">IF(A138="O", (VALUE(_xludf.IFS(AG138=0,"0",AG138=1,"150",AG138=2,"300",AG138=3,"450",AG138=4,"600",AG138=5,"750",AG138&gt;=6,"800"))),(VALUE(_xludf.IFS(AG138=0,"0",AG138=1,"150",AG138=2,"300",AG138=3,"450",AG138=4,"600",AG138=5,"750",AG138=6,"900",AG138&gt;=7,"1,000"))))</f>
        <v>#NAME?</v>
      </c>
      <c r="AI138" s="88" t="str">
        <f t="shared" si="5"/>
        <v>美枝</v>
      </c>
      <c r="AJ138" s="91"/>
    </row>
    <row r="139" spans="1:36" ht="18" customHeight="1">
      <c r="A139" s="101" t="s">
        <v>58</v>
      </c>
      <c r="B139" s="102" t="s">
        <v>145</v>
      </c>
      <c r="C139" s="101"/>
      <c r="D139" s="137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48"/>
      <c r="AE139" s="148"/>
      <c r="AF139" s="148"/>
      <c r="AG139" s="66"/>
      <c r="AH139" s="87" t="e">
        <f ca="1">IF(A139="O", (VALUE(_xludf.IFS(AG139=0,"0",AG139=1,"150",AG139=2,"300",AG139=3,"450",AG139=4,"600",AG139=5,"750",AG139&gt;=6,"800"))),(VALUE(_xludf.IFS(AG139=0,"0",AG139=1,"150",AG139=2,"300",AG139=3,"450",AG139=4,"600",AG139=5,"750",AG139=6,"900",AG139&gt;=7,"1,000"))))</f>
        <v>#NAME?</v>
      </c>
      <c r="AI139" s="88" t="str">
        <f t="shared" si="5"/>
        <v>魯魯咪</v>
      </c>
      <c r="AJ139" s="91"/>
    </row>
    <row r="140" spans="1:36" ht="18" customHeight="1">
      <c r="A140" s="120" t="s">
        <v>58</v>
      </c>
      <c r="B140" s="121" t="s">
        <v>41</v>
      </c>
      <c r="C140" s="120"/>
      <c r="D140" s="14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48"/>
      <c r="AE140" s="148"/>
      <c r="AF140" s="148"/>
      <c r="AG140" s="66"/>
      <c r="AH140" s="108" t="e">
        <f ca="1">IF(A140="O", (VALUE(_xludf.IFS(AG140=0,"0",AG140=1,"150",AG140=2,"300",AG140=3,"450",AG140=4,"600",AG140=5,"750",AG140&gt;=6,"800"))),(VALUE(_xludf.IFS(AG140=0,"0",AG140=1,"150",AG140=2,"300",AG140=3,"450",AG140=4,"600",AG140=5,"750",AG140=6,"900",AG140&gt;=7,"1,000"))))</f>
        <v>#NAME?</v>
      </c>
      <c r="AI140" s="109" t="str">
        <f t="shared" si="5"/>
        <v>軟軟</v>
      </c>
      <c r="AJ140" s="110"/>
    </row>
    <row r="141" spans="1:36" ht="18" customHeight="1">
      <c r="A141" s="120" t="s">
        <v>58</v>
      </c>
      <c r="B141" s="121" t="s">
        <v>42</v>
      </c>
      <c r="C141" s="120"/>
      <c r="D141" s="143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48"/>
      <c r="AE141" s="148"/>
      <c r="AF141" s="148"/>
      <c r="AG141" s="66"/>
      <c r="AH141" s="108" t="e">
        <f ca="1">IF(A141="O", (VALUE(_xludf.IFS(AG141=0,"0",AG141=1,"150",AG141=2,"300",AG141=3,"450",AG141=4,"600",AG141=5,"750",AG141&gt;=6,"800"))),(VALUE(_xludf.IFS(AG141=0,"0",AG141=1,"150",AG141=2,"300",AG141=3,"450",AG141=4,"600",AG141=5,"750",AG141=6,"900",AG141&gt;=7,"1,000"))))</f>
        <v>#NAME?</v>
      </c>
      <c r="AI141" s="109" t="str">
        <f t="shared" si="5"/>
        <v>屎蛋</v>
      </c>
      <c r="AJ141" s="110"/>
    </row>
  </sheetData>
  <autoFilter ref="AG4:AI141" xr:uid="{00000000-0009-0000-0000-000016000000}"/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41">
    <cfRule type="expression" dxfId="12" priority="1">
      <formula>COUNTIF($B:$B,$B2)&gt;1</formula>
    </cfRule>
  </conditionalFormatting>
  <dataValidations count="1">
    <dataValidation type="list" allowBlank="1" showDropDown="1" showErrorMessage="1" sqref="C1:AF1" xr:uid="{00000000-0002-0000-16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A9999"/>
    <outlinePr summaryBelow="0" summaryRight="0"/>
    <pageSetUpPr fitToPage="1"/>
  </sheetPr>
  <dimension ref="A1:AJ140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126"/>
      <c r="AF1" s="126"/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45748</v>
      </c>
      <c r="D2" s="55">
        <v>45749</v>
      </c>
      <c r="E2" s="55">
        <v>45750</v>
      </c>
      <c r="F2" s="55">
        <v>45751</v>
      </c>
      <c r="G2" s="55">
        <v>45752</v>
      </c>
      <c r="H2" s="55">
        <v>45753</v>
      </c>
      <c r="I2" s="55">
        <v>45754</v>
      </c>
      <c r="J2" s="55">
        <v>45755</v>
      </c>
      <c r="K2" s="55">
        <v>45756</v>
      </c>
      <c r="L2" s="55">
        <v>45757</v>
      </c>
      <c r="M2" s="55">
        <v>45758</v>
      </c>
      <c r="N2" s="55">
        <v>45759</v>
      </c>
      <c r="O2" s="55">
        <v>45760</v>
      </c>
      <c r="P2" s="55">
        <v>45761</v>
      </c>
      <c r="Q2" s="55">
        <v>45762</v>
      </c>
      <c r="R2" s="55">
        <v>45763</v>
      </c>
      <c r="S2" s="55">
        <v>45764</v>
      </c>
      <c r="T2" s="55">
        <v>45765</v>
      </c>
      <c r="U2" s="55">
        <v>45766</v>
      </c>
      <c r="V2" s="55">
        <v>45767</v>
      </c>
      <c r="W2" s="55">
        <v>45768</v>
      </c>
      <c r="X2" s="55">
        <v>45769</v>
      </c>
      <c r="Y2" s="55">
        <v>45770</v>
      </c>
      <c r="Z2" s="55">
        <v>45771</v>
      </c>
      <c r="AA2" s="55">
        <v>45772</v>
      </c>
      <c r="AB2" s="55">
        <v>45773</v>
      </c>
      <c r="AC2" s="55">
        <v>45774</v>
      </c>
      <c r="AD2" s="55">
        <v>45775</v>
      </c>
      <c r="AE2" s="55">
        <v>45776</v>
      </c>
      <c r="AF2" s="55">
        <v>45777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2</v>
      </c>
      <c r="D3" s="152">
        <f t="shared" si="0"/>
        <v>3</v>
      </c>
      <c r="E3" s="126">
        <f t="shared" si="0"/>
        <v>4</v>
      </c>
      <c r="F3" s="51">
        <f t="shared" si="0"/>
        <v>5</v>
      </c>
      <c r="G3" s="126">
        <f t="shared" si="0"/>
        <v>6</v>
      </c>
      <c r="H3" s="51">
        <f t="shared" si="0"/>
        <v>7</v>
      </c>
      <c r="I3" s="126">
        <f t="shared" si="0"/>
        <v>1</v>
      </c>
      <c r="J3" s="126">
        <f t="shared" si="0"/>
        <v>2</v>
      </c>
      <c r="K3" s="126">
        <f t="shared" si="0"/>
        <v>3</v>
      </c>
      <c r="L3" s="126">
        <f t="shared" si="0"/>
        <v>4</v>
      </c>
      <c r="M3" s="51">
        <f t="shared" si="0"/>
        <v>5</v>
      </c>
      <c r="N3" s="126">
        <f t="shared" si="0"/>
        <v>6</v>
      </c>
      <c r="O3" s="51">
        <f t="shared" si="0"/>
        <v>7</v>
      </c>
      <c r="P3" s="126">
        <f t="shared" si="0"/>
        <v>1</v>
      </c>
      <c r="Q3" s="126">
        <f t="shared" si="0"/>
        <v>2</v>
      </c>
      <c r="R3" s="126">
        <f t="shared" si="0"/>
        <v>3</v>
      </c>
      <c r="S3" s="126">
        <f t="shared" si="0"/>
        <v>4</v>
      </c>
      <c r="T3" s="51">
        <f t="shared" si="0"/>
        <v>5</v>
      </c>
      <c r="U3" s="126">
        <f t="shared" si="0"/>
        <v>6</v>
      </c>
      <c r="V3" s="51">
        <f t="shared" si="0"/>
        <v>7</v>
      </c>
      <c r="W3" s="126">
        <f t="shared" si="0"/>
        <v>1</v>
      </c>
      <c r="X3" s="126">
        <f t="shared" si="0"/>
        <v>2</v>
      </c>
      <c r="Y3" s="126">
        <f t="shared" si="0"/>
        <v>3</v>
      </c>
      <c r="Z3" s="126">
        <f t="shared" si="0"/>
        <v>4</v>
      </c>
      <c r="AA3" s="51">
        <f t="shared" si="0"/>
        <v>5</v>
      </c>
      <c r="AB3" s="126">
        <f t="shared" si="0"/>
        <v>6</v>
      </c>
      <c r="AC3" s="126">
        <f t="shared" si="0"/>
        <v>7</v>
      </c>
      <c r="AD3" s="126">
        <f t="shared" si="0"/>
        <v>1</v>
      </c>
      <c r="AE3" s="126">
        <f t="shared" si="0"/>
        <v>2</v>
      </c>
      <c r="AF3" s="126">
        <f t="shared" si="0"/>
        <v>3</v>
      </c>
      <c r="AG3" s="283"/>
      <c r="AH3" s="278"/>
      <c r="AI3" s="273"/>
      <c r="AJ3" s="62" t="e">
        <f ca="1">SUM(AH4:AH141)</f>
        <v>#NAME?</v>
      </c>
    </row>
    <row r="4" spans="1:36" ht="18" customHeight="1">
      <c r="A4" s="92" t="s">
        <v>168</v>
      </c>
      <c r="B4" s="93" t="s">
        <v>10</v>
      </c>
      <c r="C4" s="149"/>
      <c r="D4" s="150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66">
        <f t="shared" ref="AG4:AG35" si="1">COUNTA(C4:AF4)</f>
        <v>0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2">B4</f>
        <v>阿發</v>
      </c>
      <c r="AJ4" s="70"/>
    </row>
    <row r="5" spans="1:36" ht="18" customHeight="1">
      <c r="A5" s="95" t="s">
        <v>174</v>
      </c>
      <c r="B5" s="122" t="s">
        <v>11</v>
      </c>
      <c r="C5" s="151"/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49"/>
      <c r="AD5" s="151"/>
      <c r="AE5" s="151"/>
      <c r="AF5" s="151"/>
      <c r="AG5" s="66">
        <f t="shared" si="1"/>
        <v>0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2"/>
        <v>捷升</v>
      </c>
      <c r="AJ5" s="70"/>
    </row>
    <row r="6" spans="1:36" ht="18" customHeight="1">
      <c r="A6" s="95" t="s">
        <v>174</v>
      </c>
      <c r="B6" s="122" t="s">
        <v>14</v>
      </c>
      <c r="C6" s="151"/>
      <c r="D6" s="150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49"/>
      <c r="AD6" s="151"/>
      <c r="AE6" s="151"/>
      <c r="AF6" s="151"/>
      <c r="AG6" s="66">
        <f t="shared" si="1"/>
        <v>0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151"/>
      <c r="D7" s="150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49"/>
      <c r="AD7" s="151"/>
      <c r="AE7" s="151"/>
      <c r="AF7" s="151"/>
      <c r="AG7" s="66">
        <f t="shared" si="1"/>
        <v>0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151"/>
      <c r="D8" s="1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49"/>
      <c r="AD8" s="151"/>
      <c r="AE8" s="151"/>
      <c r="AF8" s="151"/>
      <c r="AG8" s="66">
        <f t="shared" si="1"/>
        <v>0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151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49"/>
      <c r="AD9" s="151"/>
      <c r="AE9" s="151"/>
      <c r="AF9" s="151"/>
      <c r="AG9" s="66">
        <f t="shared" si="1"/>
        <v>0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122" t="s">
        <v>13</v>
      </c>
      <c r="C10" s="151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49"/>
      <c r="AD10" s="151"/>
      <c r="AE10" s="151"/>
      <c r="AF10" s="151"/>
      <c r="AG10" s="66">
        <f t="shared" si="1"/>
        <v>0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2"/>
        <v>李洋</v>
      </c>
      <c r="AJ10" s="70"/>
    </row>
    <row r="11" spans="1:36" ht="18" customHeight="1">
      <c r="A11" s="95" t="s">
        <v>168</v>
      </c>
      <c r="B11" s="96" t="s">
        <v>18</v>
      </c>
      <c r="C11" s="151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49"/>
      <c r="AD11" s="151"/>
      <c r="AE11" s="151"/>
      <c r="AF11" s="151"/>
      <c r="AG11" s="66">
        <f t="shared" si="1"/>
        <v>0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122" t="s">
        <v>19</v>
      </c>
      <c r="C12" s="151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49"/>
      <c r="AD12" s="151"/>
      <c r="AE12" s="151"/>
      <c r="AF12" s="151"/>
      <c r="AG12" s="66">
        <f t="shared" si="1"/>
        <v>0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151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49"/>
      <c r="AD13" s="151"/>
      <c r="AE13" s="151"/>
      <c r="AF13" s="151"/>
      <c r="AG13" s="66">
        <f t="shared" si="1"/>
        <v>0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151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49"/>
      <c r="AD14" s="151"/>
      <c r="AE14" s="151"/>
      <c r="AF14" s="151"/>
      <c r="AG14" s="66">
        <f t="shared" si="1"/>
        <v>0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151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49"/>
      <c r="AD15" s="151"/>
      <c r="AE15" s="151"/>
      <c r="AF15" s="151"/>
      <c r="AG15" s="66">
        <f t="shared" si="1"/>
        <v>0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0"/>
    </row>
    <row r="16" spans="1:36" ht="18" customHeight="1">
      <c r="A16" s="95" t="s">
        <v>174</v>
      </c>
      <c r="B16" s="96" t="s">
        <v>21</v>
      </c>
      <c r="C16" s="151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49"/>
      <c r="AD16" s="151"/>
      <c r="AE16" s="151"/>
      <c r="AF16" s="151"/>
      <c r="AG16" s="66">
        <f t="shared" si="1"/>
        <v>0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151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49"/>
      <c r="AD17" s="151"/>
      <c r="AE17" s="151"/>
      <c r="AF17" s="151"/>
      <c r="AG17" s="66">
        <f t="shared" si="1"/>
        <v>0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99"/>
      <c r="D18" s="132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66">
        <f t="shared" si="1"/>
        <v>0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99"/>
      <c r="D19" s="13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66">
        <f t="shared" si="1"/>
        <v>0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168</v>
      </c>
      <c r="B20" s="100" t="s">
        <v>91</v>
      </c>
      <c r="C20" s="99"/>
      <c r="D20" s="132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66">
        <f t="shared" si="1"/>
        <v>0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柔柔</v>
      </c>
      <c r="AJ20" s="80"/>
    </row>
    <row r="21" spans="1:36" ht="18" customHeight="1">
      <c r="A21" s="99" t="s">
        <v>174</v>
      </c>
      <c r="B21" s="100" t="s">
        <v>92</v>
      </c>
      <c r="C21" s="99"/>
      <c r="D21" s="132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66">
        <f t="shared" si="1"/>
        <v>0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婉晴</v>
      </c>
      <c r="AJ21" s="80"/>
    </row>
    <row r="22" spans="1:36" ht="18" customHeight="1">
      <c r="A22" s="99" t="s">
        <v>174</v>
      </c>
      <c r="B22" s="100" t="s">
        <v>93</v>
      </c>
      <c r="C22" s="99"/>
      <c r="D22" s="132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66">
        <f t="shared" si="1"/>
        <v>0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132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66">
        <f t="shared" si="1"/>
        <v>0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132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66">
        <f t="shared" si="1"/>
        <v>0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高麗菜</v>
      </c>
      <c r="AJ24" s="80"/>
    </row>
    <row r="25" spans="1:36" ht="18" customHeight="1">
      <c r="A25" s="99" t="s">
        <v>174</v>
      </c>
      <c r="B25" s="100" t="s">
        <v>113</v>
      </c>
      <c r="C25" s="99"/>
      <c r="D25" s="132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66">
        <f t="shared" si="1"/>
        <v>0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容容</v>
      </c>
      <c r="AJ25" s="82"/>
    </row>
    <row r="26" spans="1:36" ht="18" customHeight="1">
      <c r="A26" s="99" t="s">
        <v>174</v>
      </c>
      <c r="B26" s="100" t="s">
        <v>94</v>
      </c>
      <c r="C26" s="99"/>
      <c r="D26" s="132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66">
        <f t="shared" si="1"/>
        <v>0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小花</v>
      </c>
      <c r="AJ26" s="80"/>
    </row>
    <row r="27" spans="1:36" ht="18" customHeight="1">
      <c r="A27" s="99" t="s">
        <v>174</v>
      </c>
      <c r="B27" s="100" t="s">
        <v>95</v>
      </c>
      <c r="C27" s="99"/>
      <c r="D27" s="132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66">
        <f t="shared" si="1"/>
        <v>0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2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66">
        <f t="shared" si="1"/>
        <v>0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2"/>
        <v>飛飛</v>
      </c>
      <c r="AJ28" s="81"/>
    </row>
    <row r="29" spans="1:36" ht="18" customHeight="1">
      <c r="A29" s="99" t="s">
        <v>168</v>
      </c>
      <c r="B29" s="100" t="s">
        <v>147</v>
      </c>
      <c r="C29" s="99"/>
      <c r="D29" s="132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66">
        <f t="shared" si="1"/>
        <v>0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2"/>
        <v>湘苡</v>
      </c>
      <c r="AJ29" s="80"/>
    </row>
    <row r="30" spans="1:36" ht="18" customHeight="1">
      <c r="A30" s="99" t="s">
        <v>168</v>
      </c>
      <c r="B30" s="100" t="s">
        <v>148</v>
      </c>
      <c r="C30" s="99"/>
      <c r="D30" s="132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66">
        <f t="shared" si="1"/>
        <v>0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2"/>
        <v>雅雅</v>
      </c>
      <c r="AJ30" s="82"/>
    </row>
    <row r="31" spans="1:36" ht="18" customHeight="1">
      <c r="A31" s="101" t="s">
        <v>174</v>
      </c>
      <c r="B31" s="102" t="s">
        <v>103</v>
      </c>
      <c r="C31" s="101"/>
      <c r="D31" s="137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66">
        <f t="shared" si="1"/>
        <v>0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圈圈</v>
      </c>
      <c r="AJ31" s="90"/>
    </row>
    <row r="32" spans="1:36" ht="18" customHeight="1">
      <c r="A32" s="101" t="s">
        <v>174</v>
      </c>
      <c r="B32" s="102" t="s">
        <v>104</v>
      </c>
      <c r="C32" s="101"/>
      <c r="D32" s="137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66">
        <f t="shared" si="1"/>
        <v>0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2"/>
        <v>卡丘</v>
      </c>
      <c r="AJ32" s="90"/>
    </row>
    <row r="33" spans="1:36" ht="18" customHeight="1">
      <c r="A33" s="101" t="s">
        <v>174</v>
      </c>
      <c r="B33" s="102" t="s">
        <v>105</v>
      </c>
      <c r="C33" s="101"/>
      <c r="D33" s="137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66">
        <f t="shared" si="1"/>
        <v>0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2"/>
        <v>琬蓁</v>
      </c>
      <c r="AJ33" s="90"/>
    </row>
    <row r="34" spans="1:36" ht="18" customHeight="1">
      <c r="A34" s="101" t="s">
        <v>174</v>
      </c>
      <c r="B34" s="102" t="s">
        <v>116</v>
      </c>
      <c r="C34" s="101"/>
      <c r="D34" s="137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66">
        <f t="shared" si="1"/>
        <v>0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2"/>
        <v>大汪</v>
      </c>
      <c r="AJ34" s="89"/>
    </row>
    <row r="35" spans="1:36" ht="18" customHeight="1">
      <c r="A35" s="101" t="s">
        <v>168</v>
      </c>
      <c r="B35" s="102" t="s">
        <v>117</v>
      </c>
      <c r="C35" s="101"/>
      <c r="D35" s="137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66">
        <f t="shared" si="1"/>
        <v>0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2"/>
        <v>依凡</v>
      </c>
      <c r="AJ35" s="89"/>
    </row>
    <row r="36" spans="1:36" ht="18" customHeight="1">
      <c r="A36" s="101" t="s">
        <v>168</v>
      </c>
      <c r="B36" s="102" t="s">
        <v>118</v>
      </c>
      <c r="C36" s="101"/>
      <c r="D36" s="137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66">
        <f t="shared" ref="AG36:AG67" si="3">COUNTA(C36:AF36)</f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4">B36</f>
        <v>雅筑</v>
      </c>
      <c r="AJ36" s="89"/>
    </row>
    <row r="37" spans="1:36" ht="18" customHeight="1">
      <c r="A37" s="101" t="s">
        <v>168</v>
      </c>
      <c r="B37" s="102" t="s">
        <v>119</v>
      </c>
      <c r="C37" s="101"/>
      <c r="D37" s="137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66">
        <f t="shared" si="3"/>
        <v>0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4"/>
        <v>ABBY</v>
      </c>
      <c r="AJ37" s="90"/>
    </row>
    <row r="38" spans="1:36" ht="18" customHeight="1">
      <c r="A38" s="101" t="s">
        <v>168</v>
      </c>
      <c r="B38" s="102" t="s">
        <v>120</v>
      </c>
      <c r="C38" s="101"/>
      <c r="D38" s="137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66">
        <f t="shared" si="3"/>
        <v>0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4"/>
        <v>品君</v>
      </c>
      <c r="AJ38" s="90"/>
    </row>
    <row r="39" spans="1:36" ht="18" customHeight="1">
      <c r="A39" s="101" t="s">
        <v>174</v>
      </c>
      <c r="B39" s="102" t="s">
        <v>121</v>
      </c>
      <c r="C39" s="101"/>
      <c r="D39" s="137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66">
        <f t="shared" si="3"/>
        <v>0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4"/>
        <v>冰沙</v>
      </c>
      <c r="AJ39" s="90"/>
    </row>
    <row r="40" spans="1:36" ht="18" customHeight="1">
      <c r="A40" s="101" t="s">
        <v>168</v>
      </c>
      <c r="B40" s="102" t="s">
        <v>122</v>
      </c>
      <c r="C40" s="101"/>
      <c r="D40" s="137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66">
        <f t="shared" si="3"/>
        <v>0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4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66">
        <f t="shared" si="3"/>
        <v>0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4"/>
        <v>瑤瑤</v>
      </c>
      <c r="AJ41" s="89"/>
    </row>
    <row r="42" spans="1:36" ht="18" customHeight="1">
      <c r="A42" s="95" t="s">
        <v>58</v>
      </c>
      <c r="B42" s="96" t="s">
        <v>23</v>
      </c>
      <c r="C42" s="120"/>
      <c r="D42" s="14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66">
        <f t="shared" si="3"/>
        <v>0</v>
      </c>
      <c r="AH42" s="68" t="e">
        <f ca="1">(IF(A42="O", (VALUE(_xludf.IFS(AG42=0,"0",AG42=1,"150",AG42=2,"300",AG42=3,"450",AG42=4,"600",AG42=5,"750",AG42&gt;=6,"800"))),(VALUE(_xludf.IFS(AG42=0,"0",AG42=1,"150",AG42=2,"300",AG42=3,"450",AG42=4,"600",AG42=5,"750",AG42=6,"900",AG42&gt;=7,"1,000")))))</f>
        <v>#NAME?</v>
      </c>
      <c r="AI42" s="69" t="str">
        <f t="shared" si="4"/>
        <v>ㄈㄈ</v>
      </c>
      <c r="AJ42" s="73"/>
    </row>
    <row r="43" spans="1:36" ht="18" customHeight="1">
      <c r="A43" s="95" t="s">
        <v>58</v>
      </c>
      <c r="B43" s="96" t="s">
        <v>24</v>
      </c>
      <c r="C43" s="120"/>
      <c r="D43" s="14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66">
        <f t="shared" si="3"/>
        <v>0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4"/>
        <v>大熊</v>
      </c>
      <c r="AJ43" s="73"/>
    </row>
    <row r="44" spans="1:36" ht="18" customHeight="1">
      <c r="A44" s="95" t="s">
        <v>58</v>
      </c>
      <c r="B44" s="96" t="s">
        <v>64</v>
      </c>
      <c r="C44" s="120"/>
      <c r="D44" s="14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66">
        <f t="shared" si="3"/>
        <v>0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4"/>
        <v>園棠</v>
      </c>
      <c r="AJ44" s="73"/>
    </row>
    <row r="45" spans="1:36" ht="18" customHeight="1">
      <c r="A45" s="95" t="s">
        <v>58</v>
      </c>
      <c r="B45" s="96" t="s">
        <v>178</v>
      </c>
      <c r="C45" s="120"/>
      <c r="D45" s="14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66">
        <f t="shared" si="3"/>
        <v>0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4"/>
        <v>Fish</v>
      </c>
      <c r="AJ45" s="73"/>
    </row>
    <row r="46" spans="1:36" ht="18" customHeight="1">
      <c r="A46" s="95" t="s">
        <v>174</v>
      </c>
      <c r="B46" s="96" t="s">
        <v>25</v>
      </c>
      <c r="C46" s="120"/>
      <c r="D46" s="14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66">
        <f t="shared" si="3"/>
        <v>0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4"/>
        <v>潘潘</v>
      </c>
      <c r="AJ46" s="73"/>
    </row>
    <row r="47" spans="1:36" ht="18" customHeight="1">
      <c r="A47" s="95" t="s">
        <v>58</v>
      </c>
      <c r="B47" s="96" t="s">
        <v>63</v>
      </c>
      <c r="C47" s="120"/>
      <c r="D47" s="14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66">
        <f t="shared" si="3"/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4"/>
        <v>芒果</v>
      </c>
      <c r="AJ47" s="73"/>
    </row>
    <row r="48" spans="1:36" ht="18" customHeight="1">
      <c r="A48" s="95" t="s">
        <v>58</v>
      </c>
      <c r="B48" s="96" t="s">
        <v>62</v>
      </c>
      <c r="C48" s="120"/>
      <c r="D48" s="14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66">
        <f t="shared" si="3"/>
        <v>0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4"/>
        <v>國源</v>
      </c>
      <c r="AJ48" s="73"/>
    </row>
    <row r="49" spans="1:36" ht="18" customHeight="1">
      <c r="A49" s="95" t="s">
        <v>174</v>
      </c>
      <c r="B49" s="96" t="s">
        <v>26</v>
      </c>
      <c r="C49" s="120"/>
      <c r="D49" s="14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66">
        <f t="shared" si="3"/>
        <v>0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4"/>
        <v>曉強</v>
      </c>
      <c r="AJ49" s="73"/>
    </row>
    <row r="50" spans="1:36" ht="18" customHeight="1">
      <c r="A50" s="95" t="s">
        <v>58</v>
      </c>
      <c r="B50" s="96" t="s">
        <v>59</v>
      </c>
      <c r="C50" s="120"/>
      <c r="D50" s="14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66">
        <f t="shared" si="3"/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4"/>
        <v>阿幹</v>
      </c>
      <c r="AJ50" s="73"/>
    </row>
    <row r="51" spans="1:36" ht="18" customHeight="1">
      <c r="A51" s="95" t="s">
        <v>174</v>
      </c>
      <c r="B51" s="96" t="s">
        <v>27</v>
      </c>
      <c r="C51" s="120"/>
      <c r="D51" s="14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66">
        <f t="shared" si="3"/>
        <v>0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4"/>
        <v>芋圓</v>
      </c>
      <c r="AJ51" s="73"/>
    </row>
    <row r="52" spans="1:36" ht="18" customHeight="1">
      <c r="A52" s="95" t="s">
        <v>58</v>
      </c>
      <c r="B52" s="96" t="s">
        <v>28</v>
      </c>
      <c r="C52" s="120"/>
      <c r="D52" s="14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66">
        <f t="shared" si="3"/>
        <v>0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4"/>
        <v>克勤</v>
      </c>
      <c r="AJ52" s="73"/>
    </row>
    <row r="53" spans="1:36" ht="18" customHeight="1">
      <c r="A53" s="95" t="s">
        <v>58</v>
      </c>
      <c r="B53" s="96" t="s">
        <v>29</v>
      </c>
      <c r="C53" s="120"/>
      <c r="D53" s="14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66">
        <f t="shared" si="3"/>
        <v>0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4"/>
        <v>大頭</v>
      </c>
      <c r="AJ53" s="73"/>
    </row>
    <row r="54" spans="1:36" ht="18" customHeight="1">
      <c r="A54" s="95" t="s">
        <v>58</v>
      </c>
      <c r="B54" s="96" t="s">
        <v>65</v>
      </c>
      <c r="C54" s="120"/>
      <c r="D54" s="14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66">
        <f t="shared" si="3"/>
        <v>0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4"/>
        <v>文淵</v>
      </c>
      <c r="AJ54" s="73"/>
    </row>
    <row r="55" spans="1:36" ht="18" customHeight="1">
      <c r="A55" s="95" t="s">
        <v>58</v>
      </c>
      <c r="B55" s="96" t="s">
        <v>72</v>
      </c>
      <c r="C55" s="120"/>
      <c r="D55" s="14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66">
        <f t="shared" si="3"/>
        <v>0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4"/>
        <v>八卦</v>
      </c>
      <c r="AJ55" s="73"/>
    </row>
    <row r="56" spans="1:36" ht="18" customHeight="1">
      <c r="A56" s="95" t="s">
        <v>58</v>
      </c>
      <c r="B56" s="96" t="s">
        <v>66</v>
      </c>
      <c r="C56" s="120"/>
      <c r="D56" s="14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66">
        <f t="shared" si="3"/>
        <v>0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4"/>
        <v>昆佑</v>
      </c>
      <c r="AJ56" s="73"/>
    </row>
    <row r="57" spans="1:36" ht="18" customHeight="1">
      <c r="A57" s="95" t="s">
        <v>58</v>
      </c>
      <c r="B57" s="96" t="s">
        <v>68</v>
      </c>
      <c r="C57" s="120"/>
      <c r="D57" s="14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66">
        <f t="shared" si="3"/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4"/>
        <v>兔子</v>
      </c>
      <c r="AJ57" s="73"/>
    </row>
    <row r="58" spans="1:36" ht="18" customHeight="1">
      <c r="A58" s="95" t="s">
        <v>58</v>
      </c>
      <c r="B58" s="96" t="s">
        <v>69</v>
      </c>
      <c r="C58" s="120"/>
      <c r="D58" s="14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66">
        <f t="shared" si="3"/>
        <v>0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4"/>
        <v>小馬</v>
      </c>
      <c r="AJ58" s="73"/>
    </row>
    <row r="59" spans="1:36" ht="18" customHeight="1">
      <c r="A59" s="95" t="s">
        <v>58</v>
      </c>
      <c r="B59" s="96" t="s">
        <v>70</v>
      </c>
      <c r="C59" s="120"/>
      <c r="D59" s="14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66">
        <f t="shared" si="3"/>
        <v>0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4"/>
        <v>Allen</v>
      </c>
      <c r="AJ59" s="73"/>
    </row>
    <row r="60" spans="1:36" ht="18" customHeight="1">
      <c r="A60" s="95" t="s">
        <v>58</v>
      </c>
      <c r="B60" s="96" t="s">
        <v>71</v>
      </c>
      <c r="C60" s="120"/>
      <c r="D60" s="14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66">
        <f t="shared" si="3"/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4"/>
        <v>嘴嘴</v>
      </c>
      <c r="AJ60" s="73"/>
    </row>
    <row r="61" spans="1:36" ht="18" customHeight="1">
      <c r="A61" s="95" t="s">
        <v>58</v>
      </c>
      <c r="B61" s="96" t="s">
        <v>74</v>
      </c>
      <c r="C61" s="120"/>
      <c r="D61" s="14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66">
        <f t="shared" si="3"/>
        <v>0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4"/>
        <v>蘆葦</v>
      </c>
      <c r="AJ61" s="73"/>
    </row>
    <row r="62" spans="1:36" ht="18" customHeight="1">
      <c r="A62" s="95" t="s">
        <v>58</v>
      </c>
      <c r="B62" s="96" t="s">
        <v>30</v>
      </c>
      <c r="C62" s="120"/>
      <c r="D62" s="14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66">
        <f t="shared" si="3"/>
        <v>0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4"/>
        <v>鯰魚</v>
      </c>
      <c r="AJ62" s="73"/>
    </row>
    <row r="63" spans="1:36" ht="18" customHeight="1">
      <c r="A63" s="95" t="s">
        <v>58</v>
      </c>
      <c r="B63" s="96" t="s">
        <v>31</v>
      </c>
      <c r="C63" s="120"/>
      <c r="D63" s="14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66">
        <f t="shared" si="3"/>
        <v>0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4"/>
        <v>阿美</v>
      </c>
      <c r="AJ63" s="73"/>
    </row>
    <row r="64" spans="1:36" ht="18" customHeight="1">
      <c r="A64" s="95" t="s">
        <v>58</v>
      </c>
      <c r="B64" s="96" t="s">
        <v>73</v>
      </c>
      <c r="C64" s="120"/>
      <c r="D64" s="14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66">
        <f t="shared" si="3"/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4"/>
        <v>冠軍</v>
      </c>
      <c r="AJ64" s="73"/>
    </row>
    <row r="65" spans="1:36" ht="18" customHeight="1">
      <c r="A65" s="95" t="s">
        <v>58</v>
      </c>
      <c r="B65" s="96" t="s">
        <v>198</v>
      </c>
      <c r="C65" s="120"/>
      <c r="D65" s="14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66">
        <f t="shared" si="3"/>
        <v>0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4"/>
        <v>郁翔</v>
      </c>
      <c r="AJ65" s="73"/>
    </row>
    <row r="66" spans="1:36" ht="18" customHeight="1">
      <c r="A66" s="95" t="s">
        <v>58</v>
      </c>
      <c r="B66" s="96" t="s">
        <v>67</v>
      </c>
      <c r="C66" s="120"/>
      <c r="D66" s="14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66">
        <f t="shared" si="3"/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4"/>
        <v>歐吉</v>
      </c>
      <c r="AJ66" s="73"/>
    </row>
    <row r="67" spans="1:36" ht="18" customHeight="1">
      <c r="A67" s="95" t="s">
        <v>58</v>
      </c>
      <c r="B67" s="96" t="s">
        <v>75</v>
      </c>
      <c r="C67" s="120"/>
      <c r="D67" s="14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66">
        <f t="shared" si="3"/>
        <v>0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4"/>
        <v>叮噹</v>
      </c>
      <c r="AJ67" s="73"/>
    </row>
    <row r="68" spans="1:36" ht="18" customHeight="1">
      <c r="A68" s="95" t="s">
        <v>58</v>
      </c>
      <c r="B68" s="96" t="s">
        <v>76</v>
      </c>
      <c r="C68" s="120"/>
      <c r="D68" s="14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66">
        <f t="shared" ref="AG68:AG99" si="5">COUNTA(C68:AF68)</f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88" si="6">B68</f>
        <v>肥肥</v>
      </c>
      <c r="AJ68" s="73"/>
    </row>
    <row r="69" spans="1:36" ht="18" customHeight="1">
      <c r="A69" s="95" t="s">
        <v>58</v>
      </c>
      <c r="B69" s="96" t="s">
        <v>77</v>
      </c>
      <c r="C69" s="120"/>
      <c r="D69" s="14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66">
        <f t="shared" si="5"/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6"/>
        <v>小夫</v>
      </c>
      <c r="AJ69" s="73"/>
    </row>
    <row r="70" spans="1:36" ht="18" customHeight="1">
      <c r="A70" s="95" t="s">
        <v>58</v>
      </c>
      <c r="B70" s="96" t="s">
        <v>78</v>
      </c>
      <c r="C70" s="120"/>
      <c r="D70" s="14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66">
        <f t="shared" si="5"/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6"/>
        <v>小邱</v>
      </c>
      <c r="AJ70" s="73"/>
    </row>
    <row r="71" spans="1:36" ht="18" customHeight="1">
      <c r="A71" s="95" t="s">
        <v>58</v>
      </c>
      <c r="B71" s="96" t="s">
        <v>79</v>
      </c>
      <c r="C71" s="120"/>
      <c r="D71" s="14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66">
        <f t="shared" si="5"/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6"/>
        <v>淳淳</v>
      </c>
      <c r="AJ71" s="73"/>
    </row>
    <row r="72" spans="1:36" ht="18" customHeight="1">
      <c r="A72" s="95" t="s">
        <v>58</v>
      </c>
      <c r="B72" s="96" t="s">
        <v>80</v>
      </c>
      <c r="C72" s="120"/>
      <c r="D72" s="14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66">
        <f t="shared" si="5"/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6"/>
        <v>禿鷹</v>
      </c>
      <c r="AJ72" s="73"/>
    </row>
    <row r="73" spans="1:36" ht="18" customHeight="1">
      <c r="A73" s="95" t="s">
        <v>58</v>
      </c>
      <c r="B73" s="96" t="s">
        <v>81</v>
      </c>
      <c r="C73" s="120"/>
      <c r="D73" s="14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66">
        <f t="shared" si="5"/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6"/>
        <v>王宏</v>
      </c>
      <c r="AJ73" s="73"/>
    </row>
    <row r="74" spans="1:36" ht="18" customHeight="1">
      <c r="A74" s="95" t="s">
        <v>58</v>
      </c>
      <c r="B74" s="96" t="s">
        <v>82</v>
      </c>
      <c r="C74" s="120"/>
      <c r="D74" s="14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66">
        <f t="shared" si="5"/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6"/>
        <v>犀牛</v>
      </c>
      <c r="AJ74" s="73"/>
    </row>
    <row r="75" spans="1:36" ht="18" customHeight="1">
      <c r="A75" s="95" t="s">
        <v>58</v>
      </c>
      <c r="B75" s="96" t="s">
        <v>83</v>
      </c>
      <c r="C75" s="120"/>
      <c r="D75" s="14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66">
        <f t="shared" si="5"/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6"/>
        <v>來福</v>
      </c>
      <c r="AJ75" s="73"/>
    </row>
    <row r="76" spans="1:36" ht="18" customHeight="1">
      <c r="A76" s="95" t="s">
        <v>58</v>
      </c>
      <c r="B76" s="96" t="s">
        <v>84</v>
      </c>
      <c r="C76" s="120"/>
      <c r="D76" s="14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66">
        <f t="shared" si="5"/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6"/>
        <v>誌誌</v>
      </c>
      <c r="AJ76" s="73"/>
    </row>
    <row r="77" spans="1:36" ht="18" customHeight="1">
      <c r="A77" s="95" t="s">
        <v>58</v>
      </c>
      <c r="B77" s="96" t="s">
        <v>86</v>
      </c>
      <c r="C77" s="120"/>
      <c r="D77" s="14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66">
        <f t="shared" si="5"/>
        <v>0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6"/>
        <v>正誼</v>
      </c>
      <c r="AJ77" s="73"/>
    </row>
    <row r="78" spans="1:36" ht="18" customHeight="1">
      <c r="A78" s="95" t="s">
        <v>58</v>
      </c>
      <c r="B78" s="96" t="s">
        <v>32</v>
      </c>
      <c r="C78" s="120"/>
      <c r="D78" s="14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66">
        <f t="shared" si="5"/>
        <v>0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6"/>
        <v>小翔</v>
      </c>
      <c r="AJ78" s="73"/>
    </row>
    <row r="79" spans="1:36" ht="18" customHeight="1">
      <c r="A79" s="95" t="s">
        <v>58</v>
      </c>
      <c r="B79" s="96" t="s">
        <v>179</v>
      </c>
      <c r="C79" s="120"/>
      <c r="D79" s="14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66">
        <f t="shared" si="5"/>
        <v>0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6"/>
        <v>玹玹</v>
      </c>
      <c r="AJ79" s="73"/>
    </row>
    <row r="80" spans="1:36" ht="18" customHeight="1">
      <c r="A80" s="95" t="s">
        <v>58</v>
      </c>
      <c r="B80" s="96" t="s">
        <v>85</v>
      </c>
      <c r="C80" s="120"/>
      <c r="D80" s="14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66">
        <f t="shared" si="5"/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6"/>
        <v>阿璽</v>
      </c>
      <c r="AJ80" s="73"/>
    </row>
    <row r="81" spans="1:36" ht="18" customHeight="1">
      <c r="A81" s="95" t="s">
        <v>58</v>
      </c>
      <c r="B81" s="96" t="s">
        <v>33</v>
      </c>
      <c r="C81" s="120"/>
      <c r="D81" s="14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66">
        <f t="shared" si="5"/>
        <v>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6"/>
        <v>一飛</v>
      </c>
      <c r="AJ81" s="73"/>
    </row>
    <row r="82" spans="1:36" ht="18" customHeight="1">
      <c r="A82" s="95" t="s">
        <v>58</v>
      </c>
      <c r="B82" s="96" t="s">
        <v>34</v>
      </c>
      <c r="C82" s="120"/>
      <c r="D82" s="14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66">
        <f t="shared" si="5"/>
        <v>0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6"/>
        <v>雲翔</v>
      </c>
      <c r="AJ82" s="70"/>
    </row>
    <row r="83" spans="1:36" ht="18" customHeight="1">
      <c r="A83" s="95" t="s">
        <v>58</v>
      </c>
      <c r="B83" s="96" t="s">
        <v>88</v>
      </c>
      <c r="C83" s="120"/>
      <c r="D83" s="14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66">
        <f t="shared" si="5"/>
        <v>0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6"/>
        <v>皓皓</v>
      </c>
      <c r="AJ83" s="70"/>
    </row>
    <row r="84" spans="1:36" ht="18" customHeight="1">
      <c r="A84" s="95" t="s">
        <v>58</v>
      </c>
      <c r="B84" s="96" t="s">
        <v>35</v>
      </c>
      <c r="C84" s="120"/>
      <c r="D84" s="14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66">
        <f t="shared" si="5"/>
        <v>0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6"/>
        <v>阿戴</v>
      </c>
      <c r="AJ84" s="70"/>
    </row>
    <row r="85" spans="1:36" ht="18" customHeight="1">
      <c r="A85" s="95" t="s">
        <v>174</v>
      </c>
      <c r="B85" s="96" t="s">
        <v>36</v>
      </c>
      <c r="C85" s="120"/>
      <c r="D85" s="14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66">
        <f t="shared" si="5"/>
        <v>0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6"/>
        <v>子澔</v>
      </c>
      <c r="AJ85" s="70"/>
    </row>
    <row r="86" spans="1:36" ht="18" customHeight="1">
      <c r="A86" s="95" t="s">
        <v>58</v>
      </c>
      <c r="B86" s="96" t="s">
        <v>37</v>
      </c>
      <c r="C86" s="120"/>
      <c r="D86" s="14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66">
        <f t="shared" si="5"/>
        <v>0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6"/>
        <v>魚仔</v>
      </c>
      <c r="AJ86" s="70"/>
    </row>
    <row r="87" spans="1:36" ht="18" customHeight="1">
      <c r="A87" s="95" t="s">
        <v>58</v>
      </c>
      <c r="B87" s="96" t="s">
        <v>87</v>
      </c>
      <c r="C87" s="120"/>
      <c r="D87" s="14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66">
        <f t="shared" si="5"/>
        <v>0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6"/>
        <v>Mango</v>
      </c>
      <c r="AJ87" s="70"/>
    </row>
    <row r="88" spans="1:36" ht="18" customHeight="1">
      <c r="A88" s="95" t="s">
        <v>58</v>
      </c>
      <c r="B88" s="96" t="s">
        <v>38</v>
      </c>
      <c r="C88" s="120"/>
      <c r="D88" s="14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66">
        <f t="shared" si="5"/>
        <v>0</v>
      </c>
      <c r="AH88" s="6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69" t="str">
        <f t="shared" si="6"/>
        <v>阿龍</v>
      </c>
      <c r="AJ88" s="70"/>
    </row>
    <row r="89" spans="1:36" ht="18" customHeight="1">
      <c r="A89" s="95" t="s">
        <v>58</v>
      </c>
      <c r="B89" s="96" t="s">
        <v>39</v>
      </c>
      <c r="C89" s="120"/>
      <c r="D89" s="14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66">
        <f t="shared" si="5"/>
        <v>0</v>
      </c>
      <c r="AH89" s="6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69" t="s">
        <v>39</v>
      </c>
      <c r="AJ89" s="70"/>
    </row>
    <row r="90" spans="1:36" ht="18" customHeight="1">
      <c r="A90" s="95" t="s">
        <v>58</v>
      </c>
      <c r="B90" s="96" t="s">
        <v>223</v>
      </c>
      <c r="C90" s="120"/>
      <c r="D90" s="14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60"/>
      <c r="W90" s="164"/>
      <c r="X90" s="160"/>
      <c r="Y90" s="164"/>
      <c r="Z90" s="160"/>
      <c r="AA90" s="120"/>
      <c r="AB90" s="120"/>
      <c r="AC90" s="120"/>
      <c r="AD90" s="120"/>
      <c r="AE90" s="120"/>
      <c r="AF90" s="120"/>
      <c r="AG90" s="66">
        <f t="shared" si="5"/>
        <v>0</v>
      </c>
      <c r="AH90" s="6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69" t="s">
        <v>223</v>
      </c>
      <c r="AJ90" s="70"/>
    </row>
    <row r="91" spans="1:36" ht="18" customHeight="1">
      <c r="A91" s="95" t="s">
        <v>58</v>
      </c>
      <c r="B91" s="96" t="s">
        <v>40</v>
      </c>
      <c r="C91" s="120"/>
      <c r="D91" s="14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66">
        <v>0</v>
      </c>
      <c r="AH91" s="68">
        <v>0</v>
      </c>
      <c r="AI91" s="69" t="s">
        <v>40</v>
      </c>
      <c r="AJ91" s="70"/>
    </row>
    <row r="92" spans="1:36" ht="18" customHeight="1">
      <c r="A92" s="95"/>
      <c r="B92" s="96"/>
      <c r="C92" s="120"/>
      <c r="D92" s="14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66"/>
      <c r="AH92" s="142"/>
      <c r="AI92" s="69"/>
      <c r="AJ92" s="70"/>
    </row>
    <row r="93" spans="1:36" ht="18" customHeight="1">
      <c r="A93" s="99" t="s">
        <v>58</v>
      </c>
      <c r="B93" s="100" t="s">
        <v>151</v>
      </c>
      <c r="C93" s="99"/>
      <c r="D93" s="132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66">
        <f t="shared" ref="AG93:AG140" si="7">COUNTA(C93:AF93)</f>
        <v>0</v>
      </c>
      <c r="AH93" s="9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79" t="str">
        <f t="shared" ref="AI93:AI112" si="8">B93</f>
        <v>宇嬅</v>
      </c>
      <c r="AJ93" s="82"/>
    </row>
    <row r="94" spans="1:36" ht="18" customHeight="1">
      <c r="A94" s="99" t="s">
        <v>58</v>
      </c>
      <c r="B94" s="100" t="s">
        <v>152</v>
      </c>
      <c r="C94" s="99"/>
      <c r="D94" s="132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66">
        <f t="shared" si="7"/>
        <v>0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si="8"/>
        <v>阿俗</v>
      </c>
      <c r="AJ94" s="81"/>
    </row>
    <row r="95" spans="1:36" ht="18" customHeight="1">
      <c r="A95" s="99" t="s">
        <v>58</v>
      </c>
      <c r="B95" s="100" t="s">
        <v>153</v>
      </c>
      <c r="C95" s="99"/>
      <c r="D95" s="132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66">
        <f t="shared" si="7"/>
        <v>0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8"/>
        <v>傻妹</v>
      </c>
      <c r="AJ95" s="81"/>
    </row>
    <row r="96" spans="1:36" ht="18" customHeight="1">
      <c r="A96" s="99" t="s">
        <v>58</v>
      </c>
      <c r="B96" s="100" t="s">
        <v>96</v>
      </c>
      <c r="C96" s="99"/>
      <c r="D96" s="132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66">
        <f t="shared" si="7"/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8"/>
        <v>靜婷</v>
      </c>
      <c r="AJ96" s="81"/>
    </row>
    <row r="97" spans="1:36" ht="18" customHeight="1">
      <c r="A97" s="99" t="s">
        <v>58</v>
      </c>
      <c r="B97" s="100" t="s">
        <v>154</v>
      </c>
      <c r="C97" s="99"/>
      <c r="D97" s="132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66">
        <f t="shared" si="7"/>
        <v>0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8"/>
        <v>筱攸</v>
      </c>
      <c r="AJ97" s="81"/>
    </row>
    <row r="98" spans="1:36" ht="18" customHeight="1">
      <c r="A98" s="99" t="s">
        <v>58</v>
      </c>
      <c r="B98" s="100" t="s">
        <v>155</v>
      </c>
      <c r="C98" s="99"/>
      <c r="D98" s="132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66">
        <f t="shared" si="7"/>
        <v>0</v>
      </c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8"/>
        <v>康康</v>
      </c>
      <c r="AJ98" s="81"/>
    </row>
    <row r="99" spans="1:36" ht="18" customHeight="1">
      <c r="A99" s="99" t="s">
        <v>58</v>
      </c>
      <c r="B99" s="100" t="s">
        <v>156</v>
      </c>
      <c r="C99" s="99"/>
      <c r="D99" s="132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66">
        <f t="shared" si="7"/>
        <v>0</v>
      </c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8"/>
        <v>阿金</v>
      </c>
      <c r="AJ99" s="81"/>
    </row>
    <row r="100" spans="1:36" ht="18" customHeight="1">
      <c r="A100" s="99" t="s">
        <v>58</v>
      </c>
      <c r="B100" s="100" t="s">
        <v>157</v>
      </c>
      <c r="C100" s="99"/>
      <c r="D100" s="132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66">
        <f t="shared" si="7"/>
        <v>0</v>
      </c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si="8"/>
        <v>派大</v>
      </c>
      <c r="AJ100" s="81"/>
    </row>
    <row r="101" spans="1:36" ht="18" customHeight="1">
      <c r="A101" s="99" t="s">
        <v>58</v>
      </c>
      <c r="B101" s="100" t="s">
        <v>158</v>
      </c>
      <c r="C101" s="99"/>
      <c r="D101" s="132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66">
        <f t="shared" si="7"/>
        <v>0</v>
      </c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8"/>
        <v>吉娃</v>
      </c>
      <c r="AJ101" s="81"/>
    </row>
    <row r="102" spans="1:36" ht="18" customHeight="1">
      <c r="A102" s="99" t="s">
        <v>58</v>
      </c>
      <c r="B102" s="100" t="s">
        <v>159</v>
      </c>
      <c r="C102" s="99"/>
      <c r="D102" s="132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66">
        <f t="shared" si="7"/>
        <v>0</v>
      </c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8"/>
        <v>小寧</v>
      </c>
      <c r="AJ102" s="81"/>
    </row>
    <row r="103" spans="1:36" ht="18" customHeight="1">
      <c r="A103" s="99" t="s">
        <v>58</v>
      </c>
      <c r="B103" s="100" t="s">
        <v>160</v>
      </c>
      <c r="C103" s="99"/>
      <c r="D103" s="132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66">
        <f t="shared" si="7"/>
        <v>0</v>
      </c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8"/>
        <v>小妹</v>
      </c>
      <c r="AJ103" s="81"/>
    </row>
    <row r="104" spans="1:36" ht="18" customHeight="1">
      <c r="A104" s="99" t="s">
        <v>58</v>
      </c>
      <c r="B104" s="100" t="s">
        <v>101</v>
      </c>
      <c r="C104" s="99"/>
      <c r="D104" s="132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66">
        <f t="shared" si="7"/>
        <v>0</v>
      </c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8"/>
        <v>文媛</v>
      </c>
      <c r="AJ104" s="81"/>
    </row>
    <row r="105" spans="1:36" ht="18" customHeight="1">
      <c r="A105" s="99" t="s">
        <v>58</v>
      </c>
      <c r="B105" s="100" t="s">
        <v>161</v>
      </c>
      <c r="C105" s="99"/>
      <c r="D105" s="132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66">
        <f t="shared" si="7"/>
        <v>0</v>
      </c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8"/>
        <v>佩鈺</v>
      </c>
      <c r="AJ105" s="81"/>
    </row>
    <row r="106" spans="1:36" ht="18" customHeight="1">
      <c r="A106" s="99" t="s">
        <v>58</v>
      </c>
      <c r="B106" s="100" t="s">
        <v>162</v>
      </c>
      <c r="C106" s="99"/>
      <c r="D106" s="132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66">
        <f t="shared" si="7"/>
        <v>0</v>
      </c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8"/>
        <v>阿布</v>
      </c>
      <c r="AJ106" s="81"/>
    </row>
    <row r="107" spans="1:36" ht="18" customHeight="1">
      <c r="A107" s="99" t="s">
        <v>58</v>
      </c>
      <c r="B107" s="100" t="s">
        <v>100</v>
      </c>
      <c r="C107" s="99"/>
      <c r="D107" s="132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66">
        <f t="shared" si="7"/>
        <v>0</v>
      </c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8"/>
        <v>餅餅</v>
      </c>
      <c r="AJ107" s="81"/>
    </row>
    <row r="108" spans="1:36" ht="18" customHeight="1">
      <c r="A108" s="99" t="s">
        <v>58</v>
      </c>
      <c r="B108" s="100" t="s">
        <v>163</v>
      </c>
      <c r="C108" s="99"/>
      <c r="D108" s="132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66">
        <f t="shared" si="7"/>
        <v>0</v>
      </c>
      <c r="AH108" s="98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79" t="str">
        <f t="shared" si="8"/>
        <v>小個</v>
      </c>
      <c r="AJ108" s="81"/>
    </row>
    <row r="109" spans="1:36" ht="18" customHeight="1">
      <c r="A109" s="99" t="s">
        <v>58</v>
      </c>
      <c r="B109" s="100" t="s">
        <v>164</v>
      </c>
      <c r="C109" s="99"/>
      <c r="D109" s="132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66">
        <f t="shared" si="7"/>
        <v>0</v>
      </c>
      <c r="AH109" s="98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79" t="str">
        <f t="shared" si="8"/>
        <v>小菜</v>
      </c>
      <c r="AJ109" s="81"/>
    </row>
    <row r="110" spans="1:36" ht="18" customHeight="1">
      <c r="A110" s="99" t="s">
        <v>58</v>
      </c>
      <c r="B110" s="100" t="s">
        <v>102</v>
      </c>
      <c r="C110" s="99"/>
      <c r="D110" s="132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66">
        <f t="shared" si="7"/>
        <v>0</v>
      </c>
      <c r="AH110" s="98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79" t="str">
        <f t="shared" si="8"/>
        <v>妮妮</v>
      </c>
      <c r="AJ110" s="81"/>
    </row>
    <row r="111" spans="1:36" ht="18" customHeight="1">
      <c r="A111" s="99" t="s">
        <v>58</v>
      </c>
      <c r="B111" s="100" t="s">
        <v>165</v>
      </c>
      <c r="C111" s="99"/>
      <c r="D111" s="132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66">
        <f t="shared" si="7"/>
        <v>0</v>
      </c>
      <c r="AH111" s="98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79" t="str">
        <f t="shared" si="8"/>
        <v>小貓</v>
      </c>
      <c r="AJ111" s="81"/>
    </row>
    <row r="112" spans="1:36" ht="18" customHeight="1">
      <c r="A112" s="99" t="s">
        <v>58</v>
      </c>
      <c r="B112" s="100" t="s">
        <v>166</v>
      </c>
      <c r="C112" s="99"/>
      <c r="D112" s="132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66">
        <f t="shared" si="7"/>
        <v>0</v>
      </c>
      <c r="AH112" s="98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79" t="str">
        <f t="shared" si="8"/>
        <v>哈比</v>
      </c>
      <c r="AJ112" s="81"/>
    </row>
    <row r="113" spans="1:36" ht="18" customHeight="1">
      <c r="A113" s="99" t="s">
        <v>58</v>
      </c>
      <c r="B113" s="100" t="s">
        <v>97</v>
      </c>
      <c r="C113" s="99"/>
      <c r="D113" s="132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66">
        <f t="shared" si="7"/>
        <v>0</v>
      </c>
      <c r="AH113" s="98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79" t="s">
        <v>97</v>
      </c>
      <c r="AJ113" s="81"/>
    </row>
    <row r="114" spans="1:36" ht="18" customHeight="1">
      <c r="A114" s="99" t="s">
        <v>58</v>
      </c>
      <c r="B114" s="100" t="s">
        <v>98</v>
      </c>
      <c r="C114" s="99"/>
      <c r="D114" s="132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66">
        <f t="shared" si="7"/>
        <v>0</v>
      </c>
      <c r="AH114" s="98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79" t="s">
        <v>98</v>
      </c>
      <c r="AJ114" s="81"/>
    </row>
    <row r="115" spans="1:36" ht="18" customHeight="1">
      <c r="A115" s="99" t="s">
        <v>58</v>
      </c>
      <c r="B115" s="100" t="s">
        <v>99</v>
      </c>
      <c r="C115" s="99"/>
      <c r="D115" s="132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66">
        <f t="shared" si="7"/>
        <v>0</v>
      </c>
      <c r="AH115" s="98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79" t="s">
        <v>99</v>
      </c>
      <c r="AJ115" s="81"/>
    </row>
    <row r="116" spans="1:36" ht="18" customHeight="1">
      <c r="A116" s="101" t="s">
        <v>58</v>
      </c>
      <c r="B116" s="102" t="s">
        <v>124</v>
      </c>
      <c r="C116" s="101"/>
      <c r="D116" s="137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66">
        <f t="shared" si="7"/>
        <v>0</v>
      </c>
      <c r="AH116" s="103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88" t="str">
        <f t="shared" ref="AI116:AI140" si="9">B116</f>
        <v>玉蕙</v>
      </c>
      <c r="AJ116" s="89"/>
    </row>
    <row r="117" spans="1:36" ht="18" customHeight="1">
      <c r="A117" s="101" t="s">
        <v>58</v>
      </c>
      <c r="B117" s="102" t="s">
        <v>125</v>
      </c>
      <c r="C117" s="101"/>
      <c r="D117" s="137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66">
        <f t="shared" si="7"/>
        <v>0</v>
      </c>
      <c r="AH117" s="103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si="9"/>
        <v>沛緁</v>
      </c>
      <c r="AJ117" s="89"/>
    </row>
    <row r="118" spans="1:36" ht="18" customHeight="1">
      <c r="A118" s="101" t="s">
        <v>58</v>
      </c>
      <c r="B118" s="102" t="s">
        <v>126</v>
      </c>
      <c r="C118" s="101"/>
      <c r="D118" s="137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66">
        <f t="shared" si="7"/>
        <v>0</v>
      </c>
      <c r="AH118" s="103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9"/>
        <v>妹妹</v>
      </c>
      <c r="AJ118" s="89"/>
    </row>
    <row r="119" spans="1:36" ht="18" customHeight="1">
      <c r="A119" s="101" t="s">
        <v>58</v>
      </c>
      <c r="B119" s="102" t="s">
        <v>127</v>
      </c>
      <c r="C119" s="101"/>
      <c r="D119" s="137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66">
        <f t="shared" si="7"/>
        <v>0</v>
      </c>
      <c r="AH119" s="103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9"/>
        <v>小雞</v>
      </c>
      <c r="AJ119" s="89"/>
    </row>
    <row r="120" spans="1:36" ht="18" customHeight="1">
      <c r="A120" s="101" t="s">
        <v>58</v>
      </c>
      <c r="B120" s="102" t="s">
        <v>128</v>
      </c>
      <c r="C120" s="101"/>
      <c r="D120" s="137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66">
        <f t="shared" si="7"/>
        <v>0</v>
      </c>
      <c r="AH120" s="103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9"/>
        <v>雨昕</v>
      </c>
      <c r="AJ120" s="89"/>
    </row>
    <row r="121" spans="1:36" ht="18" customHeight="1">
      <c r="A121" s="101" t="s">
        <v>58</v>
      </c>
      <c r="B121" s="102" t="s">
        <v>129</v>
      </c>
      <c r="C121" s="101"/>
      <c r="D121" s="137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66">
        <f t="shared" si="7"/>
        <v>0</v>
      </c>
      <c r="AH121" s="103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9"/>
        <v>矮矮</v>
      </c>
      <c r="AJ121" s="89"/>
    </row>
    <row r="122" spans="1:36" ht="18" customHeight="1">
      <c r="A122" s="101" t="s">
        <v>58</v>
      </c>
      <c r="B122" s="102" t="s">
        <v>130</v>
      </c>
      <c r="C122" s="101"/>
      <c r="D122" s="137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66">
        <f t="shared" si="7"/>
        <v>0</v>
      </c>
      <c r="AH122" s="103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9"/>
        <v>猛女</v>
      </c>
      <c r="AJ122" s="89"/>
    </row>
    <row r="123" spans="1:36" ht="18" customHeight="1">
      <c r="A123" s="101" t="s">
        <v>58</v>
      </c>
      <c r="B123" s="102" t="s">
        <v>131</v>
      </c>
      <c r="C123" s="101"/>
      <c r="D123" s="137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66">
        <f t="shared" si="7"/>
        <v>0</v>
      </c>
      <c r="AH123" s="103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9"/>
        <v>欣容</v>
      </c>
      <c r="AJ123" s="89"/>
    </row>
    <row r="124" spans="1:36" ht="18" customHeight="1">
      <c r="A124" s="101" t="s">
        <v>58</v>
      </c>
      <c r="B124" s="102" t="s">
        <v>132</v>
      </c>
      <c r="C124" s="101"/>
      <c r="D124" s="137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66">
        <f t="shared" si="7"/>
        <v>0</v>
      </c>
      <c r="AH124" s="103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9"/>
        <v>萁萁</v>
      </c>
      <c r="AJ124" s="89"/>
    </row>
    <row r="125" spans="1:36" ht="18" customHeight="1">
      <c r="A125" s="101" t="s">
        <v>58</v>
      </c>
      <c r="B125" s="102" t="s">
        <v>133</v>
      </c>
      <c r="C125" s="101"/>
      <c r="D125" s="137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66">
        <f t="shared" si="7"/>
        <v>0</v>
      </c>
      <c r="AH125" s="87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9"/>
        <v>萱</v>
      </c>
      <c r="AJ125" s="91"/>
    </row>
    <row r="126" spans="1:36" ht="18" customHeight="1">
      <c r="A126" s="101" t="s">
        <v>58</v>
      </c>
      <c r="B126" s="102" t="s">
        <v>134</v>
      </c>
      <c r="C126" s="101"/>
      <c r="D126" s="137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66">
        <f t="shared" si="7"/>
        <v>0</v>
      </c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9"/>
        <v>Mei</v>
      </c>
      <c r="AJ126" s="91"/>
    </row>
    <row r="127" spans="1:36" ht="18" customHeight="1">
      <c r="A127" s="101" t="s">
        <v>58</v>
      </c>
      <c r="B127" s="102" t="s">
        <v>135</v>
      </c>
      <c r="C127" s="101"/>
      <c r="D127" s="137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66">
        <f t="shared" si="7"/>
        <v>0</v>
      </c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9"/>
        <v>屁屁</v>
      </c>
      <c r="AJ127" s="91"/>
    </row>
    <row r="128" spans="1:36" ht="18" customHeight="1">
      <c r="A128" s="101" t="s">
        <v>58</v>
      </c>
      <c r="B128" s="102" t="s">
        <v>136</v>
      </c>
      <c r="C128" s="101"/>
      <c r="D128" s="137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66">
        <f t="shared" si="7"/>
        <v>0</v>
      </c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9"/>
        <v>泡泡</v>
      </c>
      <c r="AJ128" s="91"/>
    </row>
    <row r="129" spans="1:36" ht="18" customHeight="1">
      <c r="A129" s="101" t="s">
        <v>58</v>
      </c>
      <c r="B129" s="102" t="s">
        <v>137</v>
      </c>
      <c r="C129" s="101"/>
      <c r="D129" s="137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66">
        <f t="shared" si="7"/>
        <v>0</v>
      </c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9"/>
        <v>姚</v>
      </c>
      <c r="AJ129" s="91"/>
    </row>
    <row r="130" spans="1:36" ht="18" customHeight="1">
      <c r="A130" s="101" t="s">
        <v>58</v>
      </c>
      <c r="B130" s="102" t="s">
        <v>138</v>
      </c>
      <c r="C130" s="101"/>
      <c r="D130" s="137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66">
        <f t="shared" si="7"/>
        <v>0</v>
      </c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9"/>
        <v>奜茜</v>
      </c>
      <c r="AJ130" s="91"/>
    </row>
    <row r="131" spans="1:36" ht="18" customHeight="1">
      <c r="A131" s="101" t="s">
        <v>58</v>
      </c>
      <c r="B131" s="115" t="s">
        <v>139</v>
      </c>
      <c r="C131" s="101"/>
      <c r="D131" s="137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66">
        <f t="shared" si="7"/>
        <v>0</v>
      </c>
      <c r="AH131" s="87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88" t="str">
        <f t="shared" si="9"/>
        <v>Tina</v>
      </c>
      <c r="AJ131" s="91"/>
    </row>
    <row r="132" spans="1:36" ht="18" customHeight="1">
      <c r="A132" s="101" t="s">
        <v>58</v>
      </c>
      <c r="B132" s="115" t="s">
        <v>140</v>
      </c>
      <c r="C132" s="101"/>
      <c r="D132" s="137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66">
        <f t="shared" si="7"/>
        <v>0</v>
      </c>
      <c r="AH132" s="87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88" t="str">
        <f t="shared" si="9"/>
        <v>芷琦</v>
      </c>
      <c r="AJ132" s="91"/>
    </row>
    <row r="133" spans="1:36" ht="18" customHeight="1">
      <c r="A133" s="101" t="s">
        <v>58</v>
      </c>
      <c r="B133" s="115" t="s">
        <v>106</v>
      </c>
      <c r="C133" s="101"/>
      <c r="D133" s="137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66">
        <f t="shared" si="7"/>
        <v>0</v>
      </c>
      <c r="AH133" s="87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88" t="str">
        <f t="shared" si="9"/>
        <v>Nina</v>
      </c>
      <c r="AJ133" s="91"/>
    </row>
    <row r="134" spans="1:36" ht="18" customHeight="1">
      <c r="A134" s="101" t="s">
        <v>58</v>
      </c>
      <c r="B134" s="102" t="s">
        <v>141</v>
      </c>
      <c r="C134" s="101"/>
      <c r="D134" s="137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66">
        <f t="shared" si="7"/>
        <v>0</v>
      </c>
      <c r="AH134" s="87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88" t="str">
        <f t="shared" si="9"/>
        <v>Cindy</v>
      </c>
      <c r="AJ134" s="91"/>
    </row>
    <row r="135" spans="1:36" ht="18" customHeight="1">
      <c r="A135" s="101" t="s">
        <v>58</v>
      </c>
      <c r="B135" s="102" t="s">
        <v>142</v>
      </c>
      <c r="C135" s="101"/>
      <c r="D135" s="137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66">
        <f t="shared" si="7"/>
        <v>0</v>
      </c>
      <c r="AH135" s="87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88" t="str">
        <f t="shared" si="9"/>
        <v>如靜</v>
      </c>
      <c r="AJ135" s="91"/>
    </row>
    <row r="136" spans="1:36" ht="18" customHeight="1">
      <c r="A136" s="101" t="s">
        <v>58</v>
      </c>
      <c r="B136" s="102" t="s">
        <v>143</v>
      </c>
      <c r="C136" s="101"/>
      <c r="D136" s="137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66">
        <f t="shared" si="7"/>
        <v>0</v>
      </c>
      <c r="AH136" s="87" t="e">
        <f ca="1">IF(A136="O", (VALUE(_xludf.IFS(AG136=0,"0",AG136=1,"150",AG136=2,"300",AG136=3,"450",AG136=4,"600",AG136=5,"750",AG136&gt;=6,"800"))),(VALUE(_xludf.IFS(AG136=0,"0",AG136=1,"150",AG136=2,"300",AG136=3,"450",AG136=4,"600",AG136=5,"750",AG136=6,"900",AG136&gt;=7,"1,000"))))</f>
        <v>#NAME?</v>
      </c>
      <c r="AI136" s="88" t="str">
        <f t="shared" si="9"/>
        <v>毓玫</v>
      </c>
      <c r="AJ136" s="91"/>
    </row>
    <row r="137" spans="1:36" ht="18" customHeight="1">
      <c r="A137" s="101" t="s">
        <v>58</v>
      </c>
      <c r="B137" s="102" t="s">
        <v>144</v>
      </c>
      <c r="C137" s="101"/>
      <c r="D137" s="137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66">
        <f t="shared" si="7"/>
        <v>0</v>
      </c>
      <c r="AH137" s="87" t="e">
        <f ca="1">IF(A137="O", (VALUE(_xludf.IFS(AG137=0,"0",AG137=1,"150",AG137=2,"300",AG137=3,"450",AG137=4,"600",AG137=5,"750",AG137&gt;=6,"800"))),(VALUE(_xludf.IFS(AG137=0,"0",AG137=1,"150",AG137=2,"300",AG137=3,"450",AG137=4,"600",AG137=5,"750",AG137=6,"900",AG137&gt;=7,"1,000"))))</f>
        <v>#NAME?</v>
      </c>
      <c r="AI137" s="88" t="str">
        <f t="shared" si="9"/>
        <v>美枝</v>
      </c>
      <c r="AJ137" s="91"/>
    </row>
    <row r="138" spans="1:36" ht="18" customHeight="1">
      <c r="A138" s="101" t="s">
        <v>58</v>
      </c>
      <c r="B138" s="102" t="s">
        <v>145</v>
      </c>
      <c r="C138" s="101"/>
      <c r="D138" s="137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66">
        <f t="shared" si="7"/>
        <v>0</v>
      </c>
      <c r="AH138" s="87" t="e">
        <f ca="1">IF(A138="O", (VALUE(_xludf.IFS(AG138=0,"0",AG138=1,"150",AG138=2,"300",AG138=3,"450",AG138=4,"600",AG138=5,"750",AG138&gt;=6,"800"))),(VALUE(_xludf.IFS(AG138=0,"0",AG138=1,"150",AG138=2,"300",AG138=3,"450",AG138=4,"600",AG138=5,"750",AG138=6,"900",AG138&gt;=7,"1,000"))))</f>
        <v>#NAME?</v>
      </c>
      <c r="AI138" s="88" t="str">
        <f t="shared" si="9"/>
        <v>魯魯咪</v>
      </c>
      <c r="AJ138" s="91"/>
    </row>
    <row r="139" spans="1:36" ht="18" customHeight="1">
      <c r="A139" s="120" t="s">
        <v>58</v>
      </c>
      <c r="B139" s="121" t="s">
        <v>41</v>
      </c>
      <c r="C139" s="120"/>
      <c r="D139" s="14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66">
        <f t="shared" si="7"/>
        <v>0</v>
      </c>
      <c r="AH139" s="108" t="e">
        <f ca="1">IF(A139="O", (VALUE(_xludf.IFS(AG139=0,"0",AG139=1,"150",AG139=2,"300",AG139=3,"450",AG139=4,"600",AG139=5,"750",AG139&gt;=6,"800"))),(VALUE(_xludf.IFS(AG139=0,"0",AG139=1,"150",AG139=2,"300",AG139=3,"450",AG139=4,"600",AG139=5,"750",AG139=6,"900",AG139&gt;=7,"1,000"))))</f>
        <v>#NAME?</v>
      </c>
      <c r="AI139" s="109" t="str">
        <f t="shared" si="9"/>
        <v>軟軟</v>
      </c>
      <c r="AJ139" s="110"/>
    </row>
    <row r="140" spans="1:36" ht="18" customHeight="1">
      <c r="A140" s="120" t="s">
        <v>58</v>
      </c>
      <c r="B140" s="121" t="s">
        <v>42</v>
      </c>
      <c r="C140" s="120"/>
      <c r="D140" s="14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66">
        <f t="shared" si="7"/>
        <v>0</v>
      </c>
      <c r="AH140" s="108" t="e">
        <f ca="1">IF(A140="O", (VALUE(_xludf.IFS(AG140=0,"0",AG140=1,"150",AG140=2,"300",AG140=3,"450",AG140=4,"600",AG140=5,"750",AG140&gt;=6,"800"))),(VALUE(_xludf.IFS(AG140=0,"0",AG140=1,"150",AG140=2,"300",AG140=3,"450",AG140=4,"600",AG140=5,"750",AG140=6,"900",AG140&gt;=7,"1,000"))))</f>
        <v>#NAME?</v>
      </c>
      <c r="AI140" s="109" t="str">
        <f t="shared" si="9"/>
        <v>屎蛋</v>
      </c>
      <c r="AJ140" s="110"/>
    </row>
  </sheetData>
  <autoFilter ref="AG4:AI140" xr:uid="{00000000-0009-0000-0000-000017000000}"/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40">
    <cfRule type="expression" dxfId="11" priority="1">
      <formula>COUNTIF($B:$B,$B2)&gt;1</formula>
    </cfRule>
  </conditionalFormatting>
  <dataValidations count="1">
    <dataValidation type="list" allowBlank="1" showDropDown="1" showErrorMessage="1" sqref="C1:AF1" xr:uid="{00000000-0002-0000-17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A9999"/>
    <outlinePr summaryBelow="0" summaryRight="0"/>
    <pageSetUpPr fitToPage="1"/>
  </sheetPr>
  <dimension ref="A1:AJ136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 t="s">
        <v>14</v>
      </c>
      <c r="D1" s="51" t="s">
        <v>19</v>
      </c>
      <c r="E1" s="126" t="s">
        <v>219</v>
      </c>
      <c r="F1" s="51" t="s">
        <v>13</v>
      </c>
      <c r="G1" s="126" t="s">
        <v>219</v>
      </c>
      <c r="H1" s="51" t="s">
        <v>184</v>
      </c>
      <c r="I1" s="51" t="s">
        <v>22</v>
      </c>
      <c r="J1" s="126" t="s">
        <v>219</v>
      </c>
      <c r="K1" s="126" t="s">
        <v>219</v>
      </c>
      <c r="L1" s="126" t="s">
        <v>219</v>
      </c>
      <c r="M1" s="51" t="s">
        <v>13</v>
      </c>
      <c r="N1" s="126" t="s">
        <v>219</v>
      </c>
      <c r="O1" s="51" t="s">
        <v>184</v>
      </c>
      <c r="P1" s="126" t="s">
        <v>219</v>
      </c>
      <c r="Q1" s="126" t="s">
        <v>219</v>
      </c>
      <c r="R1" s="51" t="s">
        <v>19</v>
      </c>
      <c r="S1" s="126" t="s">
        <v>219</v>
      </c>
      <c r="T1" s="51" t="s">
        <v>13</v>
      </c>
      <c r="U1" s="126" t="s">
        <v>219</v>
      </c>
      <c r="V1" s="51" t="s">
        <v>184</v>
      </c>
      <c r="W1" s="126" t="s">
        <v>219</v>
      </c>
      <c r="X1" s="126" t="s">
        <v>219</v>
      </c>
      <c r="Y1" s="51" t="s">
        <v>19</v>
      </c>
      <c r="Z1" s="126" t="s">
        <v>219</v>
      </c>
      <c r="AA1" s="51" t="s">
        <v>19</v>
      </c>
      <c r="AB1" s="126" t="s">
        <v>219</v>
      </c>
      <c r="AC1" s="51" t="s">
        <v>184</v>
      </c>
      <c r="AD1" s="51" t="s">
        <v>14</v>
      </c>
      <c r="AE1" s="51" t="s">
        <v>13</v>
      </c>
      <c r="AF1" s="51" t="s">
        <v>19</v>
      </c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45627</v>
      </c>
      <c r="D2" s="55">
        <v>45628</v>
      </c>
      <c r="E2" s="127">
        <v>45629</v>
      </c>
      <c r="F2" s="55">
        <v>45630</v>
      </c>
      <c r="G2" s="127">
        <v>45631</v>
      </c>
      <c r="H2" s="55">
        <v>45632</v>
      </c>
      <c r="I2" s="55">
        <v>45633</v>
      </c>
      <c r="J2" s="127">
        <v>45634</v>
      </c>
      <c r="K2" s="127">
        <v>45635</v>
      </c>
      <c r="L2" s="127">
        <v>45636</v>
      </c>
      <c r="M2" s="55">
        <v>45637</v>
      </c>
      <c r="N2" s="127">
        <v>45638</v>
      </c>
      <c r="O2" s="55">
        <v>45639</v>
      </c>
      <c r="P2" s="127">
        <v>45640</v>
      </c>
      <c r="Q2" s="127">
        <v>45641</v>
      </c>
      <c r="R2" s="55">
        <v>45642</v>
      </c>
      <c r="S2" s="127">
        <v>45643</v>
      </c>
      <c r="T2" s="55">
        <v>45644</v>
      </c>
      <c r="U2" s="127">
        <v>45645</v>
      </c>
      <c r="V2" s="55">
        <v>45646</v>
      </c>
      <c r="W2" s="127">
        <v>45647</v>
      </c>
      <c r="X2" s="127">
        <v>45648</v>
      </c>
      <c r="Y2" s="55">
        <v>45649</v>
      </c>
      <c r="Z2" s="127">
        <v>45650</v>
      </c>
      <c r="AA2" s="55">
        <v>45651</v>
      </c>
      <c r="AB2" s="127">
        <v>45652</v>
      </c>
      <c r="AC2" s="55">
        <v>45653</v>
      </c>
      <c r="AD2" s="55">
        <v>45654</v>
      </c>
      <c r="AE2" s="55">
        <v>45655</v>
      </c>
      <c r="AF2" s="55">
        <v>45656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7</v>
      </c>
      <c r="D3" s="114">
        <f t="shared" si="0"/>
        <v>1</v>
      </c>
      <c r="E3" s="126">
        <f t="shared" si="0"/>
        <v>2</v>
      </c>
      <c r="F3" s="51">
        <f t="shared" si="0"/>
        <v>3</v>
      </c>
      <c r="G3" s="126">
        <f t="shared" si="0"/>
        <v>4</v>
      </c>
      <c r="H3" s="51">
        <f t="shared" si="0"/>
        <v>5</v>
      </c>
      <c r="I3" s="51">
        <f t="shared" si="0"/>
        <v>6</v>
      </c>
      <c r="J3" s="126">
        <f t="shared" si="0"/>
        <v>7</v>
      </c>
      <c r="K3" s="126">
        <f t="shared" si="0"/>
        <v>1</v>
      </c>
      <c r="L3" s="126">
        <f t="shared" si="0"/>
        <v>2</v>
      </c>
      <c r="M3" s="51">
        <f t="shared" si="0"/>
        <v>3</v>
      </c>
      <c r="N3" s="126">
        <f t="shared" si="0"/>
        <v>4</v>
      </c>
      <c r="O3" s="51">
        <f t="shared" si="0"/>
        <v>5</v>
      </c>
      <c r="P3" s="126">
        <f t="shared" si="0"/>
        <v>6</v>
      </c>
      <c r="Q3" s="126">
        <f t="shared" si="0"/>
        <v>7</v>
      </c>
      <c r="R3" s="51">
        <f t="shared" si="0"/>
        <v>1</v>
      </c>
      <c r="S3" s="126">
        <f t="shared" si="0"/>
        <v>2</v>
      </c>
      <c r="T3" s="51">
        <f t="shared" si="0"/>
        <v>3</v>
      </c>
      <c r="U3" s="126">
        <f t="shared" si="0"/>
        <v>4</v>
      </c>
      <c r="V3" s="51">
        <f t="shared" si="0"/>
        <v>5</v>
      </c>
      <c r="W3" s="126">
        <f t="shared" si="0"/>
        <v>6</v>
      </c>
      <c r="X3" s="126">
        <f t="shared" si="0"/>
        <v>7</v>
      </c>
      <c r="Y3" s="51">
        <f t="shared" si="0"/>
        <v>1</v>
      </c>
      <c r="Z3" s="126">
        <f t="shared" si="0"/>
        <v>2</v>
      </c>
      <c r="AA3" s="51">
        <f t="shared" si="0"/>
        <v>3</v>
      </c>
      <c r="AB3" s="126">
        <f t="shared" si="0"/>
        <v>4</v>
      </c>
      <c r="AC3" s="51">
        <f t="shared" si="0"/>
        <v>5</v>
      </c>
      <c r="AD3" s="51">
        <f t="shared" si="0"/>
        <v>6</v>
      </c>
      <c r="AE3" s="51">
        <f t="shared" si="0"/>
        <v>7</v>
      </c>
      <c r="AF3" s="51">
        <f t="shared" si="0"/>
        <v>1</v>
      </c>
      <c r="AG3" s="283"/>
      <c r="AH3" s="278"/>
      <c r="AI3" s="273"/>
      <c r="AJ3" s="165" t="e">
        <f ca="1">SUM(AH4:AH137)</f>
        <v>#NAME?</v>
      </c>
    </row>
    <row r="4" spans="1:36" ht="18" customHeight="1">
      <c r="A4" s="92" t="s">
        <v>174</v>
      </c>
      <c r="B4" s="93" t="s">
        <v>10</v>
      </c>
      <c r="C4" s="149"/>
      <c r="D4" s="150"/>
      <c r="E4" s="146"/>
      <c r="F4" s="149"/>
      <c r="G4" s="146"/>
      <c r="H4" s="149"/>
      <c r="I4" s="149"/>
      <c r="J4" s="146"/>
      <c r="K4" s="146"/>
      <c r="L4" s="146"/>
      <c r="M4" s="149"/>
      <c r="N4" s="146"/>
      <c r="O4" s="149"/>
      <c r="P4" s="146"/>
      <c r="Q4" s="146"/>
      <c r="R4" s="149"/>
      <c r="S4" s="146"/>
      <c r="T4" s="149"/>
      <c r="U4" s="146"/>
      <c r="V4" s="149"/>
      <c r="W4" s="146"/>
      <c r="X4" s="146"/>
      <c r="Y4" s="149"/>
      <c r="Z4" s="146"/>
      <c r="AA4" s="149"/>
      <c r="AB4" s="146"/>
      <c r="AC4" s="149"/>
      <c r="AD4" s="149"/>
      <c r="AE4" s="149"/>
      <c r="AF4" s="149"/>
      <c r="AG4" s="66">
        <f t="shared" ref="AG4:AG35" si="1">COUNTA(C4:AF4)</f>
        <v>0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2">B4</f>
        <v>阿發</v>
      </c>
      <c r="AJ4" s="70"/>
    </row>
    <row r="5" spans="1:36" ht="18" customHeight="1">
      <c r="A5" s="95" t="s">
        <v>174</v>
      </c>
      <c r="B5" s="122" t="s">
        <v>11</v>
      </c>
      <c r="C5" s="151">
        <v>1</v>
      </c>
      <c r="D5" s="150">
        <v>1</v>
      </c>
      <c r="E5" s="148"/>
      <c r="F5" s="151">
        <v>1</v>
      </c>
      <c r="G5" s="148"/>
      <c r="H5" s="151">
        <v>1</v>
      </c>
      <c r="I5" s="151">
        <v>1</v>
      </c>
      <c r="J5" s="148"/>
      <c r="K5" s="148"/>
      <c r="L5" s="148"/>
      <c r="M5" s="151">
        <v>1</v>
      </c>
      <c r="N5" s="148"/>
      <c r="O5" s="151">
        <v>1</v>
      </c>
      <c r="P5" s="148"/>
      <c r="Q5" s="148"/>
      <c r="R5" s="151">
        <v>1</v>
      </c>
      <c r="S5" s="148"/>
      <c r="T5" s="151">
        <v>1</v>
      </c>
      <c r="U5" s="148"/>
      <c r="V5" s="151">
        <v>1</v>
      </c>
      <c r="W5" s="148"/>
      <c r="X5" s="148"/>
      <c r="Y5" s="151"/>
      <c r="Z5" s="148"/>
      <c r="AA5" s="151"/>
      <c r="AB5" s="148"/>
      <c r="AC5" s="151">
        <v>1</v>
      </c>
      <c r="AD5" s="151"/>
      <c r="AE5" s="151"/>
      <c r="AF5" s="151">
        <v>1</v>
      </c>
      <c r="AG5" s="66">
        <f t="shared" si="1"/>
        <v>12</v>
      </c>
      <c r="AH5" s="68" t="s">
        <v>225</v>
      </c>
      <c r="AI5" s="122" t="str">
        <f t="shared" si="2"/>
        <v>捷升</v>
      </c>
      <c r="AJ5" s="70"/>
    </row>
    <row r="6" spans="1:36" ht="18" customHeight="1">
      <c r="A6" s="95" t="s">
        <v>174</v>
      </c>
      <c r="B6" s="122" t="s">
        <v>14</v>
      </c>
      <c r="C6" s="151">
        <v>1</v>
      </c>
      <c r="D6" s="150">
        <v>1</v>
      </c>
      <c r="E6" s="148"/>
      <c r="F6" s="151">
        <v>1</v>
      </c>
      <c r="G6" s="148"/>
      <c r="H6" s="151">
        <v>1</v>
      </c>
      <c r="I6" s="151">
        <v>1</v>
      </c>
      <c r="J6" s="148"/>
      <c r="K6" s="148"/>
      <c r="L6" s="148"/>
      <c r="M6" s="151">
        <v>1</v>
      </c>
      <c r="N6" s="148"/>
      <c r="O6" s="151">
        <v>1</v>
      </c>
      <c r="P6" s="148"/>
      <c r="Q6" s="148"/>
      <c r="R6" s="151">
        <v>1</v>
      </c>
      <c r="S6" s="148"/>
      <c r="T6" s="151">
        <v>1</v>
      </c>
      <c r="U6" s="148"/>
      <c r="V6" s="151">
        <v>1</v>
      </c>
      <c r="W6" s="148"/>
      <c r="X6" s="148"/>
      <c r="Y6" s="151">
        <v>1</v>
      </c>
      <c r="Z6" s="148"/>
      <c r="AA6" s="151">
        <v>1</v>
      </c>
      <c r="AB6" s="148"/>
      <c r="AC6" s="151">
        <v>1</v>
      </c>
      <c r="AD6" s="151">
        <v>1</v>
      </c>
      <c r="AE6" s="151"/>
      <c r="AF6" s="151">
        <v>1</v>
      </c>
      <c r="AG6" s="66">
        <f t="shared" si="1"/>
        <v>15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2"/>
        <v>曉明</v>
      </c>
      <c r="AJ6" s="70"/>
    </row>
    <row r="7" spans="1:36" ht="18" customHeight="1">
      <c r="A7" s="95" t="s">
        <v>174</v>
      </c>
      <c r="B7" s="96" t="s">
        <v>15</v>
      </c>
      <c r="C7" s="151"/>
      <c r="D7" s="150">
        <v>1</v>
      </c>
      <c r="E7" s="148"/>
      <c r="F7" s="151">
        <v>1</v>
      </c>
      <c r="G7" s="148"/>
      <c r="H7" s="151">
        <v>1</v>
      </c>
      <c r="I7" s="151">
        <v>1</v>
      </c>
      <c r="J7" s="148"/>
      <c r="K7" s="148"/>
      <c r="L7" s="148"/>
      <c r="M7" s="151">
        <v>1</v>
      </c>
      <c r="N7" s="148"/>
      <c r="O7" s="151">
        <v>1</v>
      </c>
      <c r="P7" s="148"/>
      <c r="Q7" s="148"/>
      <c r="R7" s="151">
        <v>1</v>
      </c>
      <c r="S7" s="148"/>
      <c r="T7" s="151">
        <v>1</v>
      </c>
      <c r="U7" s="148"/>
      <c r="V7" s="151">
        <v>1</v>
      </c>
      <c r="W7" s="148"/>
      <c r="X7" s="148"/>
      <c r="Y7" s="151">
        <v>1</v>
      </c>
      <c r="Z7" s="148"/>
      <c r="AA7" s="151">
        <v>1</v>
      </c>
      <c r="AB7" s="148"/>
      <c r="AC7" s="151">
        <v>1</v>
      </c>
      <c r="AD7" s="151"/>
      <c r="AE7" s="151"/>
      <c r="AF7" s="151"/>
      <c r="AG7" s="66">
        <f t="shared" si="1"/>
        <v>12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2"/>
        <v>大支</v>
      </c>
      <c r="AJ7" s="70"/>
    </row>
    <row r="8" spans="1:36" ht="18" customHeight="1">
      <c r="A8" s="95" t="s">
        <v>174</v>
      </c>
      <c r="B8" s="96" t="s">
        <v>16</v>
      </c>
      <c r="C8" s="151">
        <v>1</v>
      </c>
      <c r="D8" s="150">
        <v>1</v>
      </c>
      <c r="E8" s="148"/>
      <c r="F8" s="151">
        <v>1</v>
      </c>
      <c r="G8" s="148"/>
      <c r="H8" s="151">
        <v>1</v>
      </c>
      <c r="I8" s="151">
        <v>1</v>
      </c>
      <c r="J8" s="148"/>
      <c r="K8" s="148"/>
      <c r="L8" s="148"/>
      <c r="M8" s="151">
        <v>1</v>
      </c>
      <c r="N8" s="148"/>
      <c r="O8" s="151">
        <v>1</v>
      </c>
      <c r="P8" s="148"/>
      <c r="Q8" s="148"/>
      <c r="R8" s="151">
        <v>1</v>
      </c>
      <c r="S8" s="148"/>
      <c r="T8" s="151">
        <v>1</v>
      </c>
      <c r="U8" s="148"/>
      <c r="V8" s="151">
        <v>1</v>
      </c>
      <c r="W8" s="148"/>
      <c r="X8" s="148"/>
      <c r="Y8" s="151"/>
      <c r="Z8" s="148"/>
      <c r="AA8" s="151">
        <v>1</v>
      </c>
      <c r="AB8" s="148"/>
      <c r="AC8" s="151">
        <v>1</v>
      </c>
      <c r="AD8" s="151"/>
      <c r="AE8" s="151"/>
      <c r="AF8" s="151"/>
      <c r="AG8" s="66">
        <f t="shared" si="1"/>
        <v>12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2"/>
        <v>弼善</v>
      </c>
      <c r="AJ8" s="70"/>
    </row>
    <row r="9" spans="1:36" ht="18" customHeight="1">
      <c r="A9" s="95" t="s">
        <v>174</v>
      </c>
      <c r="B9" s="96" t="s">
        <v>17</v>
      </c>
      <c r="C9" s="151"/>
      <c r="D9" s="150"/>
      <c r="E9" s="148"/>
      <c r="F9" s="151">
        <v>1</v>
      </c>
      <c r="G9" s="148"/>
      <c r="H9" s="151"/>
      <c r="I9" s="151">
        <v>1</v>
      </c>
      <c r="J9" s="148"/>
      <c r="K9" s="148"/>
      <c r="L9" s="148"/>
      <c r="M9" s="151"/>
      <c r="N9" s="148"/>
      <c r="O9" s="151"/>
      <c r="P9" s="148"/>
      <c r="Q9" s="148"/>
      <c r="R9" s="151">
        <v>1</v>
      </c>
      <c r="S9" s="148"/>
      <c r="T9" s="151"/>
      <c r="U9" s="148"/>
      <c r="V9" s="151"/>
      <c r="W9" s="148"/>
      <c r="X9" s="148"/>
      <c r="Y9" s="151"/>
      <c r="Z9" s="148"/>
      <c r="AA9" s="151"/>
      <c r="AB9" s="148"/>
      <c r="AC9" s="151"/>
      <c r="AD9" s="151"/>
      <c r="AE9" s="151"/>
      <c r="AF9" s="151">
        <v>1</v>
      </c>
      <c r="AG9" s="66">
        <f t="shared" si="1"/>
        <v>4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2"/>
        <v>光曜</v>
      </c>
      <c r="AJ9" s="70"/>
    </row>
    <row r="10" spans="1:36" ht="18" customHeight="1">
      <c r="A10" s="95" t="s">
        <v>174</v>
      </c>
      <c r="B10" s="122" t="s">
        <v>13</v>
      </c>
      <c r="C10" s="151">
        <v>1</v>
      </c>
      <c r="D10" s="150">
        <v>1</v>
      </c>
      <c r="E10" s="148"/>
      <c r="F10" s="151">
        <v>1</v>
      </c>
      <c r="G10" s="148"/>
      <c r="H10" s="151">
        <v>1</v>
      </c>
      <c r="I10" s="151">
        <v>1</v>
      </c>
      <c r="J10" s="148"/>
      <c r="K10" s="148"/>
      <c r="L10" s="148"/>
      <c r="M10" s="151">
        <v>1</v>
      </c>
      <c r="N10" s="148"/>
      <c r="O10" s="151">
        <v>1</v>
      </c>
      <c r="P10" s="148"/>
      <c r="Q10" s="148"/>
      <c r="R10" s="151">
        <v>1</v>
      </c>
      <c r="S10" s="148"/>
      <c r="T10" s="151">
        <v>1</v>
      </c>
      <c r="U10" s="148"/>
      <c r="V10" s="151">
        <v>1</v>
      </c>
      <c r="W10" s="148"/>
      <c r="X10" s="148"/>
      <c r="Y10" s="151">
        <v>1</v>
      </c>
      <c r="Z10" s="148"/>
      <c r="AA10" s="151"/>
      <c r="AB10" s="148"/>
      <c r="AC10" s="151">
        <v>1</v>
      </c>
      <c r="AD10" s="151"/>
      <c r="AE10" s="151"/>
      <c r="AF10" s="151">
        <v>1</v>
      </c>
      <c r="AG10" s="66">
        <f t="shared" si="1"/>
        <v>13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2"/>
        <v>李洋</v>
      </c>
      <c r="AJ10" s="70"/>
    </row>
    <row r="11" spans="1:36" ht="18" customHeight="1">
      <c r="A11" s="95" t="s">
        <v>174</v>
      </c>
      <c r="B11" s="96" t="s">
        <v>18</v>
      </c>
      <c r="C11" s="151"/>
      <c r="D11" s="150">
        <v>1</v>
      </c>
      <c r="E11" s="148"/>
      <c r="F11" s="151">
        <v>1</v>
      </c>
      <c r="G11" s="148"/>
      <c r="H11" s="151">
        <v>1</v>
      </c>
      <c r="I11" s="151">
        <v>1</v>
      </c>
      <c r="J11" s="148"/>
      <c r="K11" s="148"/>
      <c r="L11" s="148"/>
      <c r="M11" s="151">
        <v>1</v>
      </c>
      <c r="N11" s="148"/>
      <c r="O11" s="151">
        <v>1</v>
      </c>
      <c r="P11" s="148"/>
      <c r="Q11" s="148"/>
      <c r="R11" s="151">
        <v>1</v>
      </c>
      <c r="S11" s="148"/>
      <c r="T11" s="151">
        <v>1</v>
      </c>
      <c r="U11" s="148"/>
      <c r="V11" s="151">
        <v>1</v>
      </c>
      <c r="W11" s="148"/>
      <c r="X11" s="148"/>
      <c r="Y11" s="151"/>
      <c r="Z11" s="148"/>
      <c r="AA11" s="151"/>
      <c r="AB11" s="148"/>
      <c r="AC11" s="151"/>
      <c r="AD11" s="151"/>
      <c r="AE11" s="151"/>
      <c r="AF11" s="151"/>
      <c r="AG11" s="66">
        <f t="shared" si="1"/>
        <v>9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2"/>
        <v>皓元</v>
      </c>
      <c r="AJ11" s="70"/>
    </row>
    <row r="12" spans="1:36" ht="18" customHeight="1">
      <c r="A12" s="95" t="s">
        <v>174</v>
      </c>
      <c r="B12" s="122" t="s">
        <v>19</v>
      </c>
      <c r="C12" s="151">
        <v>1</v>
      </c>
      <c r="D12" s="150">
        <v>1</v>
      </c>
      <c r="E12" s="148"/>
      <c r="F12" s="151">
        <v>1</v>
      </c>
      <c r="G12" s="148"/>
      <c r="H12" s="151">
        <v>1</v>
      </c>
      <c r="I12" s="151">
        <v>1</v>
      </c>
      <c r="J12" s="148"/>
      <c r="K12" s="148"/>
      <c r="L12" s="148"/>
      <c r="M12" s="151">
        <v>1</v>
      </c>
      <c r="N12" s="148"/>
      <c r="O12" s="151">
        <v>1</v>
      </c>
      <c r="P12" s="148"/>
      <c r="Q12" s="148"/>
      <c r="R12" s="151">
        <v>1</v>
      </c>
      <c r="S12" s="148"/>
      <c r="T12" s="151">
        <v>1</v>
      </c>
      <c r="U12" s="148"/>
      <c r="V12" s="151">
        <v>1</v>
      </c>
      <c r="W12" s="148"/>
      <c r="X12" s="148"/>
      <c r="Y12" s="151"/>
      <c r="Z12" s="148"/>
      <c r="AA12" s="151">
        <v>1</v>
      </c>
      <c r="AB12" s="148"/>
      <c r="AC12" s="151">
        <v>1</v>
      </c>
      <c r="AD12" s="151"/>
      <c r="AE12" s="151"/>
      <c r="AF12" s="151">
        <v>1</v>
      </c>
      <c r="AG12" s="66">
        <f t="shared" si="1"/>
        <v>13</v>
      </c>
      <c r="AH12" s="68" t="e">
        <f ca="1">(IF(A12="O", (VALUE(_xludf.IFS(AG12=0,"0",AG12=1,"150",AG12=2,"300",AG12=3,"450",AG12=4,"600",AG12=5,"750",AG12&gt;=6,"800"))),(VALUE(_xludf.IFS(AG12=0,"0",AG12=1,"150",AG12=2,"300",AG12=3,"450",AG12=4,"600",AG12=5,"750",AG12=6,"900",AG12&gt;=7,"1,000")))))/2</f>
        <v>#NAME?</v>
      </c>
      <c r="AI12" s="122" t="str">
        <f t="shared" si="2"/>
        <v>青蛙</v>
      </c>
      <c r="AJ12" s="70"/>
    </row>
    <row r="13" spans="1:36" ht="18" customHeight="1">
      <c r="A13" s="95" t="s">
        <v>174</v>
      </c>
      <c r="B13" s="96" t="s">
        <v>61</v>
      </c>
      <c r="C13" s="151">
        <v>1</v>
      </c>
      <c r="D13" s="150">
        <v>1</v>
      </c>
      <c r="E13" s="148"/>
      <c r="F13" s="151">
        <v>1</v>
      </c>
      <c r="G13" s="148"/>
      <c r="H13" s="151">
        <v>1</v>
      </c>
      <c r="I13" s="151">
        <v>1</v>
      </c>
      <c r="J13" s="148"/>
      <c r="K13" s="148"/>
      <c r="L13" s="148"/>
      <c r="M13" s="151">
        <v>1</v>
      </c>
      <c r="N13" s="148"/>
      <c r="O13" s="151">
        <v>1</v>
      </c>
      <c r="P13" s="148"/>
      <c r="Q13" s="148"/>
      <c r="R13" s="151">
        <v>1</v>
      </c>
      <c r="S13" s="148"/>
      <c r="T13" s="151">
        <v>1</v>
      </c>
      <c r="U13" s="148"/>
      <c r="V13" s="151">
        <v>1</v>
      </c>
      <c r="W13" s="148"/>
      <c r="X13" s="148"/>
      <c r="Y13" s="151"/>
      <c r="Z13" s="148"/>
      <c r="AA13" s="151"/>
      <c r="AB13" s="148"/>
      <c r="AC13" s="151"/>
      <c r="AD13" s="151"/>
      <c r="AE13" s="151"/>
      <c r="AF13" s="151"/>
      <c r="AG13" s="66">
        <f t="shared" si="1"/>
        <v>10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2"/>
        <v>韋融</v>
      </c>
      <c r="AJ13" s="70"/>
    </row>
    <row r="14" spans="1:36" ht="18" customHeight="1">
      <c r="A14" s="95" t="s">
        <v>174</v>
      </c>
      <c r="B14" s="96" t="s">
        <v>175</v>
      </c>
      <c r="C14" s="151">
        <v>1</v>
      </c>
      <c r="D14" s="150">
        <v>1</v>
      </c>
      <c r="E14" s="148"/>
      <c r="F14" s="151">
        <v>1</v>
      </c>
      <c r="G14" s="148"/>
      <c r="H14" s="151">
        <v>1</v>
      </c>
      <c r="I14" s="151">
        <v>1</v>
      </c>
      <c r="J14" s="148"/>
      <c r="K14" s="148"/>
      <c r="L14" s="148"/>
      <c r="M14" s="151">
        <v>1</v>
      </c>
      <c r="N14" s="148"/>
      <c r="O14" s="151">
        <v>1</v>
      </c>
      <c r="P14" s="148"/>
      <c r="Q14" s="148"/>
      <c r="R14" s="151"/>
      <c r="S14" s="148"/>
      <c r="T14" s="151">
        <v>1</v>
      </c>
      <c r="U14" s="148"/>
      <c r="V14" s="151">
        <v>1</v>
      </c>
      <c r="W14" s="148"/>
      <c r="X14" s="148"/>
      <c r="Y14" s="151"/>
      <c r="Z14" s="148"/>
      <c r="AA14" s="151"/>
      <c r="AB14" s="148"/>
      <c r="AC14" s="151"/>
      <c r="AD14" s="151"/>
      <c r="AE14" s="151"/>
      <c r="AF14" s="151"/>
      <c r="AG14" s="66">
        <f t="shared" si="1"/>
        <v>9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2"/>
        <v>咪咪</v>
      </c>
      <c r="AJ14" s="70"/>
    </row>
    <row r="15" spans="1:36" ht="18" customHeight="1">
      <c r="A15" s="95" t="s">
        <v>174</v>
      </c>
      <c r="B15" s="96" t="s">
        <v>20</v>
      </c>
      <c r="C15" s="151"/>
      <c r="D15" s="150">
        <v>1</v>
      </c>
      <c r="E15" s="148"/>
      <c r="F15" s="151">
        <v>1</v>
      </c>
      <c r="G15" s="148"/>
      <c r="H15" s="151"/>
      <c r="I15" s="151">
        <v>1</v>
      </c>
      <c r="J15" s="148"/>
      <c r="K15" s="148"/>
      <c r="L15" s="148"/>
      <c r="M15" s="151">
        <v>1</v>
      </c>
      <c r="N15" s="148"/>
      <c r="O15" s="151"/>
      <c r="P15" s="148"/>
      <c r="Q15" s="148"/>
      <c r="R15" s="151">
        <v>1</v>
      </c>
      <c r="S15" s="148"/>
      <c r="T15" s="151">
        <v>1</v>
      </c>
      <c r="U15" s="148"/>
      <c r="V15" s="151"/>
      <c r="W15" s="148"/>
      <c r="X15" s="148"/>
      <c r="Y15" s="151">
        <v>1</v>
      </c>
      <c r="Z15" s="148"/>
      <c r="AA15" s="151">
        <v>1</v>
      </c>
      <c r="AB15" s="148"/>
      <c r="AC15" s="151">
        <v>1</v>
      </c>
      <c r="AD15" s="151"/>
      <c r="AE15" s="151"/>
      <c r="AF15" s="151">
        <v>1</v>
      </c>
      <c r="AG15" s="66">
        <f t="shared" si="1"/>
        <v>10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2"/>
        <v>港弟</v>
      </c>
      <c r="AJ15" s="70"/>
    </row>
    <row r="16" spans="1:36" ht="18" customHeight="1">
      <c r="A16" s="95" t="s">
        <v>174</v>
      </c>
      <c r="B16" s="96" t="s">
        <v>21</v>
      </c>
      <c r="C16" s="151">
        <v>1</v>
      </c>
      <c r="D16" s="150"/>
      <c r="E16" s="148"/>
      <c r="F16" s="151">
        <v>1</v>
      </c>
      <c r="G16" s="148"/>
      <c r="H16" s="151">
        <v>1</v>
      </c>
      <c r="I16" s="151">
        <v>1</v>
      </c>
      <c r="J16" s="148"/>
      <c r="K16" s="148"/>
      <c r="L16" s="148"/>
      <c r="M16" s="151">
        <v>1</v>
      </c>
      <c r="N16" s="148"/>
      <c r="O16" s="151">
        <v>1</v>
      </c>
      <c r="P16" s="148"/>
      <c r="Q16" s="148"/>
      <c r="R16" s="151"/>
      <c r="S16" s="148"/>
      <c r="T16" s="151">
        <v>1</v>
      </c>
      <c r="U16" s="148"/>
      <c r="V16" s="151">
        <v>1</v>
      </c>
      <c r="W16" s="148"/>
      <c r="X16" s="148"/>
      <c r="Y16" s="151"/>
      <c r="Z16" s="148"/>
      <c r="AA16" s="151"/>
      <c r="AB16" s="148"/>
      <c r="AC16" s="151"/>
      <c r="AD16" s="151"/>
      <c r="AE16" s="151"/>
      <c r="AF16" s="151"/>
      <c r="AG16" s="66">
        <f t="shared" si="1"/>
        <v>8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2"/>
        <v>晧全</v>
      </c>
      <c r="AJ16" s="70"/>
    </row>
    <row r="17" spans="1:36" ht="18" customHeight="1">
      <c r="A17" s="95" t="s">
        <v>174</v>
      </c>
      <c r="B17" s="96" t="s">
        <v>22</v>
      </c>
      <c r="C17" s="151"/>
      <c r="D17" s="150">
        <v>1</v>
      </c>
      <c r="E17" s="148"/>
      <c r="F17" s="151">
        <v>1</v>
      </c>
      <c r="G17" s="148"/>
      <c r="H17" s="151"/>
      <c r="I17" s="151">
        <v>1</v>
      </c>
      <c r="J17" s="148"/>
      <c r="K17" s="148"/>
      <c r="L17" s="148"/>
      <c r="M17" s="151">
        <v>1</v>
      </c>
      <c r="N17" s="148"/>
      <c r="O17" s="151"/>
      <c r="P17" s="148"/>
      <c r="Q17" s="148"/>
      <c r="R17" s="151">
        <v>1</v>
      </c>
      <c r="S17" s="148"/>
      <c r="T17" s="151">
        <v>1</v>
      </c>
      <c r="U17" s="148"/>
      <c r="V17" s="151"/>
      <c r="W17" s="148"/>
      <c r="X17" s="148"/>
      <c r="Y17" s="151">
        <v>1</v>
      </c>
      <c r="Z17" s="148"/>
      <c r="AA17" s="151">
        <v>1</v>
      </c>
      <c r="AB17" s="148"/>
      <c r="AC17" s="151">
        <v>1</v>
      </c>
      <c r="AD17" s="151"/>
      <c r="AE17" s="151"/>
      <c r="AF17" s="151">
        <v>1</v>
      </c>
      <c r="AG17" s="66">
        <f t="shared" si="1"/>
        <v>10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2"/>
        <v>Mars</v>
      </c>
      <c r="AJ17" s="70"/>
    </row>
    <row r="18" spans="1:36" ht="18" customHeight="1">
      <c r="A18" s="99" t="s">
        <v>174</v>
      </c>
      <c r="B18" s="100" t="s">
        <v>89</v>
      </c>
      <c r="C18" s="99"/>
      <c r="D18" s="132">
        <v>1</v>
      </c>
      <c r="E18" s="148"/>
      <c r="F18" s="99">
        <v>1</v>
      </c>
      <c r="G18" s="148"/>
      <c r="H18" s="99">
        <v>1</v>
      </c>
      <c r="I18" s="99">
        <v>1</v>
      </c>
      <c r="J18" s="148"/>
      <c r="K18" s="148"/>
      <c r="L18" s="148"/>
      <c r="M18" s="99">
        <v>1</v>
      </c>
      <c r="N18" s="148"/>
      <c r="O18" s="99">
        <v>1</v>
      </c>
      <c r="P18" s="148"/>
      <c r="Q18" s="148"/>
      <c r="R18" s="99">
        <v>1</v>
      </c>
      <c r="S18" s="148"/>
      <c r="T18" s="99">
        <v>1</v>
      </c>
      <c r="U18" s="148"/>
      <c r="V18" s="99">
        <v>1</v>
      </c>
      <c r="W18" s="148"/>
      <c r="X18" s="148"/>
      <c r="Y18" s="99"/>
      <c r="Z18" s="148"/>
      <c r="AA18" s="99">
        <v>1</v>
      </c>
      <c r="AB18" s="148"/>
      <c r="AC18" s="99">
        <v>1</v>
      </c>
      <c r="AD18" s="99"/>
      <c r="AE18" s="99"/>
      <c r="AF18" s="99"/>
      <c r="AG18" s="66">
        <f t="shared" si="1"/>
        <v>11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2"/>
        <v>泡芙</v>
      </c>
      <c r="AJ18" s="80"/>
    </row>
    <row r="19" spans="1:36" ht="18" customHeight="1">
      <c r="A19" s="99" t="s">
        <v>174</v>
      </c>
      <c r="B19" s="100" t="s">
        <v>90</v>
      </c>
      <c r="C19" s="99">
        <v>1</v>
      </c>
      <c r="D19" s="132">
        <v>1</v>
      </c>
      <c r="E19" s="148"/>
      <c r="F19" s="99"/>
      <c r="G19" s="148"/>
      <c r="H19" s="99">
        <v>1</v>
      </c>
      <c r="I19" s="99">
        <v>1</v>
      </c>
      <c r="J19" s="148"/>
      <c r="K19" s="148"/>
      <c r="L19" s="148"/>
      <c r="M19" s="99"/>
      <c r="N19" s="148"/>
      <c r="O19" s="99">
        <v>1</v>
      </c>
      <c r="P19" s="148"/>
      <c r="Q19" s="148"/>
      <c r="R19" s="99">
        <v>1</v>
      </c>
      <c r="S19" s="148"/>
      <c r="T19" s="99"/>
      <c r="U19" s="148"/>
      <c r="V19" s="99">
        <v>1</v>
      </c>
      <c r="W19" s="148"/>
      <c r="X19" s="148"/>
      <c r="Y19" s="99">
        <v>1</v>
      </c>
      <c r="Z19" s="148"/>
      <c r="AA19" s="99">
        <v>1</v>
      </c>
      <c r="AB19" s="148"/>
      <c r="AC19" s="99">
        <v>1</v>
      </c>
      <c r="AD19" s="99"/>
      <c r="AE19" s="99"/>
      <c r="AF19" s="99">
        <v>1</v>
      </c>
      <c r="AG19" s="66">
        <f t="shared" si="1"/>
        <v>11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2"/>
        <v>蓓蓓</v>
      </c>
      <c r="AJ19" s="80"/>
    </row>
    <row r="20" spans="1:36" ht="18" customHeight="1">
      <c r="A20" s="99" t="s">
        <v>174</v>
      </c>
      <c r="B20" s="100" t="s">
        <v>91</v>
      </c>
      <c r="C20" s="99"/>
      <c r="D20" s="132"/>
      <c r="E20" s="148"/>
      <c r="F20" s="99"/>
      <c r="G20" s="148"/>
      <c r="H20" s="99"/>
      <c r="I20" s="99"/>
      <c r="J20" s="148"/>
      <c r="K20" s="148"/>
      <c r="L20" s="148"/>
      <c r="M20" s="99"/>
      <c r="N20" s="148"/>
      <c r="O20" s="99"/>
      <c r="P20" s="148"/>
      <c r="Q20" s="148"/>
      <c r="R20" s="99"/>
      <c r="S20" s="148"/>
      <c r="T20" s="99"/>
      <c r="U20" s="148"/>
      <c r="V20" s="99"/>
      <c r="W20" s="148"/>
      <c r="X20" s="148"/>
      <c r="Y20" s="99"/>
      <c r="Z20" s="148"/>
      <c r="AA20" s="99"/>
      <c r="AB20" s="148"/>
      <c r="AC20" s="99"/>
      <c r="AD20" s="99"/>
      <c r="AE20" s="99">
        <v>1</v>
      </c>
      <c r="AF20" s="99"/>
      <c r="AG20" s="66">
        <f t="shared" si="1"/>
        <v>1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2"/>
        <v>柔柔</v>
      </c>
      <c r="AJ20" s="80"/>
    </row>
    <row r="21" spans="1:36" ht="18" customHeight="1">
      <c r="A21" s="99" t="s">
        <v>174</v>
      </c>
      <c r="B21" s="100" t="s">
        <v>92</v>
      </c>
      <c r="C21" s="99"/>
      <c r="D21" s="132"/>
      <c r="E21" s="148"/>
      <c r="F21" s="99"/>
      <c r="G21" s="148"/>
      <c r="H21" s="99"/>
      <c r="I21" s="99"/>
      <c r="J21" s="148"/>
      <c r="K21" s="148"/>
      <c r="L21" s="148"/>
      <c r="M21" s="99"/>
      <c r="N21" s="148"/>
      <c r="O21" s="99"/>
      <c r="P21" s="148"/>
      <c r="Q21" s="148"/>
      <c r="R21" s="99">
        <v>1</v>
      </c>
      <c r="S21" s="148"/>
      <c r="T21" s="99">
        <v>1</v>
      </c>
      <c r="U21" s="148"/>
      <c r="V21" s="99"/>
      <c r="W21" s="148"/>
      <c r="X21" s="148"/>
      <c r="Y21" s="99">
        <v>1</v>
      </c>
      <c r="Z21" s="148"/>
      <c r="AA21" s="99"/>
      <c r="AB21" s="148"/>
      <c r="AC21" s="99">
        <v>1</v>
      </c>
      <c r="AD21" s="99">
        <v>1</v>
      </c>
      <c r="AE21" s="99"/>
      <c r="AF21" s="99">
        <v>1</v>
      </c>
      <c r="AG21" s="66">
        <f t="shared" si="1"/>
        <v>6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2"/>
        <v>婉晴</v>
      </c>
      <c r="AJ21" s="80"/>
    </row>
    <row r="22" spans="1:36" ht="18" customHeight="1">
      <c r="A22" s="99" t="s">
        <v>174</v>
      </c>
      <c r="B22" s="100" t="s">
        <v>93</v>
      </c>
      <c r="C22" s="99"/>
      <c r="D22" s="132">
        <v>1</v>
      </c>
      <c r="E22" s="148"/>
      <c r="F22" s="99"/>
      <c r="G22" s="148"/>
      <c r="H22" s="99"/>
      <c r="I22" s="99"/>
      <c r="J22" s="148"/>
      <c r="K22" s="148"/>
      <c r="L22" s="148"/>
      <c r="M22" s="99"/>
      <c r="N22" s="148"/>
      <c r="O22" s="99"/>
      <c r="P22" s="148"/>
      <c r="Q22" s="148"/>
      <c r="R22" s="99"/>
      <c r="S22" s="148"/>
      <c r="T22" s="99"/>
      <c r="U22" s="148"/>
      <c r="V22" s="99"/>
      <c r="W22" s="148"/>
      <c r="X22" s="148"/>
      <c r="Y22" s="99"/>
      <c r="Z22" s="148"/>
      <c r="AA22" s="99"/>
      <c r="AB22" s="148"/>
      <c r="AC22" s="99"/>
      <c r="AD22" s="99"/>
      <c r="AE22" s="99"/>
      <c r="AF22" s="99"/>
      <c r="AG22" s="66">
        <f t="shared" si="1"/>
        <v>1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2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132"/>
      <c r="E23" s="148"/>
      <c r="F23" s="99"/>
      <c r="G23" s="148"/>
      <c r="H23" s="99"/>
      <c r="I23" s="99"/>
      <c r="J23" s="148"/>
      <c r="K23" s="148"/>
      <c r="L23" s="148"/>
      <c r="M23" s="99"/>
      <c r="N23" s="148"/>
      <c r="O23" s="99"/>
      <c r="P23" s="148"/>
      <c r="Q23" s="148"/>
      <c r="R23" s="99"/>
      <c r="S23" s="148"/>
      <c r="T23" s="99"/>
      <c r="U23" s="148"/>
      <c r="V23" s="99"/>
      <c r="W23" s="148"/>
      <c r="X23" s="148"/>
      <c r="Y23" s="99"/>
      <c r="Z23" s="148"/>
      <c r="AA23" s="99"/>
      <c r="AB23" s="148"/>
      <c r="AC23" s="99">
        <v>1</v>
      </c>
      <c r="AD23" s="99"/>
      <c r="AE23" s="99">
        <v>1</v>
      </c>
      <c r="AF23" s="99"/>
      <c r="AG23" s="66">
        <f t="shared" si="1"/>
        <v>2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2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132">
        <v>1</v>
      </c>
      <c r="E24" s="148"/>
      <c r="F24" s="99"/>
      <c r="G24" s="148"/>
      <c r="H24" s="99"/>
      <c r="I24" s="99"/>
      <c r="J24" s="148"/>
      <c r="K24" s="148"/>
      <c r="L24" s="148"/>
      <c r="M24" s="99"/>
      <c r="N24" s="148"/>
      <c r="O24" s="99"/>
      <c r="P24" s="148"/>
      <c r="Q24" s="148"/>
      <c r="R24" s="99"/>
      <c r="S24" s="148"/>
      <c r="T24" s="99"/>
      <c r="U24" s="148"/>
      <c r="V24" s="99"/>
      <c r="W24" s="148"/>
      <c r="X24" s="148"/>
      <c r="Y24" s="99"/>
      <c r="Z24" s="148"/>
      <c r="AA24" s="99"/>
      <c r="AB24" s="148"/>
      <c r="AC24" s="99"/>
      <c r="AD24" s="99"/>
      <c r="AE24" s="99"/>
      <c r="AF24" s="99"/>
      <c r="AG24" s="66">
        <f t="shared" si="1"/>
        <v>1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2"/>
        <v>高麗菜</v>
      </c>
      <c r="AJ24" s="80"/>
    </row>
    <row r="25" spans="1:36" ht="18" customHeight="1">
      <c r="A25" s="99" t="s">
        <v>174</v>
      </c>
      <c r="B25" s="100" t="s">
        <v>113</v>
      </c>
      <c r="C25" s="99">
        <v>1</v>
      </c>
      <c r="D25" s="132"/>
      <c r="E25" s="148"/>
      <c r="F25" s="99">
        <v>1</v>
      </c>
      <c r="G25" s="148"/>
      <c r="H25" s="99">
        <v>1</v>
      </c>
      <c r="I25" s="99">
        <v>1</v>
      </c>
      <c r="J25" s="148"/>
      <c r="K25" s="148"/>
      <c r="L25" s="148"/>
      <c r="M25" s="99">
        <v>1</v>
      </c>
      <c r="N25" s="148"/>
      <c r="O25" s="99">
        <v>1</v>
      </c>
      <c r="P25" s="148"/>
      <c r="Q25" s="148"/>
      <c r="R25" s="99"/>
      <c r="S25" s="148"/>
      <c r="T25" s="99">
        <v>1</v>
      </c>
      <c r="U25" s="148"/>
      <c r="V25" s="99">
        <v>1</v>
      </c>
      <c r="W25" s="148"/>
      <c r="X25" s="148"/>
      <c r="Y25" s="99"/>
      <c r="Z25" s="148"/>
      <c r="AA25" s="99"/>
      <c r="AB25" s="148"/>
      <c r="AC25" s="99"/>
      <c r="AD25" s="99"/>
      <c r="AE25" s="99"/>
      <c r="AF25" s="99"/>
      <c r="AG25" s="66">
        <f t="shared" si="1"/>
        <v>8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2"/>
        <v>容容</v>
      </c>
      <c r="AJ25" s="82"/>
    </row>
    <row r="26" spans="1:36" ht="18" customHeight="1">
      <c r="A26" s="99" t="s">
        <v>174</v>
      </c>
      <c r="B26" s="100" t="s">
        <v>94</v>
      </c>
      <c r="C26" s="99">
        <v>1</v>
      </c>
      <c r="D26" s="132">
        <v>1</v>
      </c>
      <c r="E26" s="148"/>
      <c r="F26" s="99">
        <v>1</v>
      </c>
      <c r="G26" s="148"/>
      <c r="H26" s="99">
        <v>1</v>
      </c>
      <c r="I26" s="99">
        <v>1</v>
      </c>
      <c r="J26" s="148"/>
      <c r="K26" s="148"/>
      <c r="L26" s="148"/>
      <c r="M26" s="99">
        <v>1</v>
      </c>
      <c r="N26" s="148"/>
      <c r="O26" s="99">
        <v>1</v>
      </c>
      <c r="P26" s="148"/>
      <c r="Q26" s="148"/>
      <c r="R26" s="99">
        <v>1</v>
      </c>
      <c r="S26" s="148"/>
      <c r="T26" s="99">
        <v>1</v>
      </c>
      <c r="U26" s="148"/>
      <c r="V26" s="99">
        <v>1</v>
      </c>
      <c r="W26" s="148"/>
      <c r="X26" s="148"/>
      <c r="Y26" s="99">
        <v>1</v>
      </c>
      <c r="Z26" s="148"/>
      <c r="AA26" s="99"/>
      <c r="AB26" s="148"/>
      <c r="AC26" s="99">
        <v>1</v>
      </c>
      <c r="AD26" s="99"/>
      <c r="AE26" s="99"/>
      <c r="AF26" s="99"/>
      <c r="AG26" s="66">
        <f t="shared" si="1"/>
        <v>12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2"/>
        <v>小花</v>
      </c>
      <c r="AJ26" s="80"/>
    </row>
    <row r="27" spans="1:36" ht="18" customHeight="1">
      <c r="A27" s="99" t="s">
        <v>174</v>
      </c>
      <c r="B27" s="100" t="s">
        <v>95</v>
      </c>
      <c r="C27" s="99"/>
      <c r="D27" s="132">
        <v>1</v>
      </c>
      <c r="E27" s="148"/>
      <c r="F27" s="99">
        <v>1</v>
      </c>
      <c r="G27" s="148"/>
      <c r="H27" s="99"/>
      <c r="I27" s="99">
        <v>1</v>
      </c>
      <c r="J27" s="148"/>
      <c r="K27" s="148"/>
      <c r="L27" s="148"/>
      <c r="M27" s="99">
        <v>1</v>
      </c>
      <c r="N27" s="148"/>
      <c r="O27" s="99"/>
      <c r="P27" s="148"/>
      <c r="Q27" s="148"/>
      <c r="R27" s="99">
        <v>1</v>
      </c>
      <c r="S27" s="148"/>
      <c r="T27" s="99">
        <v>1</v>
      </c>
      <c r="U27" s="148"/>
      <c r="V27" s="99"/>
      <c r="W27" s="148"/>
      <c r="X27" s="148"/>
      <c r="Y27" s="99"/>
      <c r="Z27" s="148"/>
      <c r="AA27" s="99">
        <v>1</v>
      </c>
      <c r="AB27" s="148"/>
      <c r="AC27" s="99">
        <v>1</v>
      </c>
      <c r="AD27" s="99"/>
      <c r="AE27" s="99"/>
      <c r="AF27" s="99">
        <v>1</v>
      </c>
      <c r="AG27" s="66">
        <f t="shared" si="1"/>
        <v>9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2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148"/>
      <c r="F28" s="99"/>
      <c r="G28" s="148"/>
      <c r="H28" s="99"/>
      <c r="I28" s="99"/>
      <c r="J28" s="148"/>
      <c r="K28" s="148"/>
      <c r="L28" s="148"/>
      <c r="M28" s="99"/>
      <c r="N28" s="148"/>
      <c r="O28" s="99"/>
      <c r="P28" s="148"/>
      <c r="Q28" s="148"/>
      <c r="R28" s="99"/>
      <c r="S28" s="148"/>
      <c r="T28" s="99"/>
      <c r="U28" s="148"/>
      <c r="V28" s="99"/>
      <c r="W28" s="148"/>
      <c r="X28" s="148"/>
      <c r="Y28" s="99"/>
      <c r="Z28" s="148"/>
      <c r="AA28" s="99"/>
      <c r="AB28" s="148"/>
      <c r="AC28" s="99"/>
      <c r="AD28" s="99"/>
      <c r="AE28" s="99"/>
      <c r="AF28" s="99"/>
      <c r="AG28" s="66">
        <f t="shared" si="1"/>
        <v>0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2"/>
        <v>飛飛</v>
      </c>
      <c r="AJ28" s="81"/>
    </row>
    <row r="29" spans="1:36" ht="18" customHeight="1">
      <c r="A29" s="99" t="s">
        <v>174</v>
      </c>
      <c r="B29" s="100" t="s">
        <v>147</v>
      </c>
      <c r="C29" s="99"/>
      <c r="D29" s="132"/>
      <c r="E29" s="148"/>
      <c r="F29" s="99"/>
      <c r="G29" s="148"/>
      <c r="H29" s="99"/>
      <c r="I29" s="99"/>
      <c r="J29" s="148"/>
      <c r="K29" s="148"/>
      <c r="L29" s="148"/>
      <c r="M29" s="99"/>
      <c r="N29" s="148"/>
      <c r="O29" s="99"/>
      <c r="P29" s="148"/>
      <c r="Q29" s="148"/>
      <c r="R29" s="99"/>
      <c r="S29" s="148"/>
      <c r="T29" s="99"/>
      <c r="U29" s="148"/>
      <c r="V29" s="99"/>
      <c r="W29" s="148"/>
      <c r="X29" s="148"/>
      <c r="Y29" s="99"/>
      <c r="Z29" s="148"/>
      <c r="AA29" s="99"/>
      <c r="AB29" s="148"/>
      <c r="AC29" s="99"/>
      <c r="AD29" s="99"/>
      <c r="AE29" s="99"/>
      <c r="AF29" s="99"/>
      <c r="AG29" s="66">
        <f t="shared" si="1"/>
        <v>0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2"/>
        <v>湘苡</v>
      </c>
      <c r="AJ29" s="80"/>
    </row>
    <row r="30" spans="1:36" ht="18" customHeight="1">
      <c r="A30" s="99" t="s">
        <v>174</v>
      </c>
      <c r="B30" s="100" t="s">
        <v>148</v>
      </c>
      <c r="C30" s="99"/>
      <c r="D30" s="132">
        <v>1</v>
      </c>
      <c r="E30" s="148"/>
      <c r="F30" s="99">
        <v>1</v>
      </c>
      <c r="G30" s="148"/>
      <c r="H30" s="99"/>
      <c r="I30" s="99">
        <v>1</v>
      </c>
      <c r="J30" s="148"/>
      <c r="K30" s="148"/>
      <c r="L30" s="148"/>
      <c r="M30" s="99">
        <v>1</v>
      </c>
      <c r="N30" s="148"/>
      <c r="O30" s="99"/>
      <c r="P30" s="148"/>
      <c r="Q30" s="148"/>
      <c r="R30" s="99">
        <v>1</v>
      </c>
      <c r="S30" s="148"/>
      <c r="T30" s="99">
        <v>1</v>
      </c>
      <c r="U30" s="148"/>
      <c r="V30" s="99"/>
      <c r="W30" s="148"/>
      <c r="X30" s="148"/>
      <c r="Y30" s="99"/>
      <c r="Z30" s="148"/>
      <c r="AA30" s="99"/>
      <c r="AB30" s="148"/>
      <c r="AC30" s="99"/>
      <c r="AD30" s="99"/>
      <c r="AE30" s="99"/>
      <c r="AF30" s="99"/>
      <c r="AG30" s="66">
        <f t="shared" si="1"/>
        <v>6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2"/>
        <v>雅雅</v>
      </c>
      <c r="AJ30" s="82"/>
    </row>
    <row r="31" spans="1:36" ht="18" customHeight="1">
      <c r="A31" s="101" t="s">
        <v>174</v>
      </c>
      <c r="B31" s="102" t="s">
        <v>103</v>
      </c>
      <c r="C31" s="101">
        <v>1</v>
      </c>
      <c r="D31" s="137">
        <v>1</v>
      </c>
      <c r="E31" s="148"/>
      <c r="F31" s="101">
        <v>1</v>
      </c>
      <c r="G31" s="148"/>
      <c r="H31" s="101">
        <v>1</v>
      </c>
      <c r="I31" s="101">
        <v>1</v>
      </c>
      <c r="J31" s="148"/>
      <c r="K31" s="148"/>
      <c r="L31" s="148"/>
      <c r="M31" s="101">
        <v>1</v>
      </c>
      <c r="N31" s="148"/>
      <c r="O31" s="101"/>
      <c r="P31" s="148"/>
      <c r="Q31" s="148"/>
      <c r="R31" s="101">
        <v>1</v>
      </c>
      <c r="S31" s="148"/>
      <c r="T31" s="101">
        <v>1</v>
      </c>
      <c r="U31" s="148"/>
      <c r="V31" s="101"/>
      <c r="W31" s="148"/>
      <c r="X31" s="148"/>
      <c r="Y31" s="101">
        <v>1</v>
      </c>
      <c r="Z31" s="148"/>
      <c r="AA31" s="101">
        <v>1</v>
      </c>
      <c r="AB31" s="148"/>
      <c r="AC31" s="101">
        <v>1</v>
      </c>
      <c r="AD31" s="101"/>
      <c r="AE31" s="101"/>
      <c r="AF31" s="101">
        <v>1</v>
      </c>
      <c r="AG31" s="66">
        <f t="shared" si="1"/>
        <v>12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2"/>
        <v>圈圈</v>
      </c>
      <c r="AJ31" s="90"/>
    </row>
    <row r="32" spans="1:36" ht="18" customHeight="1">
      <c r="A32" s="101" t="s">
        <v>174</v>
      </c>
      <c r="B32" s="102" t="s">
        <v>104</v>
      </c>
      <c r="C32" s="101">
        <v>1</v>
      </c>
      <c r="D32" s="137">
        <v>1</v>
      </c>
      <c r="E32" s="148"/>
      <c r="F32" s="101">
        <v>1</v>
      </c>
      <c r="G32" s="148"/>
      <c r="H32" s="101">
        <v>1</v>
      </c>
      <c r="I32" s="101">
        <v>1</v>
      </c>
      <c r="J32" s="148"/>
      <c r="K32" s="148"/>
      <c r="L32" s="148"/>
      <c r="M32" s="101">
        <v>1</v>
      </c>
      <c r="N32" s="148"/>
      <c r="O32" s="101"/>
      <c r="P32" s="148"/>
      <c r="Q32" s="148"/>
      <c r="R32" s="101">
        <v>1</v>
      </c>
      <c r="S32" s="148"/>
      <c r="T32" s="101">
        <v>1</v>
      </c>
      <c r="U32" s="148"/>
      <c r="V32" s="101"/>
      <c r="W32" s="148"/>
      <c r="X32" s="148"/>
      <c r="Y32" s="101"/>
      <c r="Z32" s="148"/>
      <c r="AA32" s="101"/>
      <c r="AB32" s="148"/>
      <c r="AC32" s="101">
        <v>1</v>
      </c>
      <c r="AD32" s="101"/>
      <c r="AE32" s="101"/>
      <c r="AF32" s="101"/>
      <c r="AG32" s="66">
        <f t="shared" si="1"/>
        <v>9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2"/>
        <v>卡丘</v>
      </c>
      <c r="AJ32" s="90"/>
    </row>
    <row r="33" spans="1:36" ht="18" customHeight="1">
      <c r="A33" s="101" t="s">
        <v>174</v>
      </c>
      <c r="B33" s="102" t="s">
        <v>105</v>
      </c>
      <c r="C33" s="101"/>
      <c r="D33" s="137">
        <v>1</v>
      </c>
      <c r="E33" s="148"/>
      <c r="F33" s="101">
        <v>1</v>
      </c>
      <c r="G33" s="148"/>
      <c r="H33" s="101"/>
      <c r="I33" s="101">
        <v>1</v>
      </c>
      <c r="J33" s="148"/>
      <c r="K33" s="148"/>
      <c r="L33" s="148"/>
      <c r="M33" s="101">
        <v>1</v>
      </c>
      <c r="N33" s="148"/>
      <c r="O33" s="101"/>
      <c r="P33" s="148"/>
      <c r="Q33" s="148"/>
      <c r="R33" s="101">
        <v>1</v>
      </c>
      <c r="S33" s="148"/>
      <c r="T33" s="101">
        <v>1</v>
      </c>
      <c r="U33" s="148"/>
      <c r="V33" s="101"/>
      <c r="W33" s="148"/>
      <c r="X33" s="148"/>
      <c r="Y33" s="101"/>
      <c r="Z33" s="148"/>
      <c r="AA33" s="101"/>
      <c r="AB33" s="148"/>
      <c r="AC33" s="101"/>
      <c r="AD33" s="101"/>
      <c r="AE33" s="101"/>
      <c r="AF33" s="101"/>
      <c r="AG33" s="66">
        <f t="shared" si="1"/>
        <v>6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2"/>
        <v>琬蓁</v>
      </c>
      <c r="AJ33" s="90"/>
    </row>
    <row r="34" spans="1:36" ht="18" customHeight="1">
      <c r="A34" s="101" t="s">
        <v>174</v>
      </c>
      <c r="B34" s="102" t="s">
        <v>116</v>
      </c>
      <c r="C34" s="101"/>
      <c r="D34" s="137"/>
      <c r="E34" s="148"/>
      <c r="F34" s="101"/>
      <c r="G34" s="148"/>
      <c r="H34" s="101"/>
      <c r="I34" s="101"/>
      <c r="J34" s="148"/>
      <c r="K34" s="148"/>
      <c r="L34" s="148"/>
      <c r="M34" s="101"/>
      <c r="N34" s="148"/>
      <c r="O34" s="101"/>
      <c r="P34" s="148"/>
      <c r="Q34" s="148"/>
      <c r="R34" s="101"/>
      <c r="S34" s="148"/>
      <c r="T34" s="101"/>
      <c r="U34" s="148"/>
      <c r="V34" s="101"/>
      <c r="W34" s="148"/>
      <c r="X34" s="148"/>
      <c r="Y34" s="101"/>
      <c r="Z34" s="148"/>
      <c r="AA34" s="101"/>
      <c r="AB34" s="148"/>
      <c r="AC34" s="101"/>
      <c r="AD34" s="101"/>
      <c r="AE34" s="101"/>
      <c r="AF34" s="101"/>
      <c r="AG34" s="66">
        <f t="shared" si="1"/>
        <v>0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2"/>
        <v>大汪</v>
      </c>
      <c r="AJ34" s="89"/>
    </row>
    <row r="35" spans="1:36" ht="18" customHeight="1">
      <c r="A35" s="101" t="s">
        <v>174</v>
      </c>
      <c r="B35" s="102" t="s">
        <v>117</v>
      </c>
      <c r="C35" s="101"/>
      <c r="D35" s="137"/>
      <c r="E35" s="148"/>
      <c r="F35" s="101"/>
      <c r="G35" s="148"/>
      <c r="H35" s="101"/>
      <c r="I35" s="101"/>
      <c r="J35" s="148"/>
      <c r="K35" s="148"/>
      <c r="L35" s="148"/>
      <c r="M35" s="101"/>
      <c r="N35" s="148"/>
      <c r="O35" s="101"/>
      <c r="P35" s="148"/>
      <c r="Q35" s="148"/>
      <c r="R35" s="101"/>
      <c r="S35" s="148"/>
      <c r="T35" s="101"/>
      <c r="U35" s="148"/>
      <c r="V35" s="101"/>
      <c r="W35" s="148"/>
      <c r="X35" s="148"/>
      <c r="Y35" s="101"/>
      <c r="Z35" s="148"/>
      <c r="AA35" s="101"/>
      <c r="AB35" s="148"/>
      <c r="AC35" s="101"/>
      <c r="AD35" s="101"/>
      <c r="AE35" s="101"/>
      <c r="AF35" s="101"/>
      <c r="AG35" s="66">
        <f t="shared" si="1"/>
        <v>0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2"/>
        <v>依凡</v>
      </c>
      <c r="AJ35" s="89"/>
    </row>
    <row r="36" spans="1:36" ht="18" customHeight="1">
      <c r="A36" s="101" t="s">
        <v>174</v>
      </c>
      <c r="B36" s="102" t="s">
        <v>118</v>
      </c>
      <c r="C36" s="101"/>
      <c r="D36" s="137"/>
      <c r="E36" s="148"/>
      <c r="F36" s="101"/>
      <c r="G36" s="148"/>
      <c r="H36" s="101"/>
      <c r="I36" s="101"/>
      <c r="J36" s="148"/>
      <c r="K36" s="148"/>
      <c r="L36" s="148"/>
      <c r="M36" s="101"/>
      <c r="N36" s="148"/>
      <c r="O36" s="101"/>
      <c r="P36" s="148"/>
      <c r="Q36" s="148"/>
      <c r="R36" s="101"/>
      <c r="S36" s="148"/>
      <c r="T36" s="101"/>
      <c r="U36" s="148"/>
      <c r="V36" s="101"/>
      <c r="W36" s="148"/>
      <c r="X36" s="148"/>
      <c r="Y36" s="101"/>
      <c r="Z36" s="148"/>
      <c r="AA36" s="101"/>
      <c r="AB36" s="148"/>
      <c r="AC36" s="101"/>
      <c r="AD36" s="101"/>
      <c r="AE36" s="101"/>
      <c r="AF36" s="101"/>
      <c r="AG36" s="66">
        <f t="shared" ref="AG36:AG67" si="3">COUNTA(C36:AF36)</f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4">B36</f>
        <v>雅筑</v>
      </c>
      <c r="AJ36" s="89"/>
    </row>
    <row r="37" spans="1:36" ht="18" customHeight="1">
      <c r="A37" s="101" t="s">
        <v>174</v>
      </c>
      <c r="B37" s="102" t="s">
        <v>119</v>
      </c>
      <c r="C37" s="101"/>
      <c r="D37" s="137"/>
      <c r="E37" s="148"/>
      <c r="F37" s="101"/>
      <c r="G37" s="148"/>
      <c r="H37" s="101"/>
      <c r="I37" s="101"/>
      <c r="J37" s="148"/>
      <c r="K37" s="148"/>
      <c r="L37" s="148"/>
      <c r="M37" s="101"/>
      <c r="N37" s="148"/>
      <c r="O37" s="101"/>
      <c r="P37" s="148"/>
      <c r="Q37" s="148"/>
      <c r="R37" s="101"/>
      <c r="S37" s="148"/>
      <c r="T37" s="101"/>
      <c r="U37" s="148"/>
      <c r="V37" s="101"/>
      <c r="W37" s="148"/>
      <c r="X37" s="148"/>
      <c r="Y37" s="101"/>
      <c r="Z37" s="148"/>
      <c r="AA37" s="101"/>
      <c r="AB37" s="148"/>
      <c r="AC37" s="101"/>
      <c r="AD37" s="101"/>
      <c r="AE37" s="101"/>
      <c r="AF37" s="101"/>
      <c r="AG37" s="66">
        <f t="shared" si="3"/>
        <v>0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4"/>
        <v>ABBY</v>
      </c>
      <c r="AJ37" s="90"/>
    </row>
    <row r="38" spans="1:36" ht="18" customHeight="1">
      <c r="A38" s="101" t="s">
        <v>174</v>
      </c>
      <c r="B38" s="102" t="s">
        <v>120</v>
      </c>
      <c r="C38" s="101"/>
      <c r="D38" s="137"/>
      <c r="E38" s="148"/>
      <c r="F38" s="101"/>
      <c r="G38" s="148"/>
      <c r="H38" s="101"/>
      <c r="I38" s="101"/>
      <c r="J38" s="148"/>
      <c r="K38" s="148"/>
      <c r="L38" s="148"/>
      <c r="M38" s="101"/>
      <c r="N38" s="148"/>
      <c r="O38" s="101"/>
      <c r="P38" s="148"/>
      <c r="Q38" s="148"/>
      <c r="R38" s="101"/>
      <c r="S38" s="148"/>
      <c r="T38" s="101"/>
      <c r="U38" s="148"/>
      <c r="V38" s="101"/>
      <c r="W38" s="148"/>
      <c r="X38" s="148"/>
      <c r="Y38" s="101"/>
      <c r="Z38" s="148"/>
      <c r="AA38" s="101"/>
      <c r="AB38" s="148"/>
      <c r="AC38" s="101"/>
      <c r="AD38" s="101"/>
      <c r="AE38" s="101"/>
      <c r="AF38" s="101"/>
      <c r="AG38" s="66">
        <f t="shared" si="3"/>
        <v>0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4"/>
        <v>品君</v>
      </c>
      <c r="AJ38" s="90"/>
    </row>
    <row r="39" spans="1:36" ht="18" customHeight="1">
      <c r="A39" s="101" t="s">
        <v>174</v>
      </c>
      <c r="B39" s="102" t="s">
        <v>121</v>
      </c>
      <c r="C39" s="101">
        <v>1</v>
      </c>
      <c r="D39" s="137">
        <v>1</v>
      </c>
      <c r="E39" s="148"/>
      <c r="F39" s="101">
        <v>1</v>
      </c>
      <c r="G39" s="148"/>
      <c r="H39" s="101">
        <v>1</v>
      </c>
      <c r="I39" s="101">
        <v>1</v>
      </c>
      <c r="J39" s="148"/>
      <c r="K39" s="148"/>
      <c r="L39" s="148"/>
      <c r="M39" s="101">
        <v>1</v>
      </c>
      <c r="N39" s="148"/>
      <c r="O39" s="101">
        <v>1</v>
      </c>
      <c r="P39" s="148"/>
      <c r="Q39" s="148"/>
      <c r="R39" s="101"/>
      <c r="S39" s="148"/>
      <c r="T39" s="101">
        <v>1</v>
      </c>
      <c r="U39" s="148"/>
      <c r="V39" s="101">
        <v>1</v>
      </c>
      <c r="W39" s="148"/>
      <c r="X39" s="148"/>
      <c r="Y39" s="101">
        <v>1</v>
      </c>
      <c r="Z39" s="148"/>
      <c r="AA39" s="101"/>
      <c r="AB39" s="148"/>
      <c r="AC39" s="101">
        <v>1</v>
      </c>
      <c r="AD39" s="101">
        <v>1</v>
      </c>
      <c r="AE39" s="101">
        <v>1</v>
      </c>
      <c r="AF39" s="101">
        <v>1</v>
      </c>
      <c r="AG39" s="66">
        <f t="shared" si="3"/>
        <v>14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4"/>
        <v>冰沙</v>
      </c>
      <c r="AJ39" s="90"/>
    </row>
    <row r="40" spans="1:36" ht="18" customHeight="1">
      <c r="A40" s="101" t="s">
        <v>174</v>
      </c>
      <c r="B40" s="102" t="s">
        <v>122</v>
      </c>
      <c r="C40" s="101"/>
      <c r="D40" s="137"/>
      <c r="E40" s="148"/>
      <c r="F40" s="101"/>
      <c r="G40" s="148"/>
      <c r="H40" s="101"/>
      <c r="I40" s="101"/>
      <c r="J40" s="148"/>
      <c r="K40" s="148"/>
      <c r="L40" s="148"/>
      <c r="M40" s="101"/>
      <c r="N40" s="148"/>
      <c r="O40" s="101"/>
      <c r="P40" s="148"/>
      <c r="Q40" s="148"/>
      <c r="R40" s="101"/>
      <c r="S40" s="148"/>
      <c r="T40" s="101"/>
      <c r="U40" s="148"/>
      <c r="V40" s="101"/>
      <c r="W40" s="148"/>
      <c r="X40" s="148"/>
      <c r="Y40" s="101"/>
      <c r="Z40" s="148"/>
      <c r="AA40" s="101"/>
      <c r="AB40" s="148"/>
      <c r="AC40" s="101"/>
      <c r="AD40" s="101"/>
      <c r="AE40" s="101"/>
      <c r="AF40" s="101"/>
      <c r="AG40" s="66">
        <f t="shared" si="3"/>
        <v>0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4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48"/>
      <c r="F41" s="101"/>
      <c r="G41" s="148"/>
      <c r="H41" s="101"/>
      <c r="I41" s="101"/>
      <c r="J41" s="148"/>
      <c r="K41" s="148"/>
      <c r="L41" s="148"/>
      <c r="M41" s="101"/>
      <c r="N41" s="148"/>
      <c r="O41" s="101"/>
      <c r="P41" s="148"/>
      <c r="Q41" s="148"/>
      <c r="R41" s="101"/>
      <c r="S41" s="148"/>
      <c r="T41" s="101"/>
      <c r="U41" s="148"/>
      <c r="V41" s="101"/>
      <c r="W41" s="148"/>
      <c r="X41" s="148"/>
      <c r="Y41" s="101"/>
      <c r="Z41" s="148"/>
      <c r="AA41" s="101"/>
      <c r="AB41" s="148"/>
      <c r="AC41" s="101"/>
      <c r="AD41" s="101"/>
      <c r="AE41" s="101"/>
      <c r="AF41" s="101"/>
      <c r="AG41" s="66">
        <f t="shared" si="3"/>
        <v>0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4"/>
        <v>瑤瑤</v>
      </c>
      <c r="AJ41" s="89"/>
    </row>
    <row r="42" spans="1:36" ht="18" customHeight="1">
      <c r="A42" s="95" t="s">
        <v>58</v>
      </c>
      <c r="B42" s="96" t="s">
        <v>23</v>
      </c>
      <c r="C42" s="151">
        <v>1</v>
      </c>
      <c r="D42" s="150">
        <v>1</v>
      </c>
      <c r="E42" s="148"/>
      <c r="F42" s="151">
        <v>1</v>
      </c>
      <c r="G42" s="148"/>
      <c r="H42" s="151">
        <v>1</v>
      </c>
      <c r="I42" s="151">
        <v>1</v>
      </c>
      <c r="J42" s="148"/>
      <c r="K42" s="148"/>
      <c r="L42" s="148"/>
      <c r="M42" s="151">
        <v>1</v>
      </c>
      <c r="N42" s="148"/>
      <c r="O42" s="151">
        <v>1</v>
      </c>
      <c r="P42" s="148"/>
      <c r="Q42" s="148"/>
      <c r="R42" s="151">
        <v>1</v>
      </c>
      <c r="S42" s="148"/>
      <c r="T42" s="151">
        <v>1</v>
      </c>
      <c r="U42" s="148"/>
      <c r="V42" s="151">
        <v>1</v>
      </c>
      <c r="W42" s="148"/>
      <c r="X42" s="148"/>
      <c r="Y42" s="151"/>
      <c r="Z42" s="148"/>
      <c r="AA42" s="151"/>
      <c r="AB42" s="148"/>
      <c r="AC42" s="151"/>
      <c r="AD42" s="151"/>
      <c r="AE42" s="151">
        <v>1</v>
      </c>
      <c r="AF42" s="151"/>
      <c r="AG42" s="66">
        <f t="shared" si="3"/>
        <v>11</v>
      </c>
      <c r="AH42" s="68" t="e">
        <f ca="1">(IF(A42="O", (VALUE(_xludf.IFS(AG42=0,"0",AG42=1,"150",AG42=2,"300",AG42=3,"450",AG42=4,"600",AG42=5,"750",AG42&gt;=6,"800"))),(VALUE(_xludf.IFS(AG42=0,"0",AG42=1,"150",AG42=2,"300",AG42=3,"450",AG42=4,"600",AG42=5,"750",AG42=6,"900",AG42&gt;=7,"1,000")))))</f>
        <v>#NAME?</v>
      </c>
      <c r="AI42" s="69" t="str">
        <f t="shared" si="4"/>
        <v>ㄈㄈ</v>
      </c>
      <c r="AJ42" s="73"/>
    </row>
    <row r="43" spans="1:36" ht="18" customHeight="1">
      <c r="A43" s="95" t="s">
        <v>58</v>
      </c>
      <c r="B43" s="96" t="s">
        <v>24</v>
      </c>
      <c r="C43" s="151"/>
      <c r="D43" s="150"/>
      <c r="E43" s="148"/>
      <c r="F43" s="151"/>
      <c r="G43" s="148"/>
      <c r="H43" s="151">
        <v>1</v>
      </c>
      <c r="I43" s="151">
        <v>1</v>
      </c>
      <c r="J43" s="148"/>
      <c r="K43" s="148"/>
      <c r="L43" s="148"/>
      <c r="M43" s="151"/>
      <c r="N43" s="148"/>
      <c r="O43" s="151">
        <v>1</v>
      </c>
      <c r="P43" s="148"/>
      <c r="Q43" s="148"/>
      <c r="R43" s="151"/>
      <c r="S43" s="148"/>
      <c r="T43" s="151">
        <v>1</v>
      </c>
      <c r="U43" s="148"/>
      <c r="V43" s="151">
        <v>1</v>
      </c>
      <c r="W43" s="148"/>
      <c r="X43" s="148"/>
      <c r="Y43" s="151"/>
      <c r="Z43" s="148"/>
      <c r="AA43" s="151">
        <v>1</v>
      </c>
      <c r="AB43" s="148"/>
      <c r="AC43" s="151"/>
      <c r="AD43" s="151"/>
      <c r="AE43" s="151"/>
      <c r="AF43" s="151"/>
      <c r="AG43" s="66">
        <f t="shared" si="3"/>
        <v>6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4"/>
        <v>大熊</v>
      </c>
      <c r="AJ43" s="73"/>
    </row>
    <row r="44" spans="1:36" ht="18" customHeight="1">
      <c r="A44" s="95" t="s">
        <v>58</v>
      </c>
      <c r="B44" s="96" t="s">
        <v>64</v>
      </c>
      <c r="C44" s="151">
        <v>1</v>
      </c>
      <c r="D44" s="150"/>
      <c r="E44" s="148"/>
      <c r="F44" s="151">
        <v>1</v>
      </c>
      <c r="G44" s="148"/>
      <c r="H44" s="151">
        <v>1</v>
      </c>
      <c r="I44" s="151">
        <v>1</v>
      </c>
      <c r="J44" s="148"/>
      <c r="K44" s="148"/>
      <c r="L44" s="148"/>
      <c r="M44" s="151">
        <v>1</v>
      </c>
      <c r="N44" s="148"/>
      <c r="O44" s="151">
        <v>1</v>
      </c>
      <c r="P44" s="148"/>
      <c r="Q44" s="148"/>
      <c r="R44" s="151"/>
      <c r="S44" s="148"/>
      <c r="T44" s="151">
        <v>1</v>
      </c>
      <c r="U44" s="148"/>
      <c r="V44" s="151">
        <v>1</v>
      </c>
      <c r="W44" s="148"/>
      <c r="X44" s="148"/>
      <c r="Y44" s="151">
        <v>1</v>
      </c>
      <c r="Z44" s="148"/>
      <c r="AA44" s="151">
        <v>1</v>
      </c>
      <c r="AB44" s="148"/>
      <c r="AC44" s="151"/>
      <c r="AD44" s="151"/>
      <c r="AE44" s="151"/>
      <c r="AF44" s="151"/>
      <c r="AG44" s="66">
        <f t="shared" si="3"/>
        <v>10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4"/>
        <v>園棠</v>
      </c>
      <c r="AJ44" s="73"/>
    </row>
    <row r="45" spans="1:36" ht="18" customHeight="1">
      <c r="A45" s="95" t="s">
        <v>58</v>
      </c>
      <c r="B45" s="96" t="s">
        <v>178</v>
      </c>
      <c r="C45" s="151">
        <v>1</v>
      </c>
      <c r="D45" s="150">
        <v>1</v>
      </c>
      <c r="E45" s="148"/>
      <c r="F45" s="151">
        <v>1</v>
      </c>
      <c r="G45" s="148"/>
      <c r="H45" s="151">
        <v>1</v>
      </c>
      <c r="I45" s="151">
        <v>1</v>
      </c>
      <c r="J45" s="148"/>
      <c r="K45" s="148"/>
      <c r="L45" s="148"/>
      <c r="M45" s="151">
        <v>1</v>
      </c>
      <c r="N45" s="148"/>
      <c r="O45" s="151">
        <v>1</v>
      </c>
      <c r="P45" s="148"/>
      <c r="Q45" s="148"/>
      <c r="R45" s="151"/>
      <c r="S45" s="148"/>
      <c r="T45" s="151">
        <v>1</v>
      </c>
      <c r="U45" s="148"/>
      <c r="V45" s="151">
        <v>1</v>
      </c>
      <c r="W45" s="148"/>
      <c r="X45" s="148"/>
      <c r="Y45" s="151"/>
      <c r="Z45" s="148"/>
      <c r="AA45" s="151"/>
      <c r="AB45" s="148"/>
      <c r="AC45" s="151">
        <v>1</v>
      </c>
      <c r="AD45" s="151"/>
      <c r="AE45" s="151"/>
      <c r="AF45" s="151"/>
      <c r="AG45" s="66">
        <f t="shared" si="3"/>
        <v>10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4"/>
        <v>Fish</v>
      </c>
      <c r="AJ45" s="73"/>
    </row>
    <row r="46" spans="1:36" ht="18" customHeight="1">
      <c r="A46" s="95" t="s">
        <v>58</v>
      </c>
      <c r="B46" s="96" t="s">
        <v>25</v>
      </c>
      <c r="C46" s="151">
        <v>1</v>
      </c>
      <c r="D46" s="150"/>
      <c r="E46" s="148"/>
      <c r="F46" s="151"/>
      <c r="G46" s="148"/>
      <c r="H46" s="151">
        <v>1</v>
      </c>
      <c r="I46" s="151">
        <v>1</v>
      </c>
      <c r="J46" s="148"/>
      <c r="K46" s="148"/>
      <c r="L46" s="148"/>
      <c r="M46" s="151"/>
      <c r="N46" s="148"/>
      <c r="O46" s="151"/>
      <c r="P46" s="148"/>
      <c r="Q46" s="148"/>
      <c r="R46" s="151">
        <v>1</v>
      </c>
      <c r="S46" s="148"/>
      <c r="T46" s="151"/>
      <c r="U46" s="148"/>
      <c r="V46" s="151"/>
      <c r="W46" s="148"/>
      <c r="X46" s="148"/>
      <c r="Y46" s="151"/>
      <c r="Z46" s="148"/>
      <c r="AA46" s="151"/>
      <c r="AB46" s="148"/>
      <c r="AC46" s="151"/>
      <c r="AD46" s="151">
        <v>1</v>
      </c>
      <c r="AE46" s="151"/>
      <c r="AF46" s="151"/>
      <c r="AG46" s="66">
        <f t="shared" si="3"/>
        <v>5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4"/>
        <v>潘潘</v>
      </c>
      <c r="AJ46" s="73"/>
    </row>
    <row r="47" spans="1:36" ht="18" customHeight="1">
      <c r="A47" s="95" t="s">
        <v>58</v>
      </c>
      <c r="B47" s="96" t="s">
        <v>63</v>
      </c>
      <c r="C47" s="151"/>
      <c r="D47" s="150"/>
      <c r="E47" s="148"/>
      <c r="F47" s="151"/>
      <c r="G47" s="148"/>
      <c r="H47" s="151"/>
      <c r="I47" s="151"/>
      <c r="J47" s="148"/>
      <c r="K47" s="148"/>
      <c r="L47" s="148"/>
      <c r="M47" s="151"/>
      <c r="N47" s="148"/>
      <c r="O47" s="151"/>
      <c r="P47" s="148"/>
      <c r="Q47" s="148"/>
      <c r="R47" s="151"/>
      <c r="S47" s="148"/>
      <c r="T47" s="151"/>
      <c r="U47" s="148"/>
      <c r="V47" s="151"/>
      <c r="W47" s="148"/>
      <c r="X47" s="148"/>
      <c r="Y47" s="151"/>
      <c r="Z47" s="148"/>
      <c r="AA47" s="151"/>
      <c r="AB47" s="148"/>
      <c r="AC47" s="151"/>
      <c r="AD47" s="151"/>
      <c r="AE47" s="151"/>
      <c r="AF47" s="151"/>
      <c r="AG47" s="66">
        <f t="shared" si="3"/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4"/>
        <v>芒果</v>
      </c>
      <c r="AJ47" s="73"/>
    </row>
    <row r="48" spans="1:36" ht="18" customHeight="1">
      <c r="A48" s="95" t="s">
        <v>58</v>
      </c>
      <c r="B48" s="96" t="s">
        <v>62</v>
      </c>
      <c r="C48" s="151"/>
      <c r="D48" s="150"/>
      <c r="E48" s="148"/>
      <c r="F48" s="151"/>
      <c r="G48" s="148"/>
      <c r="H48" s="151">
        <v>1</v>
      </c>
      <c r="I48" s="151"/>
      <c r="J48" s="148"/>
      <c r="K48" s="148"/>
      <c r="L48" s="148"/>
      <c r="M48" s="151"/>
      <c r="N48" s="148"/>
      <c r="O48" s="151"/>
      <c r="P48" s="148"/>
      <c r="Q48" s="148"/>
      <c r="R48" s="151"/>
      <c r="S48" s="148"/>
      <c r="T48" s="151"/>
      <c r="U48" s="148"/>
      <c r="V48" s="151"/>
      <c r="W48" s="148"/>
      <c r="X48" s="148"/>
      <c r="Y48" s="151"/>
      <c r="Z48" s="148"/>
      <c r="AA48" s="151"/>
      <c r="AB48" s="148"/>
      <c r="AC48" s="151"/>
      <c r="AD48" s="151"/>
      <c r="AE48" s="151"/>
      <c r="AF48" s="151">
        <v>1</v>
      </c>
      <c r="AG48" s="66">
        <f t="shared" si="3"/>
        <v>2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4"/>
        <v>國源</v>
      </c>
      <c r="AJ48" s="73"/>
    </row>
    <row r="49" spans="1:36" ht="18" customHeight="1">
      <c r="A49" s="95" t="s">
        <v>58</v>
      </c>
      <c r="B49" s="96" t="s">
        <v>26</v>
      </c>
      <c r="C49" s="151">
        <v>1</v>
      </c>
      <c r="D49" s="150"/>
      <c r="E49" s="148"/>
      <c r="F49" s="151">
        <v>1</v>
      </c>
      <c r="G49" s="148"/>
      <c r="H49" s="151">
        <v>1</v>
      </c>
      <c r="I49" s="151">
        <v>1</v>
      </c>
      <c r="J49" s="148"/>
      <c r="K49" s="148"/>
      <c r="L49" s="148"/>
      <c r="M49" s="151">
        <v>1</v>
      </c>
      <c r="N49" s="148"/>
      <c r="O49" s="151">
        <v>1</v>
      </c>
      <c r="P49" s="148"/>
      <c r="Q49" s="148"/>
      <c r="R49" s="151"/>
      <c r="S49" s="148"/>
      <c r="T49" s="151">
        <v>1</v>
      </c>
      <c r="U49" s="148"/>
      <c r="V49" s="151">
        <v>1</v>
      </c>
      <c r="W49" s="148"/>
      <c r="X49" s="148"/>
      <c r="Y49" s="151"/>
      <c r="Z49" s="148"/>
      <c r="AA49" s="151">
        <v>1</v>
      </c>
      <c r="AB49" s="148"/>
      <c r="AC49" s="151">
        <v>1</v>
      </c>
      <c r="AD49" s="151"/>
      <c r="AE49" s="151"/>
      <c r="AF49" s="151">
        <v>1</v>
      </c>
      <c r="AG49" s="66">
        <f t="shared" si="3"/>
        <v>11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4"/>
        <v>曉強</v>
      </c>
      <c r="AJ49" s="73"/>
    </row>
    <row r="50" spans="1:36" ht="18" customHeight="1">
      <c r="A50" s="95" t="s">
        <v>58</v>
      </c>
      <c r="B50" s="96" t="s">
        <v>59</v>
      </c>
      <c r="C50" s="151"/>
      <c r="D50" s="150"/>
      <c r="E50" s="148"/>
      <c r="F50" s="151"/>
      <c r="G50" s="148"/>
      <c r="H50" s="151"/>
      <c r="I50" s="151"/>
      <c r="J50" s="148"/>
      <c r="K50" s="148"/>
      <c r="L50" s="148"/>
      <c r="M50" s="151"/>
      <c r="N50" s="148"/>
      <c r="O50" s="151"/>
      <c r="P50" s="148"/>
      <c r="Q50" s="148"/>
      <c r="R50" s="151"/>
      <c r="S50" s="148"/>
      <c r="T50" s="151"/>
      <c r="U50" s="148"/>
      <c r="V50" s="151"/>
      <c r="W50" s="148"/>
      <c r="X50" s="148"/>
      <c r="Y50" s="151"/>
      <c r="Z50" s="148"/>
      <c r="AA50" s="151"/>
      <c r="AB50" s="148"/>
      <c r="AC50" s="151"/>
      <c r="AD50" s="151"/>
      <c r="AE50" s="151"/>
      <c r="AF50" s="151"/>
      <c r="AG50" s="66">
        <f t="shared" si="3"/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4"/>
        <v>阿幹</v>
      </c>
      <c r="AJ50" s="73"/>
    </row>
    <row r="51" spans="1:36" ht="18" customHeight="1">
      <c r="A51" s="95" t="s">
        <v>58</v>
      </c>
      <c r="B51" s="96" t="s">
        <v>27</v>
      </c>
      <c r="C51" s="151"/>
      <c r="D51" s="150"/>
      <c r="E51" s="148"/>
      <c r="F51" s="151"/>
      <c r="G51" s="148"/>
      <c r="H51" s="151"/>
      <c r="I51" s="151"/>
      <c r="J51" s="148"/>
      <c r="K51" s="148"/>
      <c r="L51" s="148"/>
      <c r="M51" s="151"/>
      <c r="N51" s="148"/>
      <c r="O51" s="151"/>
      <c r="P51" s="148"/>
      <c r="Q51" s="148"/>
      <c r="R51" s="151"/>
      <c r="S51" s="148"/>
      <c r="T51" s="151"/>
      <c r="U51" s="148"/>
      <c r="V51" s="151"/>
      <c r="W51" s="148"/>
      <c r="X51" s="148"/>
      <c r="Y51" s="151"/>
      <c r="Z51" s="148"/>
      <c r="AA51" s="151"/>
      <c r="AB51" s="148"/>
      <c r="AC51" s="151"/>
      <c r="AD51" s="151"/>
      <c r="AE51" s="151"/>
      <c r="AF51" s="151"/>
      <c r="AG51" s="66">
        <f t="shared" si="3"/>
        <v>0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4"/>
        <v>芋圓</v>
      </c>
      <c r="AJ51" s="73"/>
    </row>
    <row r="52" spans="1:36" ht="18" customHeight="1">
      <c r="A52" s="95" t="s">
        <v>58</v>
      </c>
      <c r="B52" s="96" t="s">
        <v>28</v>
      </c>
      <c r="C52" s="151"/>
      <c r="D52" s="150"/>
      <c r="E52" s="148"/>
      <c r="F52" s="151"/>
      <c r="G52" s="148"/>
      <c r="H52" s="151"/>
      <c r="I52" s="151"/>
      <c r="J52" s="148"/>
      <c r="K52" s="148"/>
      <c r="L52" s="148"/>
      <c r="M52" s="151"/>
      <c r="N52" s="148"/>
      <c r="O52" s="151"/>
      <c r="P52" s="148"/>
      <c r="Q52" s="148"/>
      <c r="R52" s="151"/>
      <c r="S52" s="148"/>
      <c r="T52" s="151"/>
      <c r="U52" s="148"/>
      <c r="V52" s="151"/>
      <c r="W52" s="148"/>
      <c r="X52" s="148"/>
      <c r="Y52" s="151"/>
      <c r="Z52" s="148"/>
      <c r="AA52" s="151"/>
      <c r="AB52" s="148"/>
      <c r="AC52" s="151"/>
      <c r="AD52" s="151"/>
      <c r="AE52" s="151"/>
      <c r="AF52" s="151"/>
      <c r="AG52" s="66">
        <f t="shared" si="3"/>
        <v>0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4"/>
        <v>克勤</v>
      </c>
      <c r="AJ52" s="73"/>
    </row>
    <row r="53" spans="1:36" ht="18" customHeight="1">
      <c r="A53" s="95" t="s">
        <v>58</v>
      </c>
      <c r="B53" s="96" t="s">
        <v>29</v>
      </c>
      <c r="C53" s="151"/>
      <c r="D53" s="150"/>
      <c r="E53" s="148"/>
      <c r="F53" s="151"/>
      <c r="G53" s="148"/>
      <c r="H53" s="151"/>
      <c r="I53" s="151"/>
      <c r="J53" s="148"/>
      <c r="K53" s="148"/>
      <c r="L53" s="148"/>
      <c r="M53" s="151"/>
      <c r="N53" s="148"/>
      <c r="O53" s="151"/>
      <c r="P53" s="148"/>
      <c r="Q53" s="148"/>
      <c r="R53" s="151"/>
      <c r="S53" s="148"/>
      <c r="T53" s="151"/>
      <c r="U53" s="148"/>
      <c r="V53" s="151"/>
      <c r="W53" s="148"/>
      <c r="X53" s="148"/>
      <c r="Y53" s="151"/>
      <c r="Z53" s="148"/>
      <c r="AA53" s="151"/>
      <c r="AB53" s="148"/>
      <c r="AC53" s="151"/>
      <c r="AD53" s="151"/>
      <c r="AE53" s="151"/>
      <c r="AF53" s="151"/>
      <c r="AG53" s="66">
        <f t="shared" si="3"/>
        <v>0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4"/>
        <v>大頭</v>
      </c>
      <c r="AJ53" s="73"/>
    </row>
    <row r="54" spans="1:36" ht="18" customHeight="1">
      <c r="A54" s="95" t="s">
        <v>58</v>
      </c>
      <c r="B54" s="96" t="s">
        <v>65</v>
      </c>
      <c r="C54" s="151"/>
      <c r="D54" s="150"/>
      <c r="E54" s="148"/>
      <c r="F54" s="151"/>
      <c r="G54" s="148"/>
      <c r="H54" s="151"/>
      <c r="I54" s="151"/>
      <c r="J54" s="148"/>
      <c r="K54" s="148"/>
      <c r="L54" s="148"/>
      <c r="M54" s="151"/>
      <c r="N54" s="148"/>
      <c r="O54" s="151"/>
      <c r="P54" s="148"/>
      <c r="Q54" s="148"/>
      <c r="R54" s="151"/>
      <c r="S54" s="148"/>
      <c r="T54" s="151"/>
      <c r="U54" s="148"/>
      <c r="V54" s="151"/>
      <c r="W54" s="148"/>
      <c r="X54" s="148"/>
      <c r="Y54" s="151"/>
      <c r="Z54" s="148"/>
      <c r="AA54" s="151">
        <v>1</v>
      </c>
      <c r="AB54" s="148"/>
      <c r="AC54" s="151"/>
      <c r="AD54" s="151"/>
      <c r="AE54" s="151">
        <v>1</v>
      </c>
      <c r="AF54" s="151"/>
      <c r="AG54" s="66">
        <f t="shared" si="3"/>
        <v>2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4"/>
        <v>文淵</v>
      </c>
      <c r="AJ54" s="73"/>
    </row>
    <row r="55" spans="1:36" ht="18" customHeight="1">
      <c r="A55" s="95" t="s">
        <v>58</v>
      </c>
      <c r="B55" s="96" t="s">
        <v>72</v>
      </c>
      <c r="C55" s="151"/>
      <c r="D55" s="150"/>
      <c r="E55" s="148"/>
      <c r="F55" s="151"/>
      <c r="G55" s="148"/>
      <c r="H55" s="151"/>
      <c r="I55" s="151"/>
      <c r="J55" s="148"/>
      <c r="K55" s="148"/>
      <c r="L55" s="148"/>
      <c r="M55" s="151"/>
      <c r="N55" s="148"/>
      <c r="O55" s="151"/>
      <c r="P55" s="148"/>
      <c r="Q55" s="148"/>
      <c r="R55" s="151"/>
      <c r="S55" s="148"/>
      <c r="T55" s="151"/>
      <c r="U55" s="148"/>
      <c r="V55" s="151"/>
      <c r="W55" s="148"/>
      <c r="X55" s="148"/>
      <c r="Y55" s="151">
        <v>1</v>
      </c>
      <c r="Z55" s="148"/>
      <c r="AA55" s="151"/>
      <c r="AB55" s="148"/>
      <c r="AC55" s="151"/>
      <c r="AD55" s="151"/>
      <c r="AE55" s="151"/>
      <c r="AF55" s="151"/>
      <c r="AG55" s="66">
        <f t="shared" si="3"/>
        <v>1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4"/>
        <v>八卦</v>
      </c>
      <c r="AJ55" s="73"/>
    </row>
    <row r="56" spans="1:36" ht="18" customHeight="1">
      <c r="A56" s="95" t="s">
        <v>58</v>
      </c>
      <c r="B56" s="96" t="s">
        <v>66</v>
      </c>
      <c r="C56" s="151"/>
      <c r="D56" s="150"/>
      <c r="E56" s="148"/>
      <c r="F56" s="151"/>
      <c r="G56" s="148"/>
      <c r="H56" s="151"/>
      <c r="I56" s="151"/>
      <c r="J56" s="148"/>
      <c r="K56" s="148"/>
      <c r="L56" s="148"/>
      <c r="M56" s="151"/>
      <c r="N56" s="148"/>
      <c r="O56" s="151"/>
      <c r="P56" s="148"/>
      <c r="Q56" s="148"/>
      <c r="R56" s="151"/>
      <c r="S56" s="148"/>
      <c r="T56" s="151"/>
      <c r="U56" s="148"/>
      <c r="V56" s="151"/>
      <c r="W56" s="148"/>
      <c r="X56" s="148"/>
      <c r="Y56" s="151"/>
      <c r="Z56" s="148"/>
      <c r="AA56" s="151"/>
      <c r="AB56" s="148"/>
      <c r="AC56" s="151"/>
      <c r="AD56" s="151"/>
      <c r="AE56" s="151"/>
      <c r="AF56" s="151"/>
      <c r="AG56" s="66">
        <f t="shared" si="3"/>
        <v>0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4"/>
        <v>昆佑</v>
      </c>
      <c r="AJ56" s="73"/>
    </row>
    <row r="57" spans="1:36" ht="18" customHeight="1">
      <c r="A57" s="95" t="s">
        <v>58</v>
      </c>
      <c r="B57" s="96" t="s">
        <v>68</v>
      </c>
      <c r="C57" s="151"/>
      <c r="D57" s="150"/>
      <c r="E57" s="148"/>
      <c r="F57" s="151"/>
      <c r="G57" s="148"/>
      <c r="H57" s="151"/>
      <c r="I57" s="151"/>
      <c r="J57" s="148"/>
      <c r="K57" s="148"/>
      <c r="L57" s="148"/>
      <c r="M57" s="151"/>
      <c r="N57" s="148"/>
      <c r="O57" s="151"/>
      <c r="P57" s="148"/>
      <c r="Q57" s="148"/>
      <c r="R57" s="151"/>
      <c r="S57" s="148"/>
      <c r="T57" s="151"/>
      <c r="U57" s="148"/>
      <c r="V57" s="151"/>
      <c r="W57" s="148"/>
      <c r="X57" s="148"/>
      <c r="Y57" s="151"/>
      <c r="Z57" s="148"/>
      <c r="AA57" s="151"/>
      <c r="AB57" s="148"/>
      <c r="AC57" s="151"/>
      <c r="AD57" s="151"/>
      <c r="AE57" s="151"/>
      <c r="AF57" s="151"/>
      <c r="AG57" s="66">
        <f t="shared" si="3"/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4"/>
        <v>兔子</v>
      </c>
      <c r="AJ57" s="73"/>
    </row>
    <row r="58" spans="1:36" ht="18" customHeight="1">
      <c r="A58" s="95" t="s">
        <v>58</v>
      </c>
      <c r="B58" s="96" t="s">
        <v>69</v>
      </c>
      <c r="C58" s="151"/>
      <c r="D58" s="150"/>
      <c r="E58" s="148"/>
      <c r="F58" s="151"/>
      <c r="G58" s="148"/>
      <c r="H58" s="151"/>
      <c r="I58" s="151"/>
      <c r="J58" s="148"/>
      <c r="K58" s="148"/>
      <c r="L58" s="148"/>
      <c r="M58" s="151"/>
      <c r="N58" s="148"/>
      <c r="O58" s="151"/>
      <c r="P58" s="148"/>
      <c r="Q58" s="148"/>
      <c r="R58" s="151"/>
      <c r="S58" s="148"/>
      <c r="T58" s="151"/>
      <c r="U58" s="148"/>
      <c r="V58" s="151"/>
      <c r="W58" s="148"/>
      <c r="X58" s="148"/>
      <c r="Y58" s="151"/>
      <c r="Z58" s="148"/>
      <c r="AA58" s="151"/>
      <c r="AB58" s="148"/>
      <c r="AC58" s="151"/>
      <c r="AD58" s="151"/>
      <c r="AE58" s="151">
        <v>1</v>
      </c>
      <c r="AF58" s="151"/>
      <c r="AG58" s="66">
        <f t="shared" si="3"/>
        <v>1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4"/>
        <v>小馬</v>
      </c>
      <c r="AJ58" s="73"/>
    </row>
    <row r="59" spans="1:36" ht="18" customHeight="1">
      <c r="A59" s="95" t="s">
        <v>58</v>
      </c>
      <c r="B59" s="96" t="s">
        <v>70</v>
      </c>
      <c r="C59" s="151"/>
      <c r="D59" s="150"/>
      <c r="E59" s="148"/>
      <c r="F59" s="151"/>
      <c r="G59" s="148"/>
      <c r="H59" s="151"/>
      <c r="I59" s="151"/>
      <c r="J59" s="148"/>
      <c r="K59" s="148"/>
      <c r="L59" s="148"/>
      <c r="M59" s="151"/>
      <c r="N59" s="148"/>
      <c r="O59" s="151"/>
      <c r="P59" s="148"/>
      <c r="Q59" s="148"/>
      <c r="R59" s="151"/>
      <c r="S59" s="148"/>
      <c r="T59" s="151"/>
      <c r="U59" s="148"/>
      <c r="V59" s="151"/>
      <c r="W59" s="148"/>
      <c r="X59" s="148"/>
      <c r="Y59" s="151"/>
      <c r="Z59" s="148"/>
      <c r="AA59" s="151"/>
      <c r="AB59" s="148"/>
      <c r="AC59" s="151"/>
      <c r="AD59" s="151"/>
      <c r="AE59" s="151"/>
      <c r="AF59" s="151"/>
      <c r="AG59" s="66">
        <f t="shared" si="3"/>
        <v>0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4"/>
        <v>Allen</v>
      </c>
      <c r="AJ59" s="73"/>
    </row>
    <row r="60" spans="1:36" ht="18" customHeight="1">
      <c r="A60" s="95" t="s">
        <v>58</v>
      </c>
      <c r="B60" s="96" t="s">
        <v>71</v>
      </c>
      <c r="C60" s="151"/>
      <c r="D60" s="150"/>
      <c r="E60" s="148"/>
      <c r="F60" s="151"/>
      <c r="G60" s="148"/>
      <c r="H60" s="151"/>
      <c r="I60" s="151"/>
      <c r="J60" s="148"/>
      <c r="K60" s="148"/>
      <c r="L60" s="148"/>
      <c r="M60" s="151"/>
      <c r="N60" s="148"/>
      <c r="O60" s="151"/>
      <c r="P60" s="148"/>
      <c r="Q60" s="148"/>
      <c r="R60" s="151"/>
      <c r="S60" s="148"/>
      <c r="T60" s="151"/>
      <c r="U60" s="148"/>
      <c r="V60" s="151"/>
      <c r="W60" s="148"/>
      <c r="X60" s="148"/>
      <c r="Y60" s="151"/>
      <c r="Z60" s="148"/>
      <c r="AA60" s="151"/>
      <c r="AB60" s="148"/>
      <c r="AC60" s="151"/>
      <c r="AD60" s="151"/>
      <c r="AE60" s="151"/>
      <c r="AF60" s="151"/>
      <c r="AG60" s="66">
        <f t="shared" si="3"/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4"/>
        <v>嘴嘴</v>
      </c>
      <c r="AJ60" s="73"/>
    </row>
    <row r="61" spans="1:36" ht="18" customHeight="1">
      <c r="A61" s="95" t="s">
        <v>58</v>
      </c>
      <c r="B61" s="96" t="s">
        <v>74</v>
      </c>
      <c r="C61" s="151"/>
      <c r="D61" s="150"/>
      <c r="E61" s="148"/>
      <c r="F61" s="151"/>
      <c r="G61" s="148"/>
      <c r="H61" s="151"/>
      <c r="I61" s="151"/>
      <c r="J61" s="148"/>
      <c r="K61" s="148"/>
      <c r="L61" s="148"/>
      <c r="M61" s="151"/>
      <c r="N61" s="148"/>
      <c r="O61" s="151"/>
      <c r="P61" s="148"/>
      <c r="Q61" s="148"/>
      <c r="R61" s="151"/>
      <c r="S61" s="148"/>
      <c r="T61" s="151"/>
      <c r="U61" s="148"/>
      <c r="V61" s="151"/>
      <c r="W61" s="148"/>
      <c r="X61" s="148"/>
      <c r="Y61" s="151"/>
      <c r="Z61" s="148"/>
      <c r="AA61" s="151"/>
      <c r="AB61" s="148"/>
      <c r="AC61" s="151"/>
      <c r="AD61" s="151"/>
      <c r="AE61" s="151"/>
      <c r="AF61" s="151"/>
      <c r="AG61" s="66">
        <f t="shared" si="3"/>
        <v>0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4"/>
        <v>蘆葦</v>
      </c>
      <c r="AJ61" s="73"/>
    </row>
    <row r="62" spans="1:36" ht="18" customHeight="1">
      <c r="A62" s="95" t="s">
        <v>58</v>
      </c>
      <c r="B62" s="96" t="s">
        <v>30</v>
      </c>
      <c r="C62" s="151"/>
      <c r="D62" s="150">
        <v>1</v>
      </c>
      <c r="E62" s="148"/>
      <c r="F62" s="151">
        <v>1</v>
      </c>
      <c r="G62" s="148"/>
      <c r="H62" s="151"/>
      <c r="I62" s="151">
        <v>1</v>
      </c>
      <c r="J62" s="148"/>
      <c r="K62" s="148"/>
      <c r="L62" s="148"/>
      <c r="M62" s="151">
        <v>1</v>
      </c>
      <c r="N62" s="148"/>
      <c r="O62" s="151"/>
      <c r="P62" s="148"/>
      <c r="Q62" s="148"/>
      <c r="R62" s="151">
        <v>1</v>
      </c>
      <c r="S62" s="148"/>
      <c r="T62" s="151">
        <v>1</v>
      </c>
      <c r="U62" s="148"/>
      <c r="V62" s="151"/>
      <c r="W62" s="148"/>
      <c r="X62" s="148"/>
      <c r="Y62" s="151"/>
      <c r="Z62" s="148"/>
      <c r="AA62" s="151"/>
      <c r="AB62" s="148"/>
      <c r="AC62" s="151">
        <v>1</v>
      </c>
      <c r="AD62" s="151"/>
      <c r="AE62" s="151"/>
      <c r="AF62" s="151"/>
      <c r="AG62" s="66">
        <f t="shared" si="3"/>
        <v>7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4"/>
        <v>鯰魚</v>
      </c>
      <c r="AJ62" s="73"/>
    </row>
    <row r="63" spans="1:36" ht="18" customHeight="1">
      <c r="A63" s="95" t="s">
        <v>58</v>
      </c>
      <c r="B63" s="96" t="s">
        <v>31</v>
      </c>
      <c r="C63" s="151"/>
      <c r="D63" s="150"/>
      <c r="E63" s="148"/>
      <c r="F63" s="151">
        <v>1</v>
      </c>
      <c r="G63" s="148"/>
      <c r="H63" s="151">
        <v>1</v>
      </c>
      <c r="I63" s="151"/>
      <c r="J63" s="148"/>
      <c r="K63" s="148"/>
      <c r="L63" s="148"/>
      <c r="M63" s="151"/>
      <c r="N63" s="148"/>
      <c r="O63" s="151"/>
      <c r="P63" s="148"/>
      <c r="Q63" s="148"/>
      <c r="R63" s="151">
        <v>1</v>
      </c>
      <c r="S63" s="148"/>
      <c r="T63" s="151"/>
      <c r="U63" s="148"/>
      <c r="V63" s="151"/>
      <c r="W63" s="148"/>
      <c r="X63" s="148"/>
      <c r="Y63" s="151"/>
      <c r="Z63" s="148"/>
      <c r="AA63" s="151"/>
      <c r="AB63" s="148"/>
      <c r="AC63" s="151"/>
      <c r="AD63" s="151"/>
      <c r="AE63" s="151"/>
      <c r="AF63" s="151"/>
      <c r="AG63" s="66">
        <f t="shared" si="3"/>
        <v>3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4"/>
        <v>阿美</v>
      </c>
      <c r="AJ63" s="73"/>
    </row>
    <row r="64" spans="1:36" ht="18" customHeight="1">
      <c r="A64" s="95" t="s">
        <v>58</v>
      </c>
      <c r="B64" s="96" t="s">
        <v>73</v>
      </c>
      <c r="C64" s="151"/>
      <c r="D64" s="150"/>
      <c r="E64" s="148"/>
      <c r="F64" s="151"/>
      <c r="G64" s="148"/>
      <c r="H64" s="151"/>
      <c r="I64" s="151"/>
      <c r="J64" s="148"/>
      <c r="K64" s="148"/>
      <c r="L64" s="148"/>
      <c r="M64" s="151"/>
      <c r="N64" s="148"/>
      <c r="O64" s="151"/>
      <c r="P64" s="148"/>
      <c r="Q64" s="148"/>
      <c r="R64" s="151"/>
      <c r="S64" s="148"/>
      <c r="T64" s="151"/>
      <c r="U64" s="148"/>
      <c r="V64" s="151"/>
      <c r="W64" s="148"/>
      <c r="X64" s="148"/>
      <c r="Y64" s="151"/>
      <c r="Z64" s="148"/>
      <c r="AA64" s="151"/>
      <c r="AB64" s="148"/>
      <c r="AC64" s="151"/>
      <c r="AD64" s="151"/>
      <c r="AE64" s="151"/>
      <c r="AF64" s="151"/>
      <c r="AG64" s="66">
        <f t="shared" si="3"/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4"/>
        <v>冠軍</v>
      </c>
      <c r="AJ64" s="73"/>
    </row>
    <row r="65" spans="1:36" ht="18" customHeight="1">
      <c r="A65" s="95" t="s">
        <v>58</v>
      </c>
      <c r="B65" s="96" t="s">
        <v>198</v>
      </c>
      <c r="C65" s="151"/>
      <c r="D65" s="150">
        <v>1</v>
      </c>
      <c r="E65" s="148"/>
      <c r="F65" s="151">
        <v>1</v>
      </c>
      <c r="G65" s="148"/>
      <c r="H65" s="151"/>
      <c r="I65" s="151">
        <v>1</v>
      </c>
      <c r="J65" s="148"/>
      <c r="K65" s="148"/>
      <c r="L65" s="148"/>
      <c r="M65" s="151">
        <v>1</v>
      </c>
      <c r="N65" s="148"/>
      <c r="O65" s="151"/>
      <c r="P65" s="148"/>
      <c r="Q65" s="148"/>
      <c r="R65" s="151">
        <v>1</v>
      </c>
      <c r="S65" s="148"/>
      <c r="T65" s="151">
        <v>1</v>
      </c>
      <c r="U65" s="148"/>
      <c r="V65" s="151"/>
      <c r="W65" s="148"/>
      <c r="X65" s="148"/>
      <c r="Y65" s="151"/>
      <c r="Z65" s="148"/>
      <c r="AA65" s="151"/>
      <c r="AB65" s="148"/>
      <c r="AC65" s="151"/>
      <c r="AD65" s="151"/>
      <c r="AE65" s="151"/>
      <c r="AF65" s="151"/>
      <c r="AG65" s="66">
        <f t="shared" si="3"/>
        <v>6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4"/>
        <v>郁翔</v>
      </c>
      <c r="AJ65" s="73"/>
    </row>
    <row r="66" spans="1:36" ht="18" customHeight="1">
      <c r="A66" s="95" t="s">
        <v>58</v>
      </c>
      <c r="B66" s="96" t="s">
        <v>67</v>
      </c>
      <c r="C66" s="151"/>
      <c r="D66" s="150"/>
      <c r="E66" s="148"/>
      <c r="F66" s="151"/>
      <c r="G66" s="148"/>
      <c r="H66" s="151"/>
      <c r="I66" s="151"/>
      <c r="J66" s="148"/>
      <c r="K66" s="148"/>
      <c r="L66" s="148"/>
      <c r="M66" s="151"/>
      <c r="N66" s="148"/>
      <c r="O66" s="151"/>
      <c r="P66" s="148"/>
      <c r="Q66" s="148"/>
      <c r="R66" s="151"/>
      <c r="S66" s="148"/>
      <c r="T66" s="151"/>
      <c r="U66" s="148"/>
      <c r="V66" s="151"/>
      <c r="W66" s="148"/>
      <c r="X66" s="148"/>
      <c r="Y66" s="151"/>
      <c r="Z66" s="148"/>
      <c r="AA66" s="151"/>
      <c r="AB66" s="148"/>
      <c r="AC66" s="151"/>
      <c r="AD66" s="151"/>
      <c r="AE66" s="151"/>
      <c r="AF66" s="151"/>
      <c r="AG66" s="66">
        <f t="shared" si="3"/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4"/>
        <v>歐吉</v>
      </c>
      <c r="AJ66" s="73"/>
    </row>
    <row r="67" spans="1:36" ht="18" customHeight="1">
      <c r="A67" s="95" t="s">
        <v>58</v>
      </c>
      <c r="B67" s="96" t="s">
        <v>75</v>
      </c>
      <c r="C67" s="151"/>
      <c r="D67" s="150"/>
      <c r="E67" s="148"/>
      <c r="F67" s="151"/>
      <c r="G67" s="148"/>
      <c r="H67" s="151"/>
      <c r="I67" s="151"/>
      <c r="J67" s="148"/>
      <c r="K67" s="148"/>
      <c r="L67" s="148"/>
      <c r="M67" s="151"/>
      <c r="N67" s="148"/>
      <c r="O67" s="151"/>
      <c r="P67" s="148"/>
      <c r="Q67" s="148"/>
      <c r="R67" s="151"/>
      <c r="S67" s="148"/>
      <c r="T67" s="151"/>
      <c r="U67" s="148"/>
      <c r="V67" s="151"/>
      <c r="W67" s="148"/>
      <c r="X67" s="148"/>
      <c r="Y67" s="151"/>
      <c r="Z67" s="148"/>
      <c r="AA67" s="151"/>
      <c r="AB67" s="148"/>
      <c r="AC67" s="151"/>
      <c r="AD67" s="151"/>
      <c r="AE67" s="151"/>
      <c r="AF67" s="151"/>
      <c r="AG67" s="66">
        <f t="shared" si="3"/>
        <v>0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4"/>
        <v>叮噹</v>
      </c>
      <c r="AJ67" s="73"/>
    </row>
    <row r="68" spans="1:36" ht="18" customHeight="1">
      <c r="A68" s="95" t="s">
        <v>58</v>
      </c>
      <c r="B68" s="96" t="s">
        <v>76</v>
      </c>
      <c r="C68" s="151"/>
      <c r="D68" s="150"/>
      <c r="E68" s="148"/>
      <c r="F68" s="151"/>
      <c r="G68" s="148"/>
      <c r="H68" s="151"/>
      <c r="I68" s="151"/>
      <c r="J68" s="148"/>
      <c r="K68" s="148"/>
      <c r="L68" s="148"/>
      <c r="M68" s="151"/>
      <c r="N68" s="148"/>
      <c r="O68" s="151"/>
      <c r="P68" s="148"/>
      <c r="Q68" s="148"/>
      <c r="R68" s="151"/>
      <c r="S68" s="148"/>
      <c r="T68" s="151"/>
      <c r="U68" s="148"/>
      <c r="V68" s="151"/>
      <c r="W68" s="148"/>
      <c r="X68" s="148"/>
      <c r="Y68" s="151"/>
      <c r="Z68" s="148"/>
      <c r="AA68" s="151"/>
      <c r="AB68" s="148"/>
      <c r="AC68" s="151"/>
      <c r="AD68" s="151"/>
      <c r="AE68" s="151"/>
      <c r="AF68" s="151"/>
      <c r="AG68" s="66">
        <f t="shared" ref="AG68:AG99" si="5">COUNTA(C68:AF68)</f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88" si="6">B68</f>
        <v>肥肥</v>
      </c>
      <c r="AJ68" s="73"/>
    </row>
    <row r="69" spans="1:36" ht="18" customHeight="1">
      <c r="A69" s="95" t="s">
        <v>58</v>
      </c>
      <c r="B69" s="96" t="s">
        <v>77</v>
      </c>
      <c r="C69" s="151"/>
      <c r="D69" s="150"/>
      <c r="E69" s="148"/>
      <c r="F69" s="151"/>
      <c r="G69" s="148"/>
      <c r="H69" s="151"/>
      <c r="I69" s="151"/>
      <c r="J69" s="148"/>
      <c r="K69" s="148"/>
      <c r="L69" s="148"/>
      <c r="M69" s="151"/>
      <c r="N69" s="148"/>
      <c r="O69" s="151"/>
      <c r="P69" s="148"/>
      <c r="Q69" s="148"/>
      <c r="R69" s="151"/>
      <c r="S69" s="148"/>
      <c r="T69" s="151"/>
      <c r="U69" s="148"/>
      <c r="V69" s="151"/>
      <c r="W69" s="148"/>
      <c r="X69" s="148"/>
      <c r="Y69" s="151"/>
      <c r="Z69" s="148"/>
      <c r="AA69" s="151"/>
      <c r="AB69" s="148"/>
      <c r="AC69" s="151"/>
      <c r="AD69" s="151"/>
      <c r="AE69" s="151"/>
      <c r="AF69" s="151"/>
      <c r="AG69" s="66">
        <f t="shared" si="5"/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6"/>
        <v>小夫</v>
      </c>
      <c r="AJ69" s="73"/>
    </row>
    <row r="70" spans="1:36" ht="18" customHeight="1">
      <c r="A70" s="95" t="s">
        <v>58</v>
      </c>
      <c r="B70" s="96" t="s">
        <v>78</v>
      </c>
      <c r="C70" s="151"/>
      <c r="D70" s="150"/>
      <c r="E70" s="148"/>
      <c r="F70" s="151"/>
      <c r="G70" s="148"/>
      <c r="H70" s="151"/>
      <c r="I70" s="151"/>
      <c r="J70" s="148"/>
      <c r="K70" s="148"/>
      <c r="L70" s="148"/>
      <c r="M70" s="151"/>
      <c r="N70" s="148"/>
      <c r="O70" s="151"/>
      <c r="P70" s="148"/>
      <c r="Q70" s="148"/>
      <c r="R70" s="151"/>
      <c r="S70" s="148"/>
      <c r="T70" s="151"/>
      <c r="U70" s="148"/>
      <c r="V70" s="151"/>
      <c r="W70" s="148"/>
      <c r="X70" s="148"/>
      <c r="Y70" s="151"/>
      <c r="Z70" s="148"/>
      <c r="AA70" s="151"/>
      <c r="AB70" s="148"/>
      <c r="AC70" s="151"/>
      <c r="AD70" s="151"/>
      <c r="AE70" s="151"/>
      <c r="AF70" s="151"/>
      <c r="AG70" s="66">
        <f t="shared" si="5"/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6"/>
        <v>小邱</v>
      </c>
      <c r="AJ70" s="73"/>
    </row>
    <row r="71" spans="1:36" ht="18" customHeight="1">
      <c r="A71" s="95" t="s">
        <v>58</v>
      </c>
      <c r="B71" s="96" t="s">
        <v>79</v>
      </c>
      <c r="C71" s="151"/>
      <c r="D71" s="150"/>
      <c r="E71" s="148"/>
      <c r="F71" s="151"/>
      <c r="G71" s="148"/>
      <c r="H71" s="151"/>
      <c r="I71" s="151"/>
      <c r="J71" s="148"/>
      <c r="K71" s="148"/>
      <c r="L71" s="148"/>
      <c r="M71" s="151"/>
      <c r="N71" s="148"/>
      <c r="O71" s="151"/>
      <c r="P71" s="148"/>
      <c r="Q71" s="148"/>
      <c r="R71" s="151"/>
      <c r="S71" s="148"/>
      <c r="T71" s="151"/>
      <c r="U71" s="148"/>
      <c r="V71" s="151"/>
      <c r="W71" s="148"/>
      <c r="X71" s="148"/>
      <c r="Y71" s="151"/>
      <c r="Z71" s="148"/>
      <c r="AA71" s="151"/>
      <c r="AB71" s="148"/>
      <c r="AC71" s="151"/>
      <c r="AD71" s="151"/>
      <c r="AE71" s="151"/>
      <c r="AF71" s="151"/>
      <c r="AG71" s="66">
        <f t="shared" si="5"/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6"/>
        <v>淳淳</v>
      </c>
      <c r="AJ71" s="73"/>
    </row>
    <row r="72" spans="1:36" ht="18" customHeight="1">
      <c r="A72" s="95" t="s">
        <v>58</v>
      </c>
      <c r="B72" s="96" t="s">
        <v>80</v>
      </c>
      <c r="C72" s="151"/>
      <c r="D72" s="150"/>
      <c r="E72" s="148"/>
      <c r="F72" s="151"/>
      <c r="G72" s="148"/>
      <c r="H72" s="151"/>
      <c r="I72" s="151"/>
      <c r="J72" s="148"/>
      <c r="K72" s="148"/>
      <c r="L72" s="148"/>
      <c r="M72" s="151"/>
      <c r="N72" s="148"/>
      <c r="O72" s="151"/>
      <c r="P72" s="148"/>
      <c r="Q72" s="148"/>
      <c r="R72" s="151"/>
      <c r="S72" s="148"/>
      <c r="T72" s="151"/>
      <c r="U72" s="148"/>
      <c r="V72" s="151"/>
      <c r="W72" s="148"/>
      <c r="X72" s="148"/>
      <c r="Y72" s="151"/>
      <c r="Z72" s="148"/>
      <c r="AA72" s="151"/>
      <c r="AB72" s="148"/>
      <c r="AC72" s="151"/>
      <c r="AD72" s="151"/>
      <c r="AE72" s="151"/>
      <c r="AF72" s="151"/>
      <c r="AG72" s="66">
        <f t="shared" si="5"/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6"/>
        <v>禿鷹</v>
      </c>
      <c r="AJ72" s="73"/>
    </row>
    <row r="73" spans="1:36" ht="18" customHeight="1">
      <c r="A73" s="95" t="s">
        <v>58</v>
      </c>
      <c r="B73" s="96" t="s">
        <v>81</v>
      </c>
      <c r="C73" s="151"/>
      <c r="D73" s="150"/>
      <c r="E73" s="148"/>
      <c r="F73" s="151"/>
      <c r="G73" s="148"/>
      <c r="H73" s="151"/>
      <c r="I73" s="151"/>
      <c r="J73" s="148"/>
      <c r="K73" s="148"/>
      <c r="L73" s="148"/>
      <c r="M73" s="151"/>
      <c r="N73" s="148"/>
      <c r="O73" s="151"/>
      <c r="P73" s="148"/>
      <c r="Q73" s="148"/>
      <c r="R73" s="151"/>
      <c r="S73" s="148"/>
      <c r="T73" s="151"/>
      <c r="U73" s="148"/>
      <c r="V73" s="151"/>
      <c r="W73" s="148"/>
      <c r="X73" s="148"/>
      <c r="Y73" s="151"/>
      <c r="Z73" s="148"/>
      <c r="AA73" s="151"/>
      <c r="AB73" s="148"/>
      <c r="AC73" s="151"/>
      <c r="AD73" s="151"/>
      <c r="AE73" s="151"/>
      <c r="AF73" s="151"/>
      <c r="AG73" s="66">
        <f t="shared" si="5"/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6"/>
        <v>王宏</v>
      </c>
      <c r="AJ73" s="73"/>
    </row>
    <row r="74" spans="1:36" ht="18" customHeight="1">
      <c r="A74" s="95" t="s">
        <v>58</v>
      </c>
      <c r="B74" s="96" t="s">
        <v>82</v>
      </c>
      <c r="C74" s="151"/>
      <c r="D74" s="150"/>
      <c r="E74" s="148"/>
      <c r="F74" s="151"/>
      <c r="G74" s="148"/>
      <c r="H74" s="151"/>
      <c r="I74" s="151"/>
      <c r="J74" s="148"/>
      <c r="K74" s="148"/>
      <c r="L74" s="148"/>
      <c r="M74" s="151"/>
      <c r="N74" s="148"/>
      <c r="O74" s="151"/>
      <c r="P74" s="148"/>
      <c r="Q74" s="148"/>
      <c r="R74" s="151"/>
      <c r="S74" s="148"/>
      <c r="T74" s="151"/>
      <c r="U74" s="148"/>
      <c r="V74" s="151"/>
      <c r="W74" s="148"/>
      <c r="X74" s="148"/>
      <c r="Y74" s="151"/>
      <c r="Z74" s="148"/>
      <c r="AA74" s="151"/>
      <c r="AB74" s="148"/>
      <c r="AC74" s="151"/>
      <c r="AD74" s="151"/>
      <c r="AE74" s="151"/>
      <c r="AF74" s="151"/>
      <c r="AG74" s="66">
        <f t="shared" si="5"/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6"/>
        <v>犀牛</v>
      </c>
      <c r="AJ74" s="73"/>
    </row>
    <row r="75" spans="1:36" ht="18" customHeight="1">
      <c r="A75" s="95" t="s">
        <v>58</v>
      </c>
      <c r="B75" s="96" t="s">
        <v>83</v>
      </c>
      <c r="C75" s="151"/>
      <c r="D75" s="150"/>
      <c r="E75" s="148"/>
      <c r="F75" s="151"/>
      <c r="G75" s="148"/>
      <c r="H75" s="151"/>
      <c r="I75" s="151"/>
      <c r="J75" s="148"/>
      <c r="K75" s="148"/>
      <c r="L75" s="148"/>
      <c r="M75" s="151"/>
      <c r="N75" s="148"/>
      <c r="O75" s="151"/>
      <c r="P75" s="148"/>
      <c r="Q75" s="148"/>
      <c r="R75" s="151"/>
      <c r="S75" s="148"/>
      <c r="T75" s="151"/>
      <c r="U75" s="148"/>
      <c r="V75" s="151"/>
      <c r="W75" s="148"/>
      <c r="X75" s="148"/>
      <c r="Y75" s="151"/>
      <c r="Z75" s="148"/>
      <c r="AA75" s="151"/>
      <c r="AB75" s="148"/>
      <c r="AC75" s="151"/>
      <c r="AD75" s="151"/>
      <c r="AE75" s="151"/>
      <c r="AF75" s="151"/>
      <c r="AG75" s="66">
        <f t="shared" si="5"/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6"/>
        <v>來福</v>
      </c>
      <c r="AJ75" s="73"/>
    </row>
    <row r="76" spans="1:36" ht="18" customHeight="1">
      <c r="A76" s="95" t="s">
        <v>58</v>
      </c>
      <c r="B76" s="96" t="s">
        <v>84</v>
      </c>
      <c r="C76" s="151"/>
      <c r="D76" s="150"/>
      <c r="E76" s="148"/>
      <c r="F76" s="151"/>
      <c r="G76" s="148"/>
      <c r="H76" s="151"/>
      <c r="I76" s="151"/>
      <c r="J76" s="148"/>
      <c r="K76" s="148"/>
      <c r="L76" s="148"/>
      <c r="M76" s="151"/>
      <c r="N76" s="148"/>
      <c r="O76" s="151"/>
      <c r="P76" s="148"/>
      <c r="Q76" s="148"/>
      <c r="R76" s="151"/>
      <c r="S76" s="148"/>
      <c r="T76" s="151"/>
      <c r="U76" s="148"/>
      <c r="V76" s="151"/>
      <c r="W76" s="148"/>
      <c r="X76" s="148"/>
      <c r="Y76" s="151"/>
      <c r="Z76" s="148"/>
      <c r="AA76" s="151"/>
      <c r="AB76" s="148"/>
      <c r="AC76" s="151"/>
      <c r="AD76" s="151"/>
      <c r="AE76" s="151"/>
      <c r="AF76" s="151"/>
      <c r="AG76" s="66">
        <f t="shared" si="5"/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6"/>
        <v>誌誌</v>
      </c>
      <c r="AJ76" s="73"/>
    </row>
    <row r="77" spans="1:36" ht="18" customHeight="1">
      <c r="A77" s="95" t="s">
        <v>58</v>
      </c>
      <c r="B77" s="96" t="s">
        <v>86</v>
      </c>
      <c r="C77" s="151"/>
      <c r="D77" s="150"/>
      <c r="E77" s="148"/>
      <c r="F77" s="151"/>
      <c r="G77" s="148"/>
      <c r="H77" s="151"/>
      <c r="I77" s="151"/>
      <c r="J77" s="148"/>
      <c r="K77" s="148"/>
      <c r="L77" s="148"/>
      <c r="M77" s="151"/>
      <c r="N77" s="148"/>
      <c r="O77" s="151"/>
      <c r="P77" s="148"/>
      <c r="Q77" s="148"/>
      <c r="R77" s="151"/>
      <c r="S77" s="148"/>
      <c r="T77" s="151"/>
      <c r="U77" s="148"/>
      <c r="V77" s="151"/>
      <c r="W77" s="148"/>
      <c r="X77" s="148"/>
      <c r="Y77" s="151"/>
      <c r="Z77" s="148"/>
      <c r="AA77" s="151"/>
      <c r="AB77" s="148"/>
      <c r="AC77" s="151"/>
      <c r="AD77" s="151"/>
      <c r="AE77" s="151"/>
      <c r="AF77" s="151"/>
      <c r="AG77" s="66">
        <f t="shared" si="5"/>
        <v>0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6"/>
        <v>正誼</v>
      </c>
      <c r="AJ77" s="73"/>
    </row>
    <row r="78" spans="1:36" ht="18" customHeight="1">
      <c r="A78" s="95" t="s">
        <v>58</v>
      </c>
      <c r="B78" s="96" t="s">
        <v>32</v>
      </c>
      <c r="C78" s="151"/>
      <c r="D78" s="150">
        <v>1</v>
      </c>
      <c r="E78" s="148"/>
      <c r="F78" s="151">
        <v>1</v>
      </c>
      <c r="G78" s="148"/>
      <c r="H78" s="151"/>
      <c r="I78" s="151">
        <v>1</v>
      </c>
      <c r="J78" s="148"/>
      <c r="K78" s="148"/>
      <c r="L78" s="148"/>
      <c r="M78" s="151">
        <v>1</v>
      </c>
      <c r="N78" s="148"/>
      <c r="O78" s="151"/>
      <c r="P78" s="148"/>
      <c r="Q78" s="148"/>
      <c r="R78" s="151">
        <v>1</v>
      </c>
      <c r="S78" s="148"/>
      <c r="T78" s="151"/>
      <c r="U78" s="148"/>
      <c r="V78" s="151"/>
      <c r="W78" s="148"/>
      <c r="X78" s="148"/>
      <c r="Y78" s="151"/>
      <c r="Z78" s="148"/>
      <c r="AA78" s="151"/>
      <c r="AB78" s="148"/>
      <c r="AC78" s="151"/>
      <c r="AD78" s="151"/>
      <c r="AE78" s="151"/>
      <c r="AF78" s="151"/>
      <c r="AG78" s="66">
        <f t="shared" si="5"/>
        <v>5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6"/>
        <v>小翔</v>
      </c>
      <c r="AJ78" s="73"/>
    </row>
    <row r="79" spans="1:36" ht="18" customHeight="1">
      <c r="A79" s="95" t="s">
        <v>58</v>
      </c>
      <c r="B79" s="96" t="s">
        <v>179</v>
      </c>
      <c r="C79" s="151"/>
      <c r="D79" s="150"/>
      <c r="E79" s="148"/>
      <c r="F79" s="151"/>
      <c r="G79" s="148"/>
      <c r="H79" s="151"/>
      <c r="I79" s="151"/>
      <c r="J79" s="148"/>
      <c r="K79" s="148"/>
      <c r="L79" s="148"/>
      <c r="M79" s="151"/>
      <c r="N79" s="148"/>
      <c r="O79" s="151"/>
      <c r="P79" s="148"/>
      <c r="Q79" s="148"/>
      <c r="R79" s="151"/>
      <c r="S79" s="148"/>
      <c r="T79" s="151"/>
      <c r="U79" s="148"/>
      <c r="V79" s="151"/>
      <c r="W79" s="148"/>
      <c r="X79" s="148"/>
      <c r="Y79" s="151"/>
      <c r="Z79" s="148"/>
      <c r="AA79" s="151"/>
      <c r="AB79" s="148"/>
      <c r="AC79" s="151"/>
      <c r="AD79" s="151"/>
      <c r="AE79" s="151"/>
      <c r="AF79" s="151"/>
      <c r="AG79" s="66">
        <f t="shared" si="5"/>
        <v>0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6"/>
        <v>玹玹</v>
      </c>
      <c r="AJ79" s="73"/>
    </row>
    <row r="80" spans="1:36" ht="18" customHeight="1">
      <c r="A80" s="95" t="s">
        <v>58</v>
      </c>
      <c r="B80" s="96" t="s">
        <v>85</v>
      </c>
      <c r="C80" s="151"/>
      <c r="D80" s="150"/>
      <c r="E80" s="148"/>
      <c r="F80" s="151"/>
      <c r="G80" s="148"/>
      <c r="H80" s="151"/>
      <c r="I80" s="151"/>
      <c r="J80" s="148"/>
      <c r="K80" s="148"/>
      <c r="L80" s="148"/>
      <c r="M80" s="151"/>
      <c r="N80" s="148"/>
      <c r="O80" s="151"/>
      <c r="P80" s="148"/>
      <c r="Q80" s="148"/>
      <c r="R80" s="151"/>
      <c r="S80" s="148"/>
      <c r="T80" s="151"/>
      <c r="U80" s="148"/>
      <c r="V80" s="151"/>
      <c r="W80" s="148"/>
      <c r="X80" s="148"/>
      <c r="Y80" s="151"/>
      <c r="Z80" s="148"/>
      <c r="AA80" s="151"/>
      <c r="AB80" s="148"/>
      <c r="AC80" s="151"/>
      <c r="AD80" s="151"/>
      <c r="AE80" s="151"/>
      <c r="AF80" s="151"/>
      <c r="AG80" s="66">
        <f t="shared" si="5"/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6"/>
        <v>阿璽</v>
      </c>
      <c r="AJ80" s="73"/>
    </row>
    <row r="81" spans="1:36" ht="18" customHeight="1">
      <c r="A81" s="95" t="s">
        <v>58</v>
      </c>
      <c r="B81" s="96" t="s">
        <v>33</v>
      </c>
      <c r="C81" s="151"/>
      <c r="D81" s="150"/>
      <c r="E81" s="148"/>
      <c r="F81" s="151"/>
      <c r="G81" s="148"/>
      <c r="H81" s="151"/>
      <c r="I81" s="151"/>
      <c r="J81" s="148"/>
      <c r="K81" s="148"/>
      <c r="L81" s="148"/>
      <c r="M81" s="151"/>
      <c r="N81" s="148"/>
      <c r="O81" s="151"/>
      <c r="P81" s="148"/>
      <c r="Q81" s="148"/>
      <c r="R81" s="151"/>
      <c r="S81" s="148"/>
      <c r="T81" s="151"/>
      <c r="U81" s="148"/>
      <c r="V81" s="151"/>
      <c r="W81" s="148"/>
      <c r="X81" s="148"/>
      <c r="Y81" s="151"/>
      <c r="Z81" s="148"/>
      <c r="AA81" s="151"/>
      <c r="AB81" s="148"/>
      <c r="AC81" s="151"/>
      <c r="AD81" s="151"/>
      <c r="AE81" s="151"/>
      <c r="AF81" s="151"/>
      <c r="AG81" s="66">
        <f t="shared" si="5"/>
        <v>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6"/>
        <v>一飛</v>
      </c>
      <c r="AJ81" s="73"/>
    </row>
    <row r="82" spans="1:36" ht="18" customHeight="1">
      <c r="A82" s="95" t="s">
        <v>58</v>
      </c>
      <c r="B82" s="96" t="s">
        <v>34</v>
      </c>
      <c r="C82" s="151"/>
      <c r="D82" s="150"/>
      <c r="E82" s="148"/>
      <c r="F82" s="151"/>
      <c r="G82" s="148"/>
      <c r="H82" s="151"/>
      <c r="I82" s="151"/>
      <c r="J82" s="148"/>
      <c r="K82" s="148"/>
      <c r="L82" s="148"/>
      <c r="M82" s="151"/>
      <c r="N82" s="148"/>
      <c r="O82" s="151"/>
      <c r="P82" s="148"/>
      <c r="Q82" s="148"/>
      <c r="R82" s="151"/>
      <c r="S82" s="148"/>
      <c r="T82" s="151"/>
      <c r="U82" s="148"/>
      <c r="V82" s="151"/>
      <c r="W82" s="148"/>
      <c r="X82" s="148"/>
      <c r="Y82" s="151"/>
      <c r="Z82" s="148"/>
      <c r="AA82" s="151"/>
      <c r="AB82" s="148"/>
      <c r="AC82" s="151"/>
      <c r="AD82" s="151"/>
      <c r="AE82" s="151"/>
      <c r="AF82" s="151"/>
      <c r="AG82" s="66">
        <f t="shared" si="5"/>
        <v>0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6"/>
        <v>雲翔</v>
      </c>
      <c r="AJ82" s="70"/>
    </row>
    <row r="83" spans="1:36" ht="18" customHeight="1">
      <c r="A83" s="95" t="s">
        <v>58</v>
      </c>
      <c r="B83" s="96" t="s">
        <v>88</v>
      </c>
      <c r="C83" s="151"/>
      <c r="D83" s="150"/>
      <c r="E83" s="148"/>
      <c r="F83" s="151"/>
      <c r="G83" s="148"/>
      <c r="H83" s="151"/>
      <c r="I83" s="151"/>
      <c r="J83" s="148"/>
      <c r="K83" s="148"/>
      <c r="L83" s="148"/>
      <c r="M83" s="151"/>
      <c r="N83" s="148"/>
      <c r="O83" s="151"/>
      <c r="P83" s="148"/>
      <c r="Q83" s="148"/>
      <c r="R83" s="151"/>
      <c r="S83" s="148"/>
      <c r="T83" s="151"/>
      <c r="U83" s="148"/>
      <c r="V83" s="151"/>
      <c r="W83" s="148"/>
      <c r="X83" s="148"/>
      <c r="Y83" s="151"/>
      <c r="Z83" s="148"/>
      <c r="AA83" s="151"/>
      <c r="AB83" s="148"/>
      <c r="AC83" s="151"/>
      <c r="AD83" s="151"/>
      <c r="AE83" s="151"/>
      <c r="AF83" s="151"/>
      <c r="AG83" s="66">
        <f t="shared" si="5"/>
        <v>0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6"/>
        <v>皓皓</v>
      </c>
      <c r="AJ83" s="70"/>
    </row>
    <row r="84" spans="1:36" ht="18" customHeight="1">
      <c r="A84" s="95" t="s">
        <v>58</v>
      </c>
      <c r="B84" s="96" t="s">
        <v>35</v>
      </c>
      <c r="C84" s="151"/>
      <c r="D84" s="150"/>
      <c r="E84" s="148"/>
      <c r="F84" s="151"/>
      <c r="G84" s="148"/>
      <c r="H84" s="151"/>
      <c r="I84" s="151"/>
      <c r="J84" s="148"/>
      <c r="K84" s="148"/>
      <c r="L84" s="148"/>
      <c r="M84" s="151"/>
      <c r="N84" s="148"/>
      <c r="O84" s="151"/>
      <c r="P84" s="148"/>
      <c r="Q84" s="148"/>
      <c r="R84" s="151"/>
      <c r="S84" s="148"/>
      <c r="T84" s="151"/>
      <c r="U84" s="148"/>
      <c r="V84" s="151"/>
      <c r="W84" s="148"/>
      <c r="X84" s="148"/>
      <c r="Y84" s="151"/>
      <c r="Z84" s="148"/>
      <c r="AA84" s="151"/>
      <c r="AB84" s="148"/>
      <c r="AC84" s="151"/>
      <c r="AD84" s="151"/>
      <c r="AE84" s="151"/>
      <c r="AF84" s="151"/>
      <c r="AG84" s="66">
        <f t="shared" si="5"/>
        <v>0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6"/>
        <v>阿戴</v>
      </c>
      <c r="AJ84" s="70"/>
    </row>
    <row r="85" spans="1:36" ht="18" customHeight="1">
      <c r="A85" s="95" t="s">
        <v>58</v>
      </c>
      <c r="B85" s="96" t="s">
        <v>36</v>
      </c>
      <c r="C85" s="151"/>
      <c r="D85" s="150"/>
      <c r="E85" s="148"/>
      <c r="F85" s="151"/>
      <c r="G85" s="148"/>
      <c r="H85" s="151"/>
      <c r="I85" s="151"/>
      <c r="J85" s="148"/>
      <c r="K85" s="148"/>
      <c r="L85" s="148"/>
      <c r="M85" s="151"/>
      <c r="N85" s="148"/>
      <c r="O85" s="151"/>
      <c r="P85" s="148"/>
      <c r="Q85" s="148"/>
      <c r="R85" s="151"/>
      <c r="S85" s="148"/>
      <c r="T85" s="151"/>
      <c r="U85" s="148"/>
      <c r="V85" s="151"/>
      <c r="W85" s="148"/>
      <c r="X85" s="148"/>
      <c r="Y85" s="151"/>
      <c r="Z85" s="148"/>
      <c r="AA85" s="151"/>
      <c r="AB85" s="148"/>
      <c r="AC85" s="151"/>
      <c r="AD85" s="151"/>
      <c r="AE85" s="151"/>
      <c r="AF85" s="151"/>
      <c r="AG85" s="66">
        <f t="shared" si="5"/>
        <v>0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6"/>
        <v>子澔</v>
      </c>
      <c r="AJ85" s="70"/>
    </row>
    <row r="86" spans="1:36" ht="18" customHeight="1">
      <c r="A86" s="95" t="s">
        <v>58</v>
      </c>
      <c r="B86" s="96" t="s">
        <v>37</v>
      </c>
      <c r="C86" s="151"/>
      <c r="D86" s="150"/>
      <c r="E86" s="148"/>
      <c r="F86" s="151">
        <v>1</v>
      </c>
      <c r="G86" s="148"/>
      <c r="H86" s="151"/>
      <c r="I86" s="151"/>
      <c r="J86" s="148"/>
      <c r="K86" s="148"/>
      <c r="L86" s="148"/>
      <c r="M86" s="151">
        <v>1</v>
      </c>
      <c r="N86" s="148"/>
      <c r="O86" s="151"/>
      <c r="P86" s="148"/>
      <c r="Q86" s="148"/>
      <c r="R86" s="151"/>
      <c r="S86" s="148"/>
      <c r="T86" s="151">
        <v>1</v>
      </c>
      <c r="U86" s="148"/>
      <c r="V86" s="151"/>
      <c r="W86" s="148"/>
      <c r="X86" s="148"/>
      <c r="Y86" s="151">
        <v>1</v>
      </c>
      <c r="Z86" s="148"/>
      <c r="AA86" s="151">
        <v>1</v>
      </c>
      <c r="AB86" s="148"/>
      <c r="AC86" s="151"/>
      <c r="AD86" s="151"/>
      <c r="AE86" s="151"/>
      <c r="AF86" s="151"/>
      <c r="AG86" s="66">
        <f t="shared" si="5"/>
        <v>5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6"/>
        <v>魚仔</v>
      </c>
      <c r="AJ86" s="70"/>
    </row>
    <row r="87" spans="1:36" ht="18" customHeight="1">
      <c r="A87" s="95" t="s">
        <v>58</v>
      </c>
      <c r="B87" s="96" t="s">
        <v>87</v>
      </c>
      <c r="C87" s="151"/>
      <c r="D87" s="150">
        <v>1</v>
      </c>
      <c r="E87" s="148"/>
      <c r="F87" s="151"/>
      <c r="G87" s="148"/>
      <c r="H87" s="151"/>
      <c r="I87" s="151">
        <v>1</v>
      </c>
      <c r="J87" s="148"/>
      <c r="K87" s="148"/>
      <c r="L87" s="148"/>
      <c r="M87" s="151">
        <v>1</v>
      </c>
      <c r="N87" s="148"/>
      <c r="O87" s="151"/>
      <c r="P87" s="148"/>
      <c r="Q87" s="148"/>
      <c r="R87" s="151">
        <v>1</v>
      </c>
      <c r="S87" s="148"/>
      <c r="T87" s="151">
        <v>1</v>
      </c>
      <c r="U87" s="148"/>
      <c r="V87" s="151"/>
      <c r="W87" s="148"/>
      <c r="X87" s="148"/>
      <c r="Y87" s="151"/>
      <c r="Z87" s="148"/>
      <c r="AA87" s="151"/>
      <c r="AB87" s="148"/>
      <c r="AC87" s="151"/>
      <c r="AD87" s="151"/>
      <c r="AE87" s="151"/>
      <c r="AF87" s="151"/>
      <c r="AG87" s="66">
        <f t="shared" si="5"/>
        <v>5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6"/>
        <v>Mango</v>
      </c>
      <c r="AJ87" s="70"/>
    </row>
    <row r="88" spans="1:36" ht="18" customHeight="1">
      <c r="A88" s="95" t="s">
        <v>58</v>
      </c>
      <c r="B88" s="96" t="s">
        <v>38</v>
      </c>
      <c r="C88" s="151">
        <v>1</v>
      </c>
      <c r="D88" s="150"/>
      <c r="E88" s="148"/>
      <c r="F88" s="151">
        <v>1</v>
      </c>
      <c r="G88" s="148"/>
      <c r="H88" s="151">
        <v>1</v>
      </c>
      <c r="I88" s="151">
        <v>1</v>
      </c>
      <c r="J88" s="148"/>
      <c r="K88" s="148"/>
      <c r="L88" s="148"/>
      <c r="M88" s="151">
        <v>1</v>
      </c>
      <c r="N88" s="148"/>
      <c r="O88" s="151">
        <v>1</v>
      </c>
      <c r="P88" s="148"/>
      <c r="Q88" s="148"/>
      <c r="R88" s="151"/>
      <c r="S88" s="148"/>
      <c r="T88" s="151">
        <v>1</v>
      </c>
      <c r="U88" s="148"/>
      <c r="V88" s="151">
        <v>1</v>
      </c>
      <c r="W88" s="148"/>
      <c r="X88" s="148"/>
      <c r="Y88" s="151"/>
      <c r="Z88" s="148"/>
      <c r="AA88" s="151"/>
      <c r="AB88" s="148"/>
      <c r="AC88" s="151"/>
      <c r="AD88" s="151"/>
      <c r="AE88" s="151"/>
      <c r="AF88" s="151"/>
      <c r="AG88" s="66">
        <f t="shared" si="5"/>
        <v>8</v>
      </c>
      <c r="AH88" s="6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69" t="str">
        <f t="shared" si="6"/>
        <v>阿龍</v>
      </c>
      <c r="AJ88" s="70"/>
    </row>
    <row r="89" spans="1:36" ht="18" customHeight="1">
      <c r="A89" s="95" t="s">
        <v>58</v>
      </c>
      <c r="B89" s="96" t="s">
        <v>40</v>
      </c>
      <c r="C89" s="151">
        <v>1</v>
      </c>
      <c r="D89" s="150"/>
      <c r="E89" s="148"/>
      <c r="F89" s="151">
        <v>1</v>
      </c>
      <c r="G89" s="148"/>
      <c r="H89" s="151"/>
      <c r="I89" s="151">
        <v>1</v>
      </c>
      <c r="J89" s="148"/>
      <c r="K89" s="148"/>
      <c r="L89" s="148"/>
      <c r="M89" s="151">
        <v>1</v>
      </c>
      <c r="N89" s="148"/>
      <c r="O89" s="151"/>
      <c r="P89" s="148"/>
      <c r="Q89" s="148"/>
      <c r="R89" s="151"/>
      <c r="S89" s="148"/>
      <c r="T89" s="151">
        <v>1</v>
      </c>
      <c r="U89" s="148"/>
      <c r="V89" s="151"/>
      <c r="W89" s="148"/>
      <c r="X89" s="148"/>
      <c r="Y89" s="151">
        <v>1</v>
      </c>
      <c r="Z89" s="148"/>
      <c r="AA89" s="151"/>
      <c r="AB89" s="148"/>
      <c r="AC89" s="151"/>
      <c r="AD89" s="151"/>
      <c r="AE89" s="151"/>
      <c r="AF89" s="151"/>
      <c r="AG89" s="66">
        <f t="shared" si="5"/>
        <v>6</v>
      </c>
      <c r="AH89" s="6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69" t="s">
        <v>220</v>
      </c>
      <c r="AJ89" s="70"/>
    </row>
    <row r="90" spans="1:36" ht="18" customHeight="1">
      <c r="A90" s="95" t="s">
        <v>58</v>
      </c>
      <c r="B90" s="96" t="s">
        <v>222</v>
      </c>
      <c r="C90" s="151"/>
      <c r="D90" s="150">
        <v>1</v>
      </c>
      <c r="E90" s="148"/>
      <c r="F90" s="151">
        <v>1</v>
      </c>
      <c r="G90" s="148"/>
      <c r="H90" s="151"/>
      <c r="I90" s="151">
        <v>1</v>
      </c>
      <c r="J90" s="148"/>
      <c r="K90" s="148"/>
      <c r="L90" s="148"/>
      <c r="M90" s="151">
        <v>1</v>
      </c>
      <c r="N90" s="148"/>
      <c r="O90" s="151"/>
      <c r="P90" s="148"/>
      <c r="Q90" s="148"/>
      <c r="R90" s="151"/>
      <c r="S90" s="148"/>
      <c r="T90" s="151">
        <v>1</v>
      </c>
      <c r="U90" s="148"/>
      <c r="V90" s="151"/>
      <c r="W90" s="148"/>
      <c r="X90" s="148"/>
      <c r="Y90" s="151"/>
      <c r="Z90" s="148"/>
      <c r="AA90" s="151"/>
      <c r="AB90" s="148"/>
      <c r="AC90" s="151"/>
      <c r="AD90" s="151"/>
      <c r="AE90" s="151"/>
      <c r="AF90" s="151"/>
      <c r="AG90" s="66">
        <f t="shared" si="5"/>
        <v>5</v>
      </c>
      <c r="AH90" s="6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69" t="s">
        <v>221</v>
      </c>
      <c r="AJ90" s="70"/>
    </row>
    <row r="91" spans="1:36" ht="18" customHeight="1">
      <c r="A91" s="95" t="s">
        <v>58</v>
      </c>
      <c r="B91" s="96" t="s">
        <v>45</v>
      </c>
      <c r="C91" s="151"/>
      <c r="D91" s="150">
        <v>1</v>
      </c>
      <c r="E91" s="148"/>
      <c r="F91" s="151">
        <v>1</v>
      </c>
      <c r="G91" s="148"/>
      <c r="H91" s="151"/>
      <c r="I91" s="151">
        <v>1</v>
      </c>
      <c r="J91" s="148"/>
      <c r="K91" s="148"/>
      <c r="L91" s="148"/>
      <c r="M91" s="151">
        <v>1</v>
      </c>
      <c r="N91" s="148"/>
      <c r="O91" s="151"/>
      <c r="P91" s="148"/>
      <c r="Q91" s="148"/>
      <c r="R91" s="151"/>
      <c r="S91" s="148"/>
      <c r="T91" s="151">
        <v>1</v>
      </c>
      <c r="U91" s="148"/>
      <c r="V91" s="151"/>
      <c r="W91" s="148"/>
      <c r="X91" s="148"/>
      <c r="Y91" s="151"/>
      <c r="Z91" s="148"/>
      <c r="AA91" s="151"/>
      <c r="AB91" s="148"/>
      <c r="AC91" s="151"/>
      <c r="AD91" s="151"/>
      <c r="AE91" s="151"/>
      <c r="AF91" s="151"/>
      <c r="AG91" s="66">
        <f t="shared" si="5"/>
        <v>5</v>
      </c>
      <c r="AH91" s="68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69" t="s">
        <v>45</v>
      </c>
      <c r="AJ91" s="70"/>
    </row>
    <row r="92" spans="1:36" ht="18" customHeight="1">
      <c r="A92" s="99" t="s">
        <v>58</v>
      </c>
      <c r="B92" s="100" t="s">
        <v>151</v>
      </c>
      <c r="C92" s="99">
        <v>1</v>
      </c>
      <c r="D92" s="132"/>
      <c r="E92" s="148"/>
      <c r="F92" s="99">
        <v>1</v>
      </c>
      <c r="G92" s="148"/>
      <c r="H92" s="99">
        <v>1</v>
      </c>
      <c r="I92" s="99">
        <v>1</v>
      </c>
      <c r="J92" s="148"/>
      <c r="K92" s="148"/>
      <c r="L92" s="148"/>
      <c r="M92" s="99">
        <v>1</v>
      </c>
      <c r="N92" s="148"/>
      <c r="O92" s="99">
        <v>1</v>
      </c>
      <c r="P92" s="148"/>
      <c r="Q92" s="148"/>
      <c r="R92" s="99">
        <v>1</v>
      </c>
      <c r="S92" s="148"/>
      <c r="T92" s="99">
        <v>1</v>
      </c>
      <c r="U92" s="148"/>
      <c r="V92" s="99">
        <v>1</v>
      </c>
      <c r="W92" s="148"/>
      <c r="X92" s="148"/>
      <c r="Y92" s="99">
        <v>1</v>
      </c>
      <c r="Z92" s="148"/>
      <c r="AA92" s="99">
        <v>1</v>
      </c>
      <c r="AB92" s="148"/>
      <c r="AC92" s="99">
        <v>1</v>
      </c>
      <c r="AD92" s="99"/>
      <c r="AE92" s="99"/>
      <c r="AF92" s="99"/>
      <c r="AG92" s="66">
        <f t="shared" si="5"/>
        <v>12</v>
      </c>
      <c r="AH92" s="98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79" t="str">
        <f t="shared" ref="AI92:AI136" si="7">B92</f>
        <v>宇嬅</v>
      </c>
      <c r="AJ92" s="82"/>
    </row>
    <row r="93" spans="1:36" ht="18" customHeight="1">
      <c r="A93" s="99" t="s">
        <v>58</v>
      </c>
      <c r="B93" s="100" t="s">
        <v>152</v>
      </c>
      <c r="C93" s="99"/>
      <c r="D93" s="132"/>
      <c r="E93" s="148"/>
      <c r="F93" s="99"/>
      <c r="G93" s="148"/>
      <c r="H93" s="99"/>
      <c r="I93" s="99"/>
      <c r="J93" s="148"/>
      <c r="K93" s="148"/>
      <c r="L93" s="148"/>
      <c r="M93" s="99"/>
      <c r="N93" s="148"/>
      <c r="O93" s="99"/>
      <c r="P93" s="148"/>
      <c r="Q93" s="148"/>
      <c r="R93" s="99"/>
      <c r="S93" s="148"/>
      <c r="T93" s="99"/>
      <c r="U93" s="148"/>
      <c r="V93" s="99"/>
      <c r="W93" s="148"/>
      <c r="X93" s="148"/>
      <c r="Y93" s="99"/>
      <c r="Z93" s="148"/>
      <c r="AA93" s="99"/>
      <c r="AB93" s="148"/>
      <c r="AC93" s="99"/>
      <c r="AD93" s="99"/>
      <c r="AE93" s="99"/>
      <c r="AF93" s="99"/>
      <c r="AG93" s="66">
        <f t="shared" si="5"/>
        <v>0</v>
      </c>
      <c r="AH93" s="9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79" t="str">
        <f t="shared" si="7"/>
        <v>阿俗</v>
      </c>
      <c r="AJ93" s="81"/>
    </row>
    <row r="94" spans="1:36" ht="18" customHeight="1">
      <c r="A94" s="99" t="s">
        <v>58</v>
      </c>
      <c r="B94" s="100" t="s">
        <v>153</v>
      </c>
      <c r="C94" s="99"/>
      <c r="D94" s="132"/>
      <c r="E94" s="148"/>
      <c r="F94" s="99"/>
      <c r="G94" s="148"/>
      <c r="H94" s="99"/>
      <c r="I94" s="99"/>
      <c r="J94" s="148"/>
      <c r="K94" s="148"/>
      <c r="L94" s="148"/>
      <c r="M94" s="99"/>
      <c r="N94" s="148"/>
      <c r="O94" s="99"/>
      <c r="P94" s="148"/>
      <c r="Q94" s="148"/>
      <c r="R94" s="99"/>
      <c r="S94" s="148"/>
      <c r="T94" s="99"/>
      <c r="U94" s="148"/>
      <c r="V94" s="99"/>
      <c r="W94" s="148"/>
      <c r="X94" s="148"/>
      <c r="Y94" s="99"/>
      <c r="Z94" s="148"/>
      <c r="AA94" s="99"/>
      <c r="AB94" s="148"/>
      <c r="AC94" s="99"/>
      <c r="AD94" s="99"/>
      <c r="AE94" s="99"/>
      <c r="AF94" s="99"/>
      <c r="AG94" s="66">
        <f t="shared" si="5"/>
        <v>0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si="7"/>
        <v>傻妹</v>
      </c>
      <c r="AJ94" s="81"/>
    </row>
    <row r="95" spans="1:36" ht="18" customHeight="1">
      <c r="A95" s="99" t="s">
        <v>58</v>
      </c>
      <c r="B95" s="100" t="s">
        <v>96</v>
      </c>
      <c r="C95" s="99">
        <v>1</v>
      </c>
      <c r="D95" s="132">
        <v>1</v>
      </c>
      <c r="E95" s="148"/>
      <c r="F95" s="99">
        <v>1</v>
      </c>
      <c r="G95" s="148"/>
      <c r="H95" s="99">
        <v>1</v>
      </c>
      <c r="I95" s="99">
        <v>1</v>
      </c>
      <c r="J95" s="148"/>
      <c r="K95" s="148"/>
      <c r="L95" s="148"/>
      <c r="M95" s="99">
        <v>1</v>
      </c>
      <c r="N95" s="148"/>
      <c r="O95" s="99">
        <v>1</v>
      </c>
      <c r="P95" s="148"/>
      <c r="Q95" s="148"/>
      <c r="R95" s="99">
        <v>1</v>
      </c>
      <c r="S95" s="148"/>
      <c r="T95" s="99">
        <v>1</v>
      </c>
      <c r="U95" s="148"/>
      <c r="V95" s="99">
        <v>1</v>
      </c>
      <c r="W95" s="148"/>
      <c r="X95" s="148"/>
      <c r="Y95" s="99"/>
      <c r="Z95" s="148"/>
      <c r="AA95" s="99"/>
      <c r="AB95" s="148"/>
      <c r="AC95" s="99"/>
      <c r="AD95" s="99"/>
      <c r="AE95" s="99"/>
      <c r="AF95" s="99"/>
      <c r="AG95" s="66">
        <f t="shared" si="5"/>
        <v>10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7"/>
        <v>靜婷</v>
      </c>
      <c r="AJ95" s="81"/>
    </row>
    <row r="96" spans="1:36" ht="18" customHeight="1">
      <c r="A96" s="99" t="s">
        <v>58</v>
      </c>
      <c r="B96" s="100" t="s">
        <v>154</v>
      </c>
      <c r="C96" s="99"/>
      <c r="D96" s="132"/>
      <c r="E96" s="148"/>
      <c r="F96" s="99"/>
      <c r="G96" s="148"/>
      <c r="H96" s="99"/>
      <c r="I96" s="99"/>
      <c r="J96" s="148"/>
      <c r="K96" s="148"/>
      <c r="L96" s="148"/>
      <c r="M96" s="99"/>
      <c r="N96" s="148"/>
      <c r="O96" s="99"/>
      <c r="P96" s="148"/>
      <c r="Q96" s="148"/>
      <c r="R96" s="99"/>
      <c r="S96" s="148"/>
      <c r="T96" s="99"/>
      <c r="U96" s="148"/>
      <c r="V96" s="99"/>
      <c r="W96" s="148"/>
      <c r="X96" s="148"/>
      <c r="Y96" s="99"/>
      <c r="Z96" s="148"/>
      <c r="AA96" s="99"/>
      <c r="AB96" s="148"/>
      <c r="AC96" s="99"/>
      <c r="AD96" s="99"/>
      <c r="AE96" s="99"/>
      <c r="AF96" s="99"/>
      <c r="AG96" s="66">
        <f t="shared" si="5"/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7"/>
        <v>筱攸</v>
      </c>
      <c r="AJ96" s="81"/>
    </row>
    <row r="97" spans="1:36" ht="18" customHeight="1">
      <c r="A97" s="99" t="s">
        <v>58</v>
      </c>
      <c r="B97" s="100" t="s">
        <v>155</v>
      </c>
      <c r="C97" s="99">
        <v>1</v>
      </c>
      <c r="D97" s="132">
        <v>1</v>
      </c>
      <c r="E97" s="148"/>
      <c r="F97" s="99">
        <v>1</v>
      </c>
      <c r="G97" s="148"/>
      <c r="H97" s="99">
        <v>1</v>
      </c>
      <c r="I97" s="99">
        <v>1</v>
      </c>
      <c r="J97" s="148"/>
      <c r="K97" s="148"/>
      <c r="L97" s="148"/>
      <c r="M97" s="99">
        <v>1</v>
      </c>
      <c r="N97" s="148"/>
      <c r="O97" s="99">
        <v>1</v>
      </c>
      <c r="P97" s="148"/>
      <c r="Q97" s="148"/>
      <c r="R97" s="99">
        <v>1</v>
      </c>
      <c r="S97" s="148"/>
      <c r="T97" s="99">
        <v>1</v>
      </c>
      <c r="U97" s="148"/>
      <c r="V97" s="99">
        <v>1</v>
      </c>
      <c r="W97" s="148"/>
      <c r="X97" s="148"/>
      <c r="Y97" s="99"/>
      <c r="Z97" s="148"/>
      <c r="AA97" s="99"/>
      <c r="AB97" s="148"/>
      <c r="AC97" s="99">
        <v>1</v>
      </c>
      <c r="AD97" s="99"/>
      <c r="AE97" s="99"/>
      <c r="AF97" s="99"/>
      <c r="AG97" s="66">
        <f t="shared" si="5"/>
        <v>11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7"/>
        <v>康康</v>
      </c>
      <c r="AJ97" s="81"/>
    </row>
    <row r="98" spans="1:36" ht="18" customHeight="1">
      <c r="A98" s="99" t="s">
        <v>58</v>
      </c>
      <c r="B98" s="100" t="s">
        <v>156</v>
      </c>
      <c r="C98" s="99"/>
      <c r="D98" s="132"/>
      <c r="E98" s="148"/>
      <c r="F98" s="99"/>
      <c r="G98" s="148"/>
      <c r="H98" s="99"/>
      <c r="I98" s="99"/>
      <c r="J98" s="148"/>
      <c r="K98" s="148"/>
      <c r="L98" s="148"/>
      <c r="M98" s="99"/>
      <c r="N98" s="148"/>
      <c r="O98" s="99"/>
      <c r="P98" s="148"/>
      <c r="Q98" s="148"/>
      <c r="R98" s="99"/>
      <c r="S98" s="148"/>
      <c r="T98" s="99"/>
      <c r="U98" s="148"/>
      <c r="V98" s="99"/>
      <c r="W98" s="148"/>
      <c r="X98" s="148"/>
      <c r="Y98" s="99"/>
      <c r="Z98" s="148"/>
      <c r="AA98" s="99"/>
      <c r="AB98" s="148"/>
      <c r="AC98" s="99"/>
      <c r="AD98" s="99"/>
      <c r="AE98" s="99"/>
      <c r="AF98" s="99"/>
      <c r="AG98" s="66">
        <f t="shared" si="5"/>
        <v>0</v>
      </c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7"/>
        <v>阿金</v>
      </c>
      <c r="AJ98" s="81"/>
    </row>
    <row r="99" spans="1:36" ht="18" customHeight="1">
      <c r="A99" s="99" t="s">
        <v>58</v>
      </c>
      <c r="B99" s="100" t="s">
        <v>157</v>
      </c>
      <c r="C99" s="99"/>
      <c r="D99" s="132"/>
      <c r="E99" s="148"/>
      <c r="F99" s="99"/>
      <c r="G99" s="148"/>
      <c r="H99" s="99"/>
      <c r="I99" s="99"/>
      <c r="J99" s="148"/>
      <c r="K99" s="148"/>
      <c r="L99" s="148"/>
      <c r="M99" s="99"/>
      <c r="N99" s="148"/>
      <c r="O99" s="99"/>
      <c r="P99" s="148"/>
      <c r="Q99" s="148"/>
      <c r="R99" s="99"/>
      <c r="S99" s="148"/>
      <c r="T99" s="99"/>
      <c r="U99" s="148"/>
      <c r="V99" s="99"/>
      <c r="W99" s="148"/>
      <c r="X99" s="148"/>
      <c r="Y99" s="99"/>
      <c r="Z99" s="148"/>
      <c r="AA99" s="99"/>
      <c r="AB99" s="148"/>
      <c r="AC99" s="99"/>
      <c r="AD99" s="99"/>
      <c r="AE99" s="99"/>
      <c r="AF99" s="99"/>
      <c r="AG99" s="66">
        <f t="shared" si="5"/>
        <v>0</v>
      </c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7"/>
        <v>派大</v>
      </c>
      <c r="AJ99" s="81"/>
    </row>
    <row r="100" spans="1:36" ht="18" customHeight="1">
      <c r="A100" s="99" t="s">
        <v>58</v>
      </c>
      <c r="B100" s="100" t="s">
        <v>158</v>
      </c>
      <c r="C100" s="99"/>
      <c r="D100" s="132"/>
      <c r="E100" s="148"/>
      <c r="F100" s="99"/>
      <c r="G100" s="148"/>
      <c r="H100" s="99"/>
      <c r="I100" s="99"/>
      <c r="J100" s="148"/>
      <c r="K100" s="148"/>
      <c r="L100" s="148"/>
      <c r="M100" s="99"/>
      <c r="N100" s="148"/>
      <c r="O100" s="99"/>
      <c r="P100" s="148"/>
      <c r="Q100" s="148"/>
      <c r="R100" s="99"/>
      <c r="S100" s="148"/>
      <c r="T100" s="99"/>
      <c r="U100" s="148"/>
      <c r="V100" s="99"/>
      <c r="W100" s="148"/>
      <c r="X100" s="148"/>
      <c r="Y100" s="99"/>
      <c r="Z100" s="148"/>
      <c r="AA100" s="99"/>
      <c r="AB100" s="148"/>
      <c r="AC100" s="99"/>
      <c r="AD100" s="99"/>
      <c r="AE100" s="99"/>
      <c r="AF100" s="99"/>
      <c r="AG100" s="66">
        <f t="shared" ref="AG100:AG131" si="8">COUNTA(C100:AF100)</f>
        <v>0</v>
      </c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si="7"/>
        <v>吉娃</v>
      </c>
      <c r="AJ100" s="81"/>
    </row>
    <row r="101" spans="1:36" ht="18" customHeight="1">
      <c r="A101" s="99" t="s">
        <v>58</v>
      </c>
      <c r="B101" s="100" t="s">
        <v>159</v>
      </c>
      <c r="C101" s="99"/>
      <c r="D101" s="132"/>
      <c r="E101" s="148"/>
      <c r="F101" s="99"/>
      <c r="G101" s="148"/>
      <c r="H101" s="99"/>
      <c r="I101" s="99"/>
      <c r="J101" s="148"/>
      <c r="K101" s="148"/>
      <c r="L101" s="148"/>
      <c r="M101" s="99"/>
      <c r="N101" s="148"/>
      <c r="O101" s="99"/>
      <c r="P101" s="148"/>
      <c r="Q101" s="148"/>
      <c r="R101" s="99"/>
      <c r="S101" s="148"/>
      <c r="T101" s="99"/>
      <c r="U101" s="148"/>
      <c r="V101" s="99"/>
      <c r="W101" s="148"/>
      <c r="X101" s="148"/>
      <c r="Y101" s="99"/>
      <c r="Z101" s="148"/>
      <c r="AA101" s="99"/>
      <c r="AB101" s="148"/>
      <c r="AC101" s="99"/>
      <c r="AD101" s="99"/>
      <c r="AE101" s="99"/>
      <c r="AF101" s="99"/>
      <c r="AG101" s="66">
        <f t="shared" si="8"/>
        <v>0</v>
      </c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7"/>
        <v>小寧</v>
      </c>
      <c r="AJ101" s="81"/>
    </row>
    <row r="102" spans="1:36" ht="18" customHeight="1">
      <c r="A102" s="99" t="s">
        <v>58</v>
      </c>
      <c r="B102" s="100" t="s">
        <v>160</v>
      </c>
      <c r="C102" s="99"/>
      <c r="D102" s="132"/>
      <c r="E102" s="148"/>
      <c r="F102" s="99"/>
      <c r="G102" s="148"/>
      <c r="H102" s="99"/>
      <c r="I102" s="99"/>
      <c r="J102" s="148"/>
      <c r="K102" s="148"/>
      <c r="L102" s="148"/>
      <c r="M102" s="99"/>
      <c r="N102" s="148"/>
      <c r="O102" s="99"/>
      <c r="P102" s="148"/>
      <c r="Q102" s="148"/>
      <c r="R102" s="99"/>
      <c r="S102" s="148"/>
      <c r="T102" s="99"/>
      <c r="U102" s="148"/>
      <c r="V102" s="99"/>
      <c r="W102" s="148"/>
      <c r="X102" s="148"/>
      <c r="Y102" s="99"/>
      <c r="Z102" s="148"/>
      <c r="AA102" s="99"/>
      <c r="AB102" s="148"/>
      <c r="AC102" s="99"/>
      <c r="AD102" s="99"/>
      <c r="AE102" s="99"/>
      <c r="AF102" s="99"/>
      <c r="AG102" s="66">
        <f t="shared" si="8"/>
        <v>0</v>
      </c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7"/>
        <v>小妹</v>
      </c>
      <c r="AJ102" s="81"/>
    </row>
    <row r="103" spans="1:36" ht="18" customHeight="1">
      <c r="A103" s="99" t="s">
        <v>58</v>
      </c>
      <c r="B103" s="100" t="s">
        <v>101</v>
      </c>
      <c r="C103" s="99"/>
      <c r="D103" s="132"/>
      <c r="E103" s="148"/>
      <c r="F103" s="99"/>
      <c r="G103" s="148"/>
      <c r="H103" s="99"/>
      <c r="I103" s="99"/>
      <c r="J103" s="148"/>
      <c r="K103" s="148"/>
      <c r="L103" s="148"/>
      <c r="M103" s="99"/>
      <c r="N103" s="148"/>
      <c r="O103" s="99"/>
      <c r="P103" s="148"/>
      <c r="Q103" s="148"/>
      <c r="R103" s="99"/>
      <c r="S103" s="148"/>
      <c r="T103" s="99"/>
      <c r="U103" s="148"/>
      <c r="V103" s="99"/>
      <c r="W103" s="148"/>
      <c r="X103" s="148"/>
      <c r="Y103" s="99"/>
      <c r="Z103" s="148"/>
      <c r="AA103" s="99"/>
      <c r="AB103" s="148"/>
      <c r="AC103" s="99"/>
      <c r="AD103" s="99"/>
      <c r="AE103" s="99"/>
      <c r="AF103" s="99"/>
      <c r="AG103" s="66">
        <f t="shared" si="8"/>
        <v>0</v>
      </c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7"/>
        <v>文媛</v>
      </c>
      <c r="AJ103" s="81"/>
    </row>
    <row r="104" spans="1:36" ht="18" customHeight="1">
      <c r="A104" s="99" t="s">
        <v>58</v>
      </c>
      <c r="B104" s="100" t="s">
        <v>161</v>
      </c>
      <c r="C104" s="99"/>
      <c r="D104" s="132"/>
      <c r="E104" s="148"/>
      <c r="F104" s="99"/>
      <c r="G104" s="148"/>
      <c r="H104" s="99"/>
      <c r="I104" s="99"/>
      <c r="J104" s="148"/>
      <c r="K104" s="148"/>
      <c r="L104" s="148"/>
      <c r="M104" s="99"/>
      <c r="N104" s="148"/>
      <c r="O104" s="99"/>
      <c r="P104" s="148"/>
      <c r="Q104" s="148"/>
      <c r="R104" s="99"/>
      <c r="S104" s="148"/>
      <c r="T104" s="99"/>
      <c r="U104" s="148"/>
      <c r="V104" s="99"/>
      <c r="W104" s="148"/>
      <c r="X104" s="148"/>
      <c r="Y104" s="99"/>
      <c r="Z104" s="148"/>
      <c r="AA104" s="99"/>
      <c r="AB104" s="148"/>
      <c r="AC104" s="99"/>
      <c r="AD104" s="99"/>
      <c r="AE104" s="99"/>
      <c r="AF104" s="99"/>
      <c r="AG104" s="66">
        <f t="shared" si="8"/>
        <v>0</v>
      </c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7"/>
        <v>佩鈺</v>
      </c>
      <c r="AJ104" s="81"/>
    </row>
    <row r="105" spans="1:36" ht="18" customHeight="1">
      <c r="A105" s="99" t="s">
        <v>58</v>
      </c>
      <c r="B105" s="100" t="s">
        <v>162</v>
      </c>
      <c r="C105" s="99"/>
      <c r="D105" s="132"/>
      <c r="E105" s="148"/>
      <c r="F105" s="99"/>
      <c r="G105" s="148"/>
      <c r="H105" s="99"/>
      <c r="I105" s="99"/>
      <c r="J105" s="148"/>
      <c r="K105" s="148"/>
      <c r="L105" s="148"/>
      <c r="M105" s="99"/>
      <c r="N105" s="148"/>
      <c r="O105" s="99"/>
      <c r="P105" s="148"/>
      <c r="Q105" s="148"/>
      <c r="R105" s="99"/>
      <c r="S105" s="148"/>
      <c r="T105" s="99"/>
      <c r="U105" s="148"/>
      <c r="V105" s="99"/>
      <c r="W105" s="148"/>
      <c r="X105" s="148"/>
      <c r="Y105" s="99"/>
      <c r="Z105" s="148"/>
      <c r="AA105" s="99"/>
      <c r="AB105" s="148"/>
      <c r="AC105" s="99"/>
      <c r="AD105" s="99"/>
      <c r="AE105" s="99"/>
      <c r="AF105" s="99"/>
      <c r="AG105" s="66">
        <f t="shared" si="8"/>
        <v>0</v>
      </c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7"/>
        <v>阿布</v>
      </c>
      <c r="AJ105" s="81"/>
    </row>
    <row r="106" spans="1:36" ht="18" customHeight="1">
      <c r="A106" s="99" t="s">
        <v>58</v>
      </c>
      <c r="B106" s="100" t="s">
        <v>100</v>
      </c>
      <c r="C106" s="99">
        <v>1</v>
      </c>
      <c r="D106" s="132"/>
      <c r="E106" s="148"/>
      <c r="F106" s="99">
        <v>1</v>
      </c>
      <c r="G106" s="148"/>
      <c r="H106" s="99">
        <v>1</v>
      </c>
      <c r="I106" s="99">
        <v>1</v>
      </c>
      <c r="J106" s="148"/>
      <c r="K106" s="148"/>
      <c r="L106" s="148"/>
      <c r="M106" s="99">
        <v>1</v>
      </c>
      <c r="N106" s="148"/>
      <c r="O106" s="99">
        <v>1</v>
      </c>
      <c r="P106" s="148"/>
      <c r="Q106" s="148"/>
      <c r="R106" s="99">
        <v>1</v>
      </c>
      <c r="S106" s="148"/>
      <c r="T106" s="99">
        <v>1</v>
      </c>
      <c r="U106" s="148"/>
      <c r="V106" s="99"/>
      <c r="W106" s="148"/>
      <c r="X106" s="148"/>
      <c r="Y106" s="99"/>
      <c r="Z106" s="148"/>
      <c r="AA106" s="99"/>
      <c r="AB106" s="148"/>
      <c r="AC106" s="99">
        <v>1</v>
      </c>
      <c r="AD106" s="99"/>
      <c r="AE106" s="99"/>
      <c r="AF106" s="99"/>
      <c r="AG106" s="66">
        <f t="shared" si="8"/>
        <v>9</v>
      </c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7"/>
        <v>餅餅</v>
      </c>
      <c r="AJ106" s="81"/>
    </row>
    <row r="107" spans="1:36" ht="18" customHeight="1">
      <c r="A107" s="99" t="s">
        <v>58</v>
      </c>
      <c r="B107" s="100" t="s">
        <v>163</v>
      </c>
      <c r="C107" s="99"/>
      <c r="D107" s="132"/>
      <c r="E107" s="148"/>
      <c r="F107" s="99"/>
      <c r="G107" s="148"/>
      <c r="H107" s="99"/>
      <c r="I107" s="99"/>
      <c r="J107" s="148"/>
      <c r="K107" s="148"/>
      <c r="L107" s="148"/>
      <c r="M107" s="99"/>
      <c r="N107" s="148"/>
      <c r="O107" s="99"/>
      <c r="P107" s="148"/>
      <c r="Q107" s="148"/>
      <c r="R107" s="99"/>
      <c r="S107" s="148"/>
      <c r="T107" s="99"/>
      <c r="U107" s="148"/>
      <c r="V107" s="99"/>
      <c r="W107" s="148"/>
      <c r="X107" s="148"/>
      <c r="Y107" s="99"/>
      <c r="Z107" s="148"/>
      <c r="AA107" s="99"/>
      <c r="AB107" s="148"/>
      <c r="AC107" s="99"/>
      <c r="AD107" s="99"/>
      <c r="AE107" s="99"/>
      <c r="AF107" s="99"/>
      <c r="AG107" s="66">
        <f t="shared" si="8"/>
        <v>0</v>
      </c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7"/>
        <v>小個</v>
      </c>
      <c r="AJ107" s="81"/>
    </row>
    <row r="108" spans="1:36" ht="18" customHeight="1">
      <c r="A108" s="99" t="s">
        <v>58</v>
      </c>
      <c r="B108" s="100" t="s">
        <v>164</v>
      </c>
      <c r="C108" s="99"/>
      <c r="D108" s="132"/>
      <c r="E108" s="148"/>
      <c r="F108" s="99"/>
      <c r="G108" s="148"/>
      <c r="H108" s="99"/>
      <c r="I108" s="99"/>
      <c r="J108" s="148"/>
      <c r="K108" s="148"/>
      <c r="L108" s="148"/>
      <c r="M108" s="99"/>
      <c r="N108" s="148"/>
      <c r="O108" s="99"/>
      <c r="P108" s="148"/>
      <c r="Q108" s="148"/>
      <c r="R108" s="99"/>
      <c r="S108" s="148"/>
      <c r="T108" s="99"/>
      <c r="U108" s="148"/>
      <c r="V108" s="99"/>
      <c r="W108" s="148"/>
      <c r="X108" s="148"/>
      <c r="Y108" s="99"/>
      <c r="Z108" s="148"/>
      <c r="AA108" s="99"/>
      <c r="AB108" s="148"/>
      <c r="AC108" s="99"/>
      <c r="AD108" s="99"/>
      <c r="AE108" s="99"/>
      <c r="AF108" s="99"/>
      <c r="AG108" s="66">
        <f t="shared" si="8"/>
        <v>0</v>
      </c>
      <c r="AH108" s="98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79" t="str">
        <f t="shared" si="7"/>
        <v>小菜</v>
      </c>
      <c r="AJ108" s="81"/>
    </row>
    <row r="109" spans="1:36" ht="18" customHeight="1">
      <c r="A109" s="99" t="s">
        <v>58</v>
      </c>
      <c r="B109" s="100" t="s">
        <v>102</v>
      </c>
      <c r="C109" s="99"/>
      <c r="D109" s="132"/>
      <c r="E109" s="148"/>
      <c r="F109" s="99"/>
      <c r="G109" s="148"/>
      <c r="H109" s="99"/>
      <c r="I109" s="99"/>
      <c r="J109" s="148"/>
      <c r="K109" s="148"/>
      <c r="L109" s="148"/>
      <c r="M109" s="99"/>
      <c r="N109" s="148"/>
      <c r="O109" s="99"/>
      <c r="P109" s="148"/>
      <c r="Q109" s="148"/>
      <c r="R109" s="99"/>
      <c r="S109" s="148"/>
      <c r="T109" s="99"/>
      <c r="U109" s="148"/>
      <c r="V109" s="99"/>
      <c r="W109" s="148"/>
      <c r="X109" s="148"/>
      <c r="Y109" s="99"/>
      <c r="Z109" s="148"/>
      <c r="AA109" s="99"/>
      <c r="AB109" s="148"/>
      <c r="AC109" s="99"/>
      <c r="AD109" s="99"/>
      <c r="AE109" s="99"/>
      <c r="AF109" s="99"/>
      <c r="AG109" s="66">
        <f t="shared" si="8"/>
        <v>0</v>
      </c>
      <c r="AH109" s="98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79" t="str">
        <f t="shared" si="7"/>
        <v>妮妮</v>
      </c>
      <c r="AJ109" s="81"/>
    </row>
    <row r="110" spans="1:36" ht="18" customHeight="1">
      <c r="A110" s="99" t="s">
        <v>58</v>
      </c>
      <c r="B110" s="100" t="s">
        <v>165</v>
      </c>
      <c r="C110" s="99"/>
      <c r="D110" s="132"/>
      <c r="E110" s="148"/>
      <c r="F110" s="99"/>
      <c r="G110" s="148"/>
      <c r="H110" s="99">
        <v>1</v>
      </c>
      <c r="I110" s="99"/>
      <c r="J110" s="148"/>
      <c r="K110" s="148"/>
      <c r="L110" s="148"/>
      <c r="M110" s="99"/>
      <c r="N110" s="148"/>
      <c r="O110" s="99">
        <v>1</v>
      </c>
      <c r="P110" s="148"/>
      <c r="Q110" s="148"/>
      <c r="R110" s="99"/>
      <c r="S110" s="148"/>
      <c r="T110" s="99"/>
      <c r="U110" s="148"/>
      <c r="V110" s="99"/>
      <c r="W110" s="148"/>
      <c r="X110" s="148"/>
      <c r="Y110" s="99">
        <v>1</v>
      </c>
      <c r="Z110" s="148"/>
      <c r="AA110" s="99"/>
      <c r="AB110" s="148"/>
      <c r="AC110" s="99"/>
      <c r="AD110" s="99"/>
      <c r="AE110" s="99"/>
      <c r="AF110" s="99"/>
      <c r="AG110" s="66">
        <f t="shared" si="8"/>
        <v>3</v>
      </c>
      <c r="AH110" s="98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79" t="str">
        <f t="shared" si="7"/>
        <v>小貓</v>
      </c>
      <c r="AJ110" s="81"/>
    </row>
    <row r="111" spans="1:36" ht="18" customHeight="1">
      <c r="A111" s="99" t="s">
        <v>58</v>
      </c>
      <c r="B111" s="100" t="s">
        <v>166</v>
      </c>
      <c r="C111" s="99"/>
      <c r="D111" s="132"/>
      <c r="E111" s="148"/>
      <c r="F111" s="99"/>
      <c r="G111" s="148"/>
      <c r="H111" s="99"/>
      <c r="I111" s="99"/>
      <c r="J111" s="148"/>
      <c r="K111" s="148"/>
      <c r="L111" s="148"/>
      <c r="M111" s="99"/>
      <c r="N111" s="148"/>
      <c r="O111" s="99"/>
      <c r="P111" s="148"/>
      <c r="Q111" s="148"/>
      <c r="R111" s="99"/>
      <c r="S111" s="148"/>
      <c r="T111" s="99"/>
      <c r="U111" s="148"/>
      <c r="V111" s="99"/>
      <c r="W111" s="148"/>
      <c r="X111" s="148"/>
      <c r="Y111" s="99"/>
      <c r="Z111" s="148"/>
      <c r="AA111" s="99"/>
      <c r="AB111" s="148"/>
      <c r="AC111" s="99"/>
      <c r="AD111" s="99"/>
      <c r="AE111" s="99"/>
      <c r="AF111" s="99"/>
      <c r="AG111" s="66">
        <f t="shared" si="8"/>
        <v>0</v>
      </c>
      <c r="AH111" s="98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79" t="str">
        <f t="shared" si="7"/>
        <v>哈比</v>
      </c>
      <c r="AJ111" s="81"/>
    </row>
    <row r="112" spans="1:36" ht="18" customHeight="1">
      <c r="A112" s="101" t="s">
        <v>58</v>
      </c>
      <c r="B112" s="102" t="s">
        <v>124</v>
      </c>
      <c r="C112" s="101"/>
      <c r="D112" s="137"/>
      <c r="E112" s="148"/>
      <c r="F112" s="101"/>
      <c r="G112" s="148"/>
      <c r="H112" s="101"/>
      <c r="I112" s="101"/>
      <c r="J112" s="148"/>
      <c r="K112" s="148"/>
      <c r="L112" s="148"/>
      <c r="M112" s="101"/>
      <c r="N112" s="148"/>
      <c r="O112" s="101"/>
      <c r="P112" s="148"/>
      <c r="Q112" s="148"/>
      <c r="R112" s="101"/>
      <c r="S112" s="148"/>
      <c r="T112" s="101"/>
      <c r="U112" s="148"/>
      <c r="V112" s="101"/>
      <c r="W112" s="148"/>
      <c r="X112" s="148"/>
      <c r="Y112" s="101"/>
      <c r="Z112" s="148"/>
      <c r="AA112" s="101"/>
      <c r="AB112" s="148"/>
      <c r="AC112" s="101"/>
      <c r="AD112" s="101"/>
      <c r="AE112" s="101"/>
      <c r="AF112" s="101"/>
      <c r="AG112" s="66">
        <f t="shared" si="8"/>
        <v>0</v>
      </c>
      <c r="AH112" s="103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88" t="str">
        <f t="shared" si="7"/>
        <v>玉蕙</v>
      </c>
      <c r="AJ112" s="89"/>
    </row>
    <row r="113" spans="1:36" ht="18" customHeight="1">
      <c r="A113" s="101" t="s">
        <v>58</v>
      </c>
      <c r="B113" s="102" t="s">
        <v>125</v>
      </c>
      <c r="C113" s="101"/>
      <c r="D113" s="137"/>
      <c r="E113" s="148"/>
      <c r="F113" s="101"/>
      <c r="G113" s="148"/>
      <c r="H113" s="101"/>
      <c r="I113" s="101"/>
      <c r="J113" s="148"/>
      <c r="K113" s="148"/>
      <c r="L113" s="148"/>
      <c r="M113" s="101"/>
      <c r="N113" s="148"/>
      <c r="O113" s="101"/>
      <c r="P113" s="148"/>
      <c r="Q113" s="148"/>
      <c r="R113" s="101"/>
      <c r="S113" s="148"/>
      <c r="T113" s="101"/>
      <c r="U113" s="148"/>
      <c r="V113" s="101"/>
      <c r="W113" s="148"/>
      <c r="X113" s="148"/>
      <c r="Y113" s="101"/>
      <c r="Z113" s="148"/>
      <c r="AA113" s="101"/>
      <c r="AB113" s="148"/>
      <c r="AC113" s="101"/>
      <c r="AD113" s="101"/>
      <c r="AE113" s="101"/>
      <c r="AF113" s="101"/>
      <c r="AG113" s="66">
        <f t="shared" si="8"/>
        <v>0</v>
      </c>
      <c r="AH113" s="103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88" t="str">
        <f t="shared" si="7"/>
        <v>沛緁</v>
      </c>
      <c r="AJ113" s="89"/>
    </row>
    <row r="114" spans="1:36" ht="18" customHeight="1">
      <c r="A114" s="101" t="s">
        <v>58</v>
      </c>
      <c r="B114" s="102" t="s">
        <v>126</v>
      </c>
      <c r="C114" s="101"/>
      <c r="D114" s="137"/>
      <c r="E114" s="148"/>
      <c r="F114" s="101"/>
      <c r="G114" s="148"/>
      <c r="H114" s="101"/>
      <c r="I114" s="101"/>
      <c r="J114" s="148"/>
      <c r="K114" s="148"/>
      <c r="L114" s="148"/>
      <c r="M114" s="101"/>
      <c r="N114" s="148"/>
      <c r="O114" s="101"/>
      <c r="P114" s="148"/>
      <c r="Q114" s="148"/>
      <c r="R114" s="101"/>
      <c r="S114" s="148"/>
      <c r="T114" s="101"/>
      <c r="U114" s="148"/>
      <c r="V114" s="101"/>
      <c r="W114" s="148"/>
      <c r="X114" s="148"/>
      <c r="Y114" s="101"/>
      <c r="Z114" s="148"/>
      <c r="AA114" s="101"/>
      <c r="AB114" s="148"/>
      <c r="AC114" s="101"/>
      <c r="AD114" s="101"/>
      <c r="AE114" s="101"/>
      <c r="AF114" s="101"/>
      <c r="AG114" s="66">
        <f t="shared" si="8"/>
        <v>0</v>
      </c>
      <c r="AH114" s="103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88" t="str">
        <f t="shared" si="7"/>
        <v>妹妹</v>
      </c>
      <c r="AJ114" s="89"/>
    </row>
    <row r="115" spans="1:36" ht="18" customHeight="1">
      <c r="A115" s="101" t="s">
        <v>58</v>
      </c>
      <c r="B115" s="102" t="s">
        <v>127</v>
      </c>
      <c r="C115" s="101">
        <v>1</v>
      </c>
      <c r="D115" s="137"/>
      <c r="E115" s="148"/>
      <c r="F115" s="101">
        <v>1</v>
      </c>
      <c r="G115" s="148"/>
      <c r="H115" s="101">
        <v>1</v>
      </c>
      <c r="I115" s="101">
        <v>1</v>
      </c>
      <c r="J115" s="148"/>
      <c r="K115" s="148"/>
      <c r="L115" s="148"/>
      <c r="M115" s="101">
        <v>1</v>
      </c>
      <c r="N115" s="148"/>
      <c r="O115" s="101">
        <v>1</v>
      </c>
      <c r="P115" s="148"/>
      <c r="Q115" s="148"/>
      <c r="R115" s="101"/>
      <c r="S115" s="148"/>
      <c r="T115" s="101">
        <v>1</v>
      </c>
      <c r="U115" s="148"/>
      <c r="V115" s="101">
        <v>1</v>
      </c>
      <c r="W115" s="148"/>
      <c r="X115" s="148"/>
      <c r="Y115" s="101"/>
      <c r="Z115" s="148"/>
      <c r="AA115" s="101"/>
      <c r="AB115" s="148"/>
      <c r="AC115" s="101">
        <v>1</v>
      </c>
      <c r="AD115" s="101"/>
      <c r="AE115" s="101"/>
      <c r="AF115" s="101"/>
      <c r="AG115" s="66">
        <f t="shared" si="8"/>
        <v>9</v>
      </c>
      <c r="AH115" s="103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88" t="str">
        <f t="shared" si="7"/>
        <v>小雞</v>
      </c>
      <c r="AJ115" s="89"/>
    </row>
    <row r="116" spans="1:36" ht="18" customHeight="1">
      <c r="A116" s="101" t="s">
        <v>58</v>
      </c>
      <c r="B116" s="102" t="s">
        <v>128</v>
      </c>
      <c r="C116" s="101"/>
      <c r="D116" s="137"/>
      <c r="E116" s="148"/>
      <c r="F116" s="101"/>
      <c r="G116" s="148"/>
      <c r="H116" s="101"/>
      <c r="I116" s="101"/>
      <c r="J116" s="148"/>
      <c r="K116" s="148"/>
      <c r="L116" s="148"/>
      <c r="M116" s="101"/>
      <c r="N116" s="148"/>
      <c r="O116" s="101"/>
      <c r="P116" s="148"/>
      <c r="Q116" s="148"/>
      <c r="R116" s="101"/>
      <c r="S116" s="148"/>
      <c r="T116" s="101"/>
      <c r="U116" s="148"/>
      <c r="V116" s="101"/>
      <c r="W116" s="148"/>
      <c r="X116" s="148"/>
      <c r="Y116" s="101"/>
      <c r="Z116" s="148"/>
      <c r="AA116" s="101"/>
      <c r="AB116" s="148"/>
      <c r="AC116" s="101"/>
      <c r="AD116" s="101"/>
      <c r="AE116" s="101"/>
      <c r="AF116" s="101"/>
      <c r="AG116" s="66">
        <f t="shared" si="8"/>
        <v>0</v>
      </c>
      <c r="AH116" s="103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88" t="str">
        <f t="shared" si="7"/>
        <v>雨昕</v>
      </c>
      <c r="AJ116" s="89"/>
    </row>
    <row r="117" spans="1:36" ht="18" customHeight="1">
      <c r="A117" s="101" t="s">
        <v>58</v>
      </c>
      <c r="B117" s="102" t="s">
        <v>129</v>
      </c>
      <c r="C117" s="101"/>
      <c r="D117" s="137"/>
      <c r="E117" s="148"/>
      <c r="F117" s="101"/>
      <c r="G117" s="148"/>
      <c r="H117" s="101"/>
      <c r="I117" s="101"/>
      <c r="J117" s="148"/>
      <c r="K117" s="148"/>
      <c r="L117" s="148"/>
      <c r="M117" s="101"/>
      <c r="N117" s="148"/>
      <c r="O117" s="101"/>
      <c r="P117" s="148"/>
      <c r="Q117" s="148"/>
      <c r="R117" s="101"/>
      <c r="S117" s="148"/>
      <c r="T117" s="101"/>
      <c r="U117" s="148"/>
      <c r="V117" s="101"/>
      <c r="W117" s="148"/>
      <c r="X117" s="148"/>
      <c r="Y117" s="101"/>
      <c r="Z117" s="148"/>
      <c r="AA117" s="101"/>
      <c r="AB117" s="148"/>
      <c r="AC117" s="101"/>
      <c r="AD117" s="101"/>
      <c r="AE117" s="101"/>
      <c r="AF117" s="101"/>
      <c r="AG117" s="66">
        <f t="shared" si="8"/>
        <v>0</v>
      </c>
      <c r="AH117" s="103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si="7"/>
        <v>矮矮</v>
      </c>
      <c r="AJ117" s="89"/>
    </row>
    <row r="118" spans="1:36" ht="18" customHeight="1">
      <c r="A118" s="101" t="s">
        <v>58</v>
      </c>
      <c r="B118" s="102" t="s">
        <v>130</v>
      </c>
      <c r="C118" s="101"/>
      <c r="D118" s="137"/>
      <c r="E118" s="148"/>
      <c r="F118" s="101"/>
      <c r="G118" s="148"/>
      <c r="H118" s="101"/>
      <c r="I118" s="101"/>
      <c r="J118" s="148"/>
      <c r="K118" s="148"/>
      <c r="L118" s="148"/>
      <c r="M118" s="101"/>
      <c r="N118" s="148"/>
      <c r="O118" s="101"/>
      <c r="P118" s="148"/>
      <c r="Q118" s="148"/>
      <c r="R118" s="101"/>
      <c r="S118" s="148"/>
      <c r="T118" s="101"/>
      <c r="U118" s="148"/>
      <c r="V118" s="101"/>
      <c r="W118" s="148"/>
      <c r="X118" s="148"/>
      <c r="Y118" s="101"/>
      <c r="Z118" s="148"/>
      <c r="AA118" s="101"/>
      <c r="AB118" s="148"/>
      <c r="AC118" s="101"/>
      <c r="AD118" s="101"/>
      <c r="AE118" s="101"/>
      <c r="AF118" s="101"/>
      <c r="AG118" s="66">
        <f t="shared" si="8"/>
        <v>0</v>
      </c>
      <c r="AH118" s="103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7"/>
        <v>猛女</v>
      </c>
      <c r="AJ118" s="89"/>
    </row>
    <row r="119" spans="1:36" ht="18" customHeight="1">
      <c r="A119" s="101" t="s">
        <v>58</v>
      </c>
      <c r="B119" s="102" t="s">
        <v>131</v>
      </c>
      <c r="C119" s="101"/>
      <c r="D119" s="137"/>
      <c r="E119" s="148"/>
      <c r="F119" s="101"/>
      <c r="G119" s="148"/>
      <c r="H119" s="101"/>
      <c r="I119" s="101"/>
      <c r="J119" s="148"/>
      <c r="K119" s="148"/>
      <c r="L119" s="148"/>
      <c r="M119" s="101"/>
      <c r="N119" s="148"/>
      <c r="O119" s="101"/>
      <c r="P119" s="148"/>
      <c r="Q119" s="148"/>
      <c r="R119" s="101"/>
      <c r="S119" s="148"/>
      <c r="T119" s="101"/>
      <c r="U119" s="148"/>
      <c r="V119" s="101"/>
      <c r="W119" s="148"/>
      <c r="X119" s="148"/>
      <c r="Y119" s="101"/>
      <c r="Z119" s="148"/>
      <c r="AA119" s="101"/>
      <c r="AB119" s="148"/>
      <c r="AC119" s="101"/>
      <c r="AD119" s="101"/>
      <c r="AE119" s="101"/>
      <c r="AF119" s="101"/>
      <c r="AG119" s="66">
        <f t="shared" si="8"/>
        <v>0</v>
      </c>
      <c r="AH119" s="103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7"/>
        <v>欣容</v>
      </c>
      <c r="AJ119" s="89"/>
    </row>
    <row r="120" spans="1:36" ht="18" customHeight="1">
      <c r="A120" s="101" t="s">
        <v>58</v>
      </c>
      <c r="B120" s="102" t="s">
        <v>132</v>
      </c>
      <c r="C120" s="101"/>
      <c r="D120" s="137"/>
      <c r="E120" s="148"/>
      <c r="F120" s="101"/>
      <c r="G120" s="148"/>
      <c r="H120" s="101"/>
      <c r="I120" s="101"/>
      <c r="J120" s="148"/>
      <c r="K120" s="148"/>
      <c r="L120" s="148"/>
      <c r="M120" s="101"/>
      <c r="N120" s="148"/>
      <c r="O120" s="101"/>
      <c r="P120" s="148"/>
      <c r="Q120" s="148"/>
      <c r="R120" s="101"/>
      <c r="S120" s="148"/>
      <c r="T120" s="101"/>
      <c r="U120" s="148"/>
      <c r="V120" s="101"/>
      <c r="W120" s="148"/>
      <c r="X120" s="148"/>
      <c r="Y120" s="101"/>
      <c r="Z120" s="148"/>
      <c r="AA120" s="101"/>
      <c r="AB120" s="148"/>
      <c r="AC120" s="101"/>
      <c r="AD120" s="101"/>
      <c r="AE120" s="101"/>
      <c r="AF120" s="101"/>
      <c r="AG120" s="66">
        <f t="shared" si="8"/>
        <v>0</v>
      </c>
      <c r="AH120" s="103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7"/>
        <v>萁萁</v>
      </c>
      <c r="AJ120" s="89"/>
    </row>
    <row r="121" spans="1:36" ht="18" customHeight="1">
      <c r="A121" s="101" t="s">
        <v>58</v>
      </c>
      <c r="B121" s="102" t="s">
        <v>133</v>
      </c>
      <c r="C121" s="101"/>
      <c r="D121" s="137"/>
      <c r="E121" s="148"/>
      <c r="F121" s="101"/>
      <c r="G121" s="148"/>
      <c r="H121" s="101"/>
      <c r="I121" s="101"/>
      <c r="J121" s="148"/>
      <c r="K121" s="148"/>
      <c r="L121" s="148"/>
      <c r="M121" s="101"/>
      <c r="N121" s="148"/>
      <c r="O121" s="101"/>
      <c r="P121" s="148"/>
      <c r="Q121" s="148"/>
      <c r="R121" s="101"/>
      <c r="S121" s="148"/>
      <c r="T121" s="101"/>
      <c r="U121" s="148"/>
      <c r="V121" s="101"/>
      <c r="W121" s="148"/>
      <c r="X121" s="148"/>
      <c r="Y121" s="101"/>
      <c r="Z121" s="148"/>
      <c r="AA121" s="101"/>
      <c r="AB121" s="148"/>
      <c r="AC121" s="101"/>
      <c r="AD121" s="101"/>
      <c r="AE121" s="101"/>
      <c r="AF121" s="101"/>
      <c r="AG121" s="66">
        <f t="shared" si="8"/>
        <v>0</v>
      </c>
      <c r="AH121" s="87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7"/>
        <v>萱</v>
      </c>
      <c r="AJ121" s="91"/>
    </row>
    <row r="122" spans="1:36" ht="18" customHeight="1">
      <c r="A122" s="101" t="s">
        <v>58</v>
      </c>
      <c r="B122" s="102" t="s">
        <v>134</v>
      </c>
      <c r="C122" s="101"/>
      <c r="D122" s="137"/>
      <c r="E122" s="148"/>
      <c r="F122" s="101"/>
      <c r="G122" s="148"/>
      <c r="H122" s="101"/>
      <c r="I122" s="101"/>
      <c r="J122" s="148"/>
      <c r="K122" s="148"/>
      <c r="L122" s="148"/>
      <c r="M122" s="101"/>
      <c r="N122" s="148"/>
      <c r="O122" s="101"/>
      <c r="P122" s="148"/>
      <c r="Q122" s="148"/>
      <c r="R122" s="101"/>
      <c r="S122" s="148"/>
      <c r="T122" s="101"/>
      <c r="U122" s="148"/>
      <c r="V122" s="101"/>
      <c r="W122" s="148"/>
      <c r="X122" s="148"/>
      <c r="Y122" s="101"/>
      <c r="Z122" s="148"/>
      <c r="AA122" s="101"/>
      <c r="AB122" s="148"/>
      <c r="AC122" s="101"/>
      <c r="AD122" s="101"/>
      <c r="AE122" s="101"/>
      <c r="AF122" s="101"/>
      <c r="AG122" s="66">
        <f t="shared" si="8"/>
        <v>0</v>
      </c>
      <c r="AH122" s="87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7"/>
        <v>Mei</v>
      </c>
      <c r="AJ122" s="91"/>
    </row>
    <row r="123" spans="1:36" ht="18" customHeight="1">
      <c r="A123" s="101" t="s">
        <v>58</v>
      </c>
      <c r="B123" s="102" t="s">
        <v>135</v>
      </c>
      <c r="C123" s="101"/>
      <c r="D123" s="137"/>
      <c r="E123" s="148"/>
      <c r="F123" s="101"/>
      <c r="G123" s="148"/>
      <c r="H123" s="101"/>
      <c r="I123" s="101"/>
      <c r="J123" s="148"/>
      <c r="K123" s="148"/>
      <c r="L123" s="148"/>
      <c r="M123" s="101"/>
      <c r="N123" s="148"/>
      <c r="O123" s="101"/>
      <c r="P123" s="148"/>
      <c r="Q123" s="148"/>
      <c r="R123" s="101"/>
      <c r="S123" s="148"/>
      <c r="T123" s="101"/>
      <c r="U123" s="148"/>
      <c r="V123" s="101"/>
      <c r="W123" s="148"/>
      <c r="X123" s="148"/>
      <c r="Y123" s="101"/>
      <c r="Z123" s="148"/>
      <c r="AA123" s="101"/>
      <c r="AB123" s="148"/>
      <c r="AC123" s="101"/>
      <c r="AD123" s="101"/>
      <c r="AE123" s="101"/>
      <c r="AF123" s="101"/>
      <c r="AG123" s="66">
        <f t="shared" si="8"/>
        <v>0</v>
      </c>
      <c r="AH123" s="87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7"/>
        <v>屁屁</v>
      </c>
      <c r="AJ123" s="91"/>
    </row>
    <row r="124" spans="1:36" ht="18" customHeight="1">
      <c r="A124" s="101" t="s">
        <v>58</v>
      </c>
      <c r="B124" s="102" t="s">
        <v>136</v>
      </c>
      <c r="C124" s="101"/>
      <c r="D124" s="137"/>
      <c r="E124" s="148"/>
      <c r="F124" s="101"/>
      <c r="G124" s="148"/>
      <c r="H124" s="101"/>
      <c r="I124" s="101"/>
      <c r="J124" s="148"/>
      <c r="K124" s="148"/>
      <c r="L124" s="148"/>
      <c r="M124" s="101"/>
      <c r="N124" s="148"/>
      <c r="O124" s="101"/>
      <c r="P124" s="148"/>
      <c r="Q124" s="148"/>
      <c r="R124" s="101"/>
      <c r="S124" s="148"/>
      <c r="T124" s="101"/>
      <c r="U124" s="148"/>
      <c r="V124" s="101"/>
      <c r="W124" s="148"/>
      <c r="X124" s="148"/>
      <c r="Y124" s="101"/>
      <c r="Z124" s="148"/>
      <c r="AA124" s="101"/>
      <c r="AB124" s="148"/>
      <c r="AC124" s="101"/>
      <c r="AD124" s="101"/>
      <c r="AE124" s="101"/>
      <c r="AF124" s="101"/>
      <c r="AG124" s="66">
        <f t="shared" si="8"/>
        <v>0</v>
      </c>
      <c r="AH124" s="87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7"/>
        <v>泡泡</v>
      </c>
      <c r="AJ124" s="91"/>
    </row>
    <row r="125" spans="1:36" ht="18" customHeight="1">
      <c r="A125" s="101" t="s">
        <v>58</v>
      </c>
      <c r="B125" s="102" t="s">
        <v>137</v>
      </c>
      <c r="C125" s="101"/>
      <c r="D125" s="137"/>
      <c r="E125" s="148"/>
      <c r="F125" s="101"/>
      <c r="G125" s="148"/>
      <c r="H125" s="101"/>
      <c r="I125" s="101"/>
      <c r="J125" s="148"/>
      <c r="K125" s="148"/>
      <c r="L125" s="148"/>
      <c r="M125" s="101"/>
      <c r="N125" s="148"/>
      <c r="O125" s="101"/>
      <c r="P125" s="148"/>
      <c r="Q125" s="148"/>
      <c r="R125" s="101"/>
      <c r="S125" s="148"/>
      <c r="T125" s="101"/>
      <c r="U125" s="148"/>
      <c r="V125" s="101"/>
      <c r="W125" s="148"/>
      <c r="X125" s="148"/>
      <c r="Y125" s="101"/>
      <c r="Z125" s="148"/>
      <c r="AA125" s="101"/>
      <c r="AB125" s="148"/>
      <c r="AC125" s="101"/>
      <c r="AD125" s="101"/>
      <c r="AE125" s="101"/>
      <c r="AF125" s="101"/>
      <c r="AG125" s="66">
        <f t="shared" si="8"/>
        <v>0</v>
      </c>
      <c r="AH125" s="87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7"/>
        <v>姚</v>
      </c>
      <c r="AJ125" s="91"/>
    </row>
    <row r="126" spans="1:36" ht="18" customHeight="1">
      <c r="A126" s="101" t="s">
        <v>58</v>
      </c>
      <c r="B126" s="102" t="s">
        <v>138</v>
      </c>
      <c r="C126" s="101"/>
      <c r="D126" s="137"/>
      <c r="E126" s="148"/>
      <c r="F126" s="101"/>
      <c r="G126" s="148"/>
      <c r="H126" s="101"/>
      <c r="I126" s="101"/>
      <c r="J126" s="148"/>
      <c r="K126" s="148"/>
      <c r="L126" s="148"/>
      <c r="M126" s="101"/>
      <c r="N126" s="148"/>
      <c r="O126" s="101"/>
      <c r="P126" s="148"/>
      <c r="Q126" s="148"/>
      <c r="R126" s="101"/>
      <c r="S126" s="148"/>
      <c r="T126" s="101"/>
      <c r="U126" s="148"/>
      <c r="V126" s="101"/>
      <c r="W126" s="148"/>
      <c r="X126" s="148"/>
      <c r="Y126" s="101"/>
      <c r="Z126" s="148"/>
      <c r="AA126" s="101"/>
      <c r="AB126" s="148"/>
      <c r="AC126" s="101"/>
      <c r="AD126" s="101"/>
      <c r="AE126" s="101"/>
      <c r="AF126" s="101"/>
      <c r="AG126" s="66">
        <f t="shared" si="8"/>
        <v>0</v>
      </c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7"/>
        <v>奜茜</v>
      </c>
      <c r="AJ126" s="91"/>
    </row>
    <row r="127" spans="1:36" ht="18" customHeight="1">
      <c r="A127" s="101" t="s">
        <v>58</v>
      </c>
      <c r="B127" s="115" t="s">
        <v>139</v>
      </c>
      <c r="C127" s="101"/>
      <c r="D127" s="137"/>
      <c r="E127" s="148"/>
      <c r="F127" s="101"/>
      <c r="G127" s="148"/>
      <c r="H127" s="101"/>
      <c r="I127" s="101"/>
      <c r="J127" s="148"/>
      <c r="K127" s="148"/>
      <c r="L127" s="148"/>
      <c r="M127" s="101"/>
      <c r="N127" s="148"/>
      <c r="O127" s="101"/>
      <c r="P127" s="148"/>
      <c r="Q127" s="148"/>
      <c r="R127" s="101"/>
      <c r="S127" s="148"/>
      <c r="T127" s="101"/>
      <c r="U127" s="148"/>
      <c r="V127" s="101"/>
      <c r="W127" s="148"/>
      <c r="X127" s="148"/>
      <c r="Y127" s="101"/>
      <c r="Z127" s="148"/>
      <c r="AA127" s="101"/>
      <c r="AB127" s="148"/>
      <c r="AC127" s="101"/>
      <c r="AD127" s="101"/>
      <c r="AE127" s="101"/>
      <c r="AF127" s="101"/>
      <c r="AG127" s="66">
        <f t="shared" si="8"/>
        <v>0</v>
      </c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7"/>
        <v>Tina</v>
      </c>
      <c r="AJ127" s="91"/>
    </row>
    <row r="128" spans="1:36" ht="18" customHeight="1">
      <c r="A128" s="101" t="s">
        <v>58</v>
      </c>
      <c r="B128" s="115" t="s">
        <v>140</v>
      </c>
      <c r="C128" s="101"/>
      <c r="D128" s="137"/>
      <c r="E128" s="148"/>
      <c r="F128" s="101"/>
      <c r="G128" s="148"/>
      <c r="H128" s="101">
        <v>1</v>
      </c>
      <c r="I128" s="101"/>
      <c r="J128" s="148"/>
      <c r="K128" s="148"/>
      <c r="L128" s="148"/>
      <c r="M128" s="101"/>
      <c r="N128" s="148"/>
      <c r="O128" s="101"/>
      <c r="P128" s="148"/>
      <c r="Q128" s="148"/>
      <c r="R128" s="101"/>
      <c r="S128" s="148"/>
      <c r="T128" s="101"/>
      <c r="U128" s="148"/>
      <c r="V128" s="101"/>
      <c r="W128" s="148"/>
      <c r="X128" s="148"/>
      <c r="Y128" s="101"/>
      <c r="Z128" s="148"/>
      <c r="AA128" s="101"/>
      <c r="AB128" s="148"/>
      <c r="AC128" s="101"/>
      <c r="AD128" s="101"/>
      <c r="AE128" s="101"/>
      <c r="AF128" s="101"/>
      <c r="AG128" s="66">
        <f t="shared" si="8"/>
        <v>1</v>
      </c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7"/>
        <v>芷琦</v>
      </c>
      <c r="AJ128" s="91"/>
    </row>
    <row r="129" spans="1:36" ht="18" customHeight="1">
      <c r="A129" s="101" t="s">
        <v>58</v>
      </c>
      <c r="B129" s="115" t="s">
        <v>106</v>
      </c>
      <c r="C129" s="101">
        <v>1</v>
      </c>
      <c r="D129" s="137"/>
      <c r="E129" s="148"/>
      <c r="F129" s="101"/>
      <c r="G129" s="148"/>
      <c r="H129" s="101"/>
      <c r="I129" s="101"/>
      <c r="J129" s="148"/>
      <c r="K129" s="148"/>
      <c r="L129" s="148"/>
      <c r="M129" s="101"/>
      <c r="N129" s="148"/>
      <c r="O129" s="101"/>
      <c r="P129" s="148"/>
      <c r="Q129" s="148"/>
      <c r="R129" s="101"/>
      <c r="S129" s="148"/>
      <c r="T129" s="101"/>
      <c r="U129" s="148"/>
      <c r="V129" s="101"/>
      <c r="W129" s="148"/>
      <c r="X129" s="148"/>
      <c r="Y129" s="101"/>
      <c r="Z129" s="148"/>
      <c r="AA129" s="101"/>
      <c r="AB129" s="148"/>
      <c r="AC129" s="101"/>
      <c r="AD129" s="101"/>
      <c r="AE129" s="101"/>
      <c r="AF129" s="101"/>
      <c r="AG129" s="66">
        <f t="shared" si="8"/>
        <v>1</v>
      </c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7"/>
        <v>Nina</v>
      </c>
      <c r="AJ129" s="91"/>
    </row>
    <row r="130" spans="1:36" ht="18" customHeight="1">
      <c r="A130" s="101" t="s">
        <v>58</v>
      </c>
      <c r="B130" s="102" t="s">
        <v>141</v>
      </c>
      <c r="C130" s="101"/>
      <c r="D130" s="137"/>
      <c r="E130" s="148"/>
      <c r="F130" s="101"/>
      <c r="G130" s="148"/>
      <c r="H130" s="101"/>
      <c r="I130" s="101"/>
      <c r="J130" s="148"/>
      <c r="K130" s="148"/>
      <c r="L130" s="148"/>
      <c r="M130" s="101"/>
      <c r="N130" s="148"/>
      <c r="O130" s="101"/>
      <c r="P130" s="148"/>
      <c r="Q130" s="148"/>
      <c r="R130" s="101"/>
      <c r="S130" s="148"/>
      <c r="T130" s="101"/>
      <c r="U130" s="148"/>
      <c r="V130" s="101"/>
      <c r="W130" s="148"/>
      <c r="X130" s="148"/>
      <c r="Y130" s="101"/>
      <c r="Z130" s="148"/>
      <c r="AA130" s="101"/>
      <c r="AB130" s="148"/>
      <c r="AC130" s="101"/>
      <c r="AD130" s="101"/>
      <c r="AE130" s="101"/>
      <c r="AF130" s="101"/>
      <c r="AG130" s="66">
        <f t="shared" si="8"/>
        <v>0</v>
      </c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7"/>
        <v>Cindy</v>
      </c>
      <c r="AJ130" s="91"/>
    </row>
    <row r="131" spans="1:36" ht="18" customHeight="1">
      <c r="A131" s="101" t="s">
        <v>58</v>
      </c>
      <c r="B131" s="102" t="s">
        <v>142</v>
      </c>
      <c r="C131" s="101"/>
      <c r="D131" s="137"/>
      <c r="E131" s="148"/>
      <c r="F131" s="101"/>
      <c r="G131" s="148"/>
      <c r="H131" s="101"/>
      <c r="I131" s="101"/>
      <c r="J131" s="148"/>
      <c r="K131" s="148"/>
      <c r="L131" s="148"/>
      <c r="M131" s="101"/>
      <c r="N131" s="148"/>
      <c r="O131" s="101"/>
      <c r="P131" s="148"/>
      <c r="Q131" s="148"/>
      <c r="R131" s="101"/>
      <c r="S131" s="148"/>
      <c r="T131" s="101"/>
      <c r="U131" s="148"/>
      <c r="V131" s="101"/>
      <c r="W131" s="148"/>
      <c r="X131" s="148"/>
      <c r="Y131" s="101"/>
      <c r="Z131" s="148"/>
      <c r="AA131" s="101"/>
      <c r="AB131" s="148"/>
      <c r="AC131" s="101"/>
      <c r="AD131" s="101"/>
      <c r="AE131" s="101"/>
      <c r="AF131" s="101"/>
      <c r="AG131" s="66">
        <f t="shared" si="8"/>
        <v>0</v>
      </c>
      <c r="AH131" s="87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88" t="str">
        <f t="shared" si="7"/>
        <v>如靜</v>
      </c>
      <c r="AJ131" s="91"/>
    </row>
    <row r="132" spans="1:36" ht="18" customHeight="1">
      <c r="A132" s="101" t="s">
        <v>58</v>
      </c>
      <c r="B132" s="102" t="s">
        <v>143</v>
      </c>
      <c r="C132" s="101"/>
      <c r="D132" s="137"/>
      <c r="E132" s="148"/>
      <c r="F132" s="101"/>
      <c r="G132" s="148"/>
      <c r="H132" s="101"/>
      <c r="I132" s="101"/>
      <c r="J132" s="148"/>
      <c r="K132" s="148"/>
      <c r="L132" s="148"/>
      <c r="M132" s="101"/>
      <c r="N132" s="148"/>
      <c r="O132" s="101"/>
      <c r="P132" s="148"/>
      <c r="Q132" s="148"/>
      <c r="R132" s="101"/>
      <c r="S132" s="148"/>
      <c r="T132" s="101"/>
      <c r="U132" s="148"/>
      <c r="V132" s="101"/>
      <c r="W132" s="148"/>
      <c r="X132" s="148"/>
      <c r="Y132" s="101"/>
      <c r="Z132" s="148"/>
      <c r="AA132" s="101"/>
      <c r="AB132" s="148"/>
      <c r="AC132" s="101"/>
      <c r="AD132" s="101"/>
      <c r="AE132" s="101"/>
      <c r="AF132" s="101"/>
      <c r="AG132" s="66">
        <f t="shared" ref="AG132:AG163" si="9">COUNTA(C132:AF132)</f>
        <v>0</v>
      </c>
      <c r="AH132" s="87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88" t="str">
        <f t="shared" si="7"/>
        <v>毓玫</v>
      </c>
      <c r="AJ132" s="91"/>
    </row>
    <row r="133" spans="1:36" ht="18" customHeight="1">
      <c r="A133" s="101" t="s">
        <v>58</v>
      </c>
      <c r="B133" s="102" t="s">
        <v>144</v>
      </c>
      <c r="C133" s="101"/>
      <c r="D133" s="137"/>
      <c r="E133" s="148"/>
      <c r="F133" s="101"/>
      <c r="G133" s="148"/>
      <c r="H133" s="101"/>
      <c r="I133" s="101"/>
      <c r="J133" s="148"/>
      <c r="K133" s="148"/>
      <c r="L133" s="148"/>
      <c r="M133" s="101"/>
      <c r="N133" s="148"/>
      <c r="O133" s="101"/>
      <c r="P133" s="148"/>
      <c r="Q133" s="148"/>
      <c r="R133" s="101"/>
      <c r="S133" s="148"/>
      <c r="T133" s="101"/>
      <c r="U133" s="148"/>
      <c r="V133" s="101"/>
      <c r="W133" s="148"/>
      <c r="X133" s="148"/>
      <c r="Y133" s="101"/>
      <c r="Z133" s="148"/>
      <c r="AA133" s="101"/>
      <c r="AB133" s="148"/>
      <c r="AC133" s="101"/>
      <c r="AD133" s="101"/>
      <c r="AE133" s="101"/>
      <c r="AF133" s="101"/>
      <c r="AG133" s="66">
        <f t="shared" si="9"/>
        <v>0</v>
      </c>
      <c r="AH133" s="87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88" t="str">
        <f t="shared" si="7"/>
        <v>美枝</v>
      </c>
      <c r="AJ133" s="91"/>
    </row>
    <row r="134" spans="1:36" ht="18" customHeight="1">
      <c r="A134" s="101" t="s">
        <v>58</v>
      </c>
      <c r="B134" s="102" t="s">
        <v>145</v>
      </c>
      <c r="C134" s="101"/>
      <c r="D134" s="137"/>
      <c r="E134" s="148"/>
      <c r="F134" s="101"/>
      <c r="G134" s="148"/>
      <c r="H134" s="101"/>
      <c r="I134" s="101"/>
      <c r="J134" s="148"/>
      <c r="K134" s="148"/>
      <c r="L134" s="148"/>
      <c r="M134" s="101"/>
      <c r="N134" s="148"/>
      <c r="O134" s="101"/>
      <c r="P134" s="148"/>
      <c r="Q134" s="148"/>
      <c r="R134" s="101"/>
      <c r="S134" s="148"/>
      <c r="T134" s="101"/>
      <c r="U134" s="148"/>
      <c r="V134" s="101"/>
      <c r="W134" s="148"/>
      <c r="X134" s="148"/>
      <c r="Y134" s="101"/>
      <c r="Z134" s="148"/>
      <c r="AA134" s="101"/>
      <c r="AB134" s="148"/>
      <c r="AC134" s="101"/>
      <c r="AD134" s="101"/>
      <c r="AE134" s="101"/>
      <c r="AF134" s="101"/>
      <c r="AG134" s="66">
        <f t="shared" si="9"/>
        <v>0</v>
      </c>
      <c r="AH134" s="87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88" t="str">
        <f t="shared" si="7"/>
        <v>魯魯咪</v>
      </c>
      <c r="AJ134" s="91"/>
    </row>
    <row r="135" spans="1:36" ht="18" customHeight="1">
      <c r="A135" s="120" t="s">
        <v>58</v>
      </c>
      <c r="B135" s="121" t="s">
        <v>41</v>
      </c>
      <c r="C135" s="120"/>
      <c r="D135" s="143"/>
      <c r="E135" s="148"/>
      <c r="F135" s="120"/>
      <c r="G135" s="148"/>
      <c r="H135" s="120"/>
      <c r="I135" s="120"/>
      <c r="J135" s="148"/>
      <c r="K135" s="148"/>
      <c r="L135" s="148"/>
      <c r="M135" s="120"/>
      <c r="N135" s="148"/>
      <c r="O135" s="120"/>
      <c r="P135" s="148"/>
      <c r="Q135" s="148"/>
      <c r="R135" s="120"/>
      <c r="S135" s="148"/>
      <c r="T135" s="120"/>
      <c r="U135" s="148"/>
      <c r="V135" s="120"/>
      <c r="W135" s="148"/>
      <c r="X135" s="148"/>
      <c r="Y135" s="120"/>
      <c r="Z135" s="148"/>
      <c r="AA135" s="120"/>
      <c r="AB135" s="148"/>
      <c r="AC135" s="120"/>
      <c r="AD135" s="120"/>
      <c r="AE135" s="120"/>
      <c r="AF135" s="120"/>
      <c r="AG135" s="66">
        <f t="shared" si="9"/>
        <v>0</v>
      </c>
      <c r="AH135" s="108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109" t="str">
        <f t="shared" si="7"/>
        <v>軟軟</v>
      </c>
      <c r="AJ135" s="110"/>
    </row>
    <row r="136" spans="1:36" ht="18" customHeight="1">
      <c r="A136" s="120" t="s">
        <v>58</v>
      </c>
      <c r="B136" s="121" t="s">
        <v>42</v>
      </c>
      <c r="C136" s="120">
        <v>1</v>
      </c>
      <c r="D136" s="143"/>
      <c r="E136" s="148"/>
      <c r="F136" s="120">
        <v>1</v>
      </c>
      <c r="G136" s="148"/>
      <c r="H136" s="120">
        <v>1</v>
      </c>
      <c r="I136" s="120">
        <v>1</v>
      </c>
      <c r="J136" s="148"/>
      <c r="K136" s="148"/>
      <c r="L136" s="148"/>
      <c r="M136" s="120">
        <v>1</v>
      </c>
      <c r="N136" s="148"/>
      <c r="O136" s="120">
        <v>1</v>
      </c>
      <c r="P136" s="148"/>
      <c r="Q136" s="148"/>
      <c r="R136" s="120"/>
      <c r="S136" s="148"/>
      <c r="T136" s="120">
        <v>1</v>
      </c>
      <c r="U136" s="148"/>
      <c r="V136" s="120">
        <v>1</v>
      </c>
      <c r="W136" s="148"/>
      <c r="X136" s="148"/>
      <c r="Y136" s="120"/>
      <c r="Z136" s="148"/>
      <c r="AA136" s="120"/>
      <c r="AB136" s="148"/>
      <c r="AC136" s="120"/>
      <c r="AD136" s="120"/>
      <c r="AE136" s="120"/>
      <c r="AF136" s="120"/>
      <c r="AG136" s="66">
        <f t="shared" si="9"/>
        <v>8</v>
      </c>
      <c r="AH136" s="108" t="e">
        <f ca="1">IF(A136="O", (VALUE(_xludf.IFS(AG136=0,"0",AG136=1,"150",AG136=2,"300",AG136=3,"450",AG136=4,"600",AG136=5,"750",AG136&gt;=6,"800"))),(VALUE(_xludf.IFS(AG136=0,"0",AG136=1,"150",AG136=2,"300",AG136=3,"450",AG136=4,"600",AG136=5,"750",AG136=6,"900",AG136&gt;=7,"1,000"))))</f>
        <v>#NAME?</v>
      </c>
      <c r="AI136" s="109" t="str">
        <f t="shared" si="7"/>
        <v>屎蛋</v>
      </c>
      <c r="AJ136" s="110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36">
    <cfRule type="expression" dxfId="10" priority="1">
      <formula>COUNTIF($B:$B,$B2)&gt;1</formula>
    </cfRule>
  </conditionalFormatting>
  <dataValidations count="1">
    <dataValidation type="list" allowBlank="1" showDropDown="1" showErrorMessage="1" sqref="C1:AF1" xr:uid="{00000000-0002-0000-18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A9999"/>
    <outlinePr summaryBelow="0" summaryRight="0"/>
    <pageSetUpPr fitToPage="1"/>
  </sheetPr>
  <dimension ref="A1:AJ14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/>
      <c r="D1" s="126"/>
      <c r="E1" s="126"/>
      <c r="F1" s="51"/>
      <c r="G1" s="126"/>
      <c r="H1" s="51"/>
      <c r="I1" s="126"/>
      <c r="J1" s="126"/>
      <c r="K1" s="126"/>
      <c r="L1" s="126"/>
      <c r="M1" s="51"/>
      <c r="N1" s="126"/>
      <c r="O1" s="51"/>
      <c r="P1" s="126"/>
      <c r="Q1" s="126"/>
      <c r="R1" s="126"/>
      <c r="S1" s="126"/>
      <c r="T1" s="51"/>
      <c r="U1" s="126"/>
      <c r="V1" s="51"/>
      <c r="W1" s="126"/>
      <c r="X1" s="126"/>
      <c r="Y1" s="126"/>
      <c r="Z1" s="126"/>
      <c r="AA1" s="51"/>
      <c r="AB1" s="126"/>
      <c r="AC1" s="126"/>
      <c r="AD1" s="126"/>
      <c r="AE1" s="126"/>
      <c r="AF1" s="126"/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45809</v>
      </c>
      <c r="D2" s="55">
        <v>45810</v>
      </c>
      <c r="E2" s="55">
        <v>45811</v>
      </c>
      <c r="F2" s="55">
        <v>45812</v>
      </c>
      <c r="G2" s="55">
        <v>45813</v>
      </c>
      <c r="H2" s="55">
        <v>45814</v>
      </c>
      <c r="I2" s="55">
        <v>45815</v>
      </c>
      <c r="J2" s="55">
        <v>45816</v>
      </c>
      <c r="K2" s="55">
        <v>45817</v>
      </c>
      <c r="L2" s="55">
        <v>45818</v>
      </c>
      <c r="M2" s="55">
        <v>45819</v>
      </c>
      <c r="N2" s="55">
        <v>45820</v>
      </c>
      <c r="O2" s="55">
        <v>45821</v>
      </c>
      <c r="P2" s="55">
        <v>45822</v>
      </c>
      <c r="Q2" s="55">
        <v>45823</v>
      </c>
      <c r="R2" s="55">
        <v>45824</v>
      </c>
      <c r="S2" s="55">
        <v>45825</v>
      </c>
      <c r="T2" s="55">
        <v>45826</v>
      </c>
      <c r="U2" s="55">
        <v>45827</v>
      </c>
      <c r="V2" s="55">
        <v>45828</v>
      </c>
      <c r="W2" s="55">
        <v>45829</v>
      </c>
      <c r="X2" s="55">
        <v>45830</v>
      </c>
      <c r="Y2" s="55">
        <v>45831</v>
      </c>
      <c r="Z2" s="55">
        <v>45832</v>
      </c>
      <c r="AA2" s="55">
        <v>45833</v>
      </c>
      <c r="AB2" s="55">
        <v>45834</v>
      </c>
      <c r="AC2" s="55">
        <v>45835</v>
      </c>
      <c r="AD2" s="55">
        <v>45836</v>
      </c>
      <c r="AE2" s="55">
        <v>45837</v>
      </c>
      <c r="AF2" s="55">
        <v>45838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7</v>
      </c>
      <c r="D3" s="152">
        <f t="shared" si="0"/>
        <v>1</v>
      </c>
      <c r="E3" s="126">
        <f t="shared" si="0"/>
        <v>2</v>
      </c>
      <c r="F3" s="51">
        <f t="shared" si="0"/>
        <v>3</v>
      </c>
      <c r="G3" s="126">
        <f t="shared" si="0"/>
        <v>4</v>
      </c>
      <c r="H3" s="51">
        <f t="shared" si="0"/>
        <v>5</v>
      </c>
      <c r="I3" s="126">
        <f t="shared" si="0"/>
        <v>6</v>
      </c>
      <c r="J3" s="126">
        <f t="shared" si="0"/>
        <v>7</v>
      </c>
      <c r="K3" s="126">
        <f t="shared" si="0"/>
        <v>1</v>
      </c>
      <c r="L3" s="126">
        <f t="shared" si="0"/>
        <v>2</v>
      </c>
      <c r="M3" s="51">
        <f t="shared" si="0"/>
        <v>3</v>
      </c>
      <c r="N3" s="126">
        <f t="shared" si="0"/>
        <v>4</v>
      </c>
      <c r="O3" s="51">
        <f t="shared" si="0"/>
        <v>5</v>
      </c>
      <c r="P3" s="126">
        <f t="shared" si="0"/>
        <v>6</v>
      </c>
      <c r="Q3" s="126">
        <f t="shared" si="0"/>
        <v>7</v>
      </c>
      <c r="R3" s="126">
        <f t="shared" si="0"/>
        <v>1</v>
      </c>
      <c r="S3" s="126">
        <f t="shared" si="0"/>
        <v>2</v>
      </c>
      <c r="T3" s="51">
        <f t="shared" si="0"/>
        <v>3</v>
      </c>
      <c r="U3" s="126">
        <f t="shared" si="0"/>
        <v>4</v>
      </c>
      <c r="V3" s="51">
        <f t="shared" si="0"/>
        <v>5</v>
      </c>
      <c r="W3" s="126">
        <f t="shared" si="0"/>
        <v>6</v>
      </c>
      <c r="X3" s="126">
        <f t="shared" si="0"/>
        <v>7</v>
      </c>
      <c r="Y3" s="126">
        <f t="shared" si="0"/>
        <v>1</v>
      </c>
      <c r="Z3" s="126">
        <f t="shared" si="0"/>
        <v>2</v>
      </c>
      <c r="AA3" s="51">
        <f t="shared" si="0"/>
        <v>3</v>
      </c>
      <c r="AB3" s="126">
        <f t="shared" si="0"/>
        <v>4</v>
      </c>
      <c r="AC3" s="126">
        <f t="shared" si="0"/>
        <v>5</v>
      </c>
      <c r="AD3" s="126">
        <f t="shared" si="0"/>
        <v>6</v>
      </c>
      <c r="AE3" s="126">
        <f t="shared" si="0"/>
        <v>7</v>
      </c>
      <c r="AF3" s="126">
        <f t="shared" si="0"/>
        <v>1</v>
      </c>
      <c r="AG3" s="283"/>
      <c r="AH3" s="278"/>
      <c r="AI3" s="273"/>
      <c r="AJ3" s="165">
        <f>SUM(AH4:AH145)</f>
        <v>0</v>
      </c>
    </row>
    <row r="4" spans="1:36" ht="18" customHeight="1">
      <c r="A4" s="92" t="s">
        <v>174</v>
      </c>
      <c r="B4" s="93" t="s">
        <v>10</v>
      </c>
      <c r="C4" s="149"/>
      <c r="D4" s="150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J4" s="70"/>
    </row>
    <row r="5" spans="1:36" ht="18" customHeight="1">
      <c r="A5" s="95" t="s">
        <v>174</v>
      </c>
      <c r="B5" s="122" t="s">
        <v>11</v>
      </c>
      <c r="C5" s="151"/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J5" s="70"/>
    </row>
    <row r="6" spans="1:36" ht="18" customHeight="1">
      <c r="A6" s="95" t="s">
        <v>174</v>
      </c>
      <c r="B6" s="122" t="s">
        <v>14</v>
      </c>
      <c r="C6" s="151"/>
      <c r="D6" s="150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J6" s="70"/>
    </row>
    <row r="7" spans="1:36" ht="18" customHeight="1">
      <c r="A7" s="95" t="s">
        <v>174</v>
      </c>
      <c r="B7" s="96" t="s">
        <v>15</v>
      </c>
      <c r="C7" s="151"/>
      <c r="D7" s="150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J7" s="70"/>
    </row>
    <row r="8" spans="1:36" ht="18" customHeight="1">
      <c r="A8" s="95" t="s">
        <v>174</v>
      </c>
      <c r="B8" s="96" t="s">
        <v>16</v>
      </c>
      <c r="C8" s="151"/>
      <c r="D8" s="1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J8" s="70"/>
    </row>
    <row r="9" spans="1:36" ht="18" customHeight="1">
      <c r="A9" s="95" t="s">
        <v>174</v>
      </c>
      <c r="B9" s="96" t="s">
        <v>17</v>
      </c>
      <c r="C9" s="151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J9" s="70"/>
    </row>
    <row r="10" spans="1:36" ht="18" customHeight="1">
      <c r="A10" s="95" t="s">
        <v>174</v>
      </c>
      <c r="B10" s="122" t="s">
        <v>13</v>
      </c>
      <c r="C10" s="151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J10" s="70"/>
    </row>
    <row r="11" spans="1:36" ht="18" customHeight="1">
      <c r="A11" s="95" t="s">
        <v>168</v>
      </c>
      <c r="B11" s="96" t="s">
        <v>18</v>
      </c>
      <c r="C11" s="151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J11" s="70"/>
    </row>
    <row r="12" spans="1:36" ht="18" customHeight="1">
      <c r="A12" s="95" t="s">
        <v>174</v>
      </c>
      <c r="B12" s="122" t="s">
        <v>19</v>
      </c>
      <c r="C12" s="151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J12" s="70"/>
    </row>
    <row r="13" spans="1:36" ht="18" customHeight="1">
      <c r="A13" s="95" t="s">
        <v>168</v>
      </c>
      <c r="B13" s="96" t="s">
        <v>61</v>
      </c>
      <c r="C13" s="151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J13" s="70"/>
    </row>
    <row r="14" spans="1:36" ht="18" customHeight="1">
      <c r="A14" s="95" t="s">
        <v>174</v>
      </c>
      <c r="B14" s="96" t="s">
        <v>175</v>
      </c>
      <c r="C14" s="151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J14" s="70"/>
    </row>
    <row r="15" spans="1:36" ht="18" customHeight="1">
      <c r="A15" s="95" t="s">
        <v>174</v>
      </c>
      <c r="B15" s="96" t="s">
        <v>20</v>
      </c>
      <c r="C15" s="151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J15" s="70"/>
    </row>
    <row r="16" spans="1:36" ht="18" customHeight="1">
      <c r="A16" s="95" t="s">
        <v>174</v>
      </c>
      <c r="B16" s="96" t="s">
        <v>21</v>
      </c>
      <c r="C16" s="151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J16" s="70"/>
    </row>
    <row r="17" spans="1:36" ht="18" customHeight="1">
      <c r="A17" s="95" t="s">
        <v>174</v>
      </c>
      <c r="B17" s="96" t="s">
        <v>22</v>
      </c>
      <c r="C17" s="151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J17" s="70"/>
    </row>
    <row r="18" spans="1:36" ht="18" customHeight="1">
      <c r="A18" s="99" t="s">
        <v>174</v>
      </c>
      <c r="B18" s="100" t="s">
        <v>89</v>
      </c>
      <c r="C18" s="99"/>
      <c r="D18" s="132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J18" s="80"/>
    </row>
    <row r="19" spans="1:36" ht="18" customHeight="1">
      <c r="A19" s="99" t="s">
        <v>174</v>
      </c>
      <c r="B19" s="100" t="s">
        <v>90</v>
      </c>
      <c r="C19" s="99"/>
      <c r="D19" s="13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J19" s="80"/>
    </row>
    <row r="20" spans="1:36" ht="18" customHeight="1">
      <c r="A20" s="99" t="s">
        <v>174</v>
      </c>
      <c r="B20" s="100" t="s">
        <v>91</v>
      </c>
      <c r="C20" s="99"/>
      <c r="D20" s="132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J20" s="80"/>
    </row>
    <row r="21" spans="1:36" ht="18" customHeight="1">
      <c r="A21" s="99" t="s">
        <v>174</v>
      </c>
      <c r="B21" s="100" t="s">
        <v>92</v>
      </c>
      <c r="C21" s="99"/>
      <c r="D21" s="132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J21" s="80"/>
    </row>
    <row r="22" spans="1:36" ht="18" customHeight="1">
      <c r="A22" s="99" t="s">
        <v>174</v>
      </c>
      <c r="B22" s="100" t="s">
        <v>93</v>
      </c>
      <c r="C22" s="99"/>
      <c r="D22" s="132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J22" s="81"/>
    </row>
    <row r="23" spans="1:36" ht="18" customHeight="1">
      <c r="A23" s="99" t="s">
        <v>174</v>
      </c>
      <c r="B23" s="100" t="s">
        <v>149</v>
      </c>
      <c r="C23" s="99"/>
      <c r="D23" s="132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J23" s="82"/>
    </row>
    <row r="24" spans="1:36" ht="18" customHeight="1">
      <c r="A24" s="99" t="s">
        <v>174</v>
      </c>
      <c r="B24" s="100" t="s">
        <v>150</v>
      </c>
      <c r="C24" s="99"/>
      <c r="D24" s="132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J24" s="80"/>
    </row>
    <row r="25" spans="1:36" ht="18" customHeight="1">
      <c r="A25" s="99" t="s">
        <v>174</v>
      </c>
      <c r="B25" s="100" t="s">
        <v>113</v>
      </c>
      <c r="C25" s="99"/>
      <c r="D25" s="132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J25" s="82"/>
    </row>
    <row r="26" spans="1:36" ht="18" customHeight="1">
      <c r="A26" s="99" t="s">
        <v>174</v>
      </c>
      <c r="B26" s="100" t="s">
        <v>94</v>
      </c>
      <c r="C26" s="99"/>
      <c r="D26" s="132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J26" s="80"/>
    </row>
    <row r="27" spans="1:36" ht="18" customHeight="1">
      <c r="A27" s="99" t="s">
        <v>174</v>
      </c>
      <c r="B27" s="100" t="s">
        <v>95</v>
      </c>
      <c r="C27" s="99"/>
      <c r="D27" s="132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J28" s="81"/>
    </row>
    <row r="29" spans="1:36" ht="18" customHeight="1">
      <c r="A29" s="99" t="s">
        <v>168</v>
      </c>
      <c r="B29" s="100" t="s">
        <v>147</v>
      </c>
      <c r="C29" s="99"/>
      <c r="D29" s="132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J29" s="80"/>
    </row>
    <row r="30" spans="1:36" ht="18" customHeight="1">
      <c r="A30" s="99" t="s">
        <v>174</v>
      </c>
      <c r="B30" s="100" t="s">
        <v>148</v>
      </c>
      <c r="C30" s="99"/>
      <c r="D30" s="132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J30" s="82"/>
    </row>
    <row r="31" spans="1:36" ht="18" customHeight="1">
      <c r="A31" s="101" t="s">
        <v>174</v>
      </c>
      <c r="B31" s="102" t="s">
        <v>103</v>
      </c>
      <c r="C31" s="101"/>
      <c r="D31" s="137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J31" s="90"/>
    </row>
    <row r="32" spans="1:36" ht="18" customHeight="1">
      <c r="A32" s="101" t="s">
        <v>174</v>
      </c>
      <c r="B32" s="102" t="s">
        <v>104</v>
      </c>
      <c r="C32" s="101"/>
      <c r="D32" s="137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J32" s="90"/>
    </row>
    <row r="33" spans="1:36" ht="18" customHeight="1">
      <c r="A33" s="101" t="s">
        <v>174</v>
      </c>
      <c r="B33" s="102" t="s">
        <v>105</v>
      </c>
      <c r="C33" s="101"/>
      <c r="D33" s="137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J33" s="90"/>
    </row>
    <row r="34" spans="1:36" ht="18" customHeight="1">
      <c r="A34" s="101" t="s">
        <v>174</v>
      </c>
      <c r="B34" s="102" t="s">
        <v>116</v>
      </c>
      <c r="C34" s="101"/>
      <c r="D34" s="137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J34" s="89"/>
    </row>
    <row r="35" spans="1:36" ht="18" customHeight="1">
      <c r="A35" s="101" t="s">
        <v>168</v>
      </c>
      <c r="B35" s="102" t="s">
        <v>117</v>
      </c>
      <c r="C35" s="101"/>
      <c r="D35" s="137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J35" s="89"/>
    </row>
    <row r="36" spans="1:36" ht="18" customHeight="1">
      <c r="A36" s="101" t="s">
        <v>168</v>
      </c>
      <c r="B36" s="102" t="s">
        <v>118</v>
      </c>
      <c r="C36" s="101"/>
      <c r="D36" s="137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J36" s="89"/>
    </row>
    <row r="37" spans="1:36" ht="18" customHeight="1">
      <c r="A37" s="101" t="s">
        <v>168</v>
      </c>
      <c r="B37" s="102" t="s">
        <v>119</v>
      </c>
      <c r="C37" s="101"/>
      <c r="D37" s="137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J37" s="90"/>
    </row>
    <row r="38" spans="1:36" ht="18" customHeight="1">
      <c r="A38" s="101" t="s">
        <v>168</v>
      </c>
      <c r="B38" s="102" t="s">
        <v>120</v>
      </c>
      <c r="C38" s="101"/>
      <c r="D38" s="137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J38" s="90"/>
    </row>
    <row r="39" spans="1:36" ht="18" customHeight="1">
      <c r="A39" s="101" t="s">
        <v>174</v>
      </c>
      <c r="B39" s="102" t="s">
        <v>121</v>
      </c>
      <c r="C39" s="101"/>
      <c r="D39" s="137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J39" s="90"/>
    </row>
    <row r="40" spans="1:36" ht="18" customHeight="1">
      <c r="A40" s="101" t="s">
        <v>168</v>
      </c>
      <c r="B40" s="102" t="s">
        <v>122</v>
      </c>
      <c r="C40" s="101"/>
      <c r="D40" s="137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J41" s="89"/>
    </row>
    <row r="42" spans="1:36" ht="18" customHeight="1">
      <c r="A42" s="95" t="s">
        <v>58</v>
      </c>
      <c r="B42" s="96" t="s">
        <v>23</v>
      </c>
      <c r="C42" s="120"/>
      <c r="D42" s="14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J42" s="73"/>
    </row>
    <row r="43" spans="1:36" ht="18" customHeight="1">
      <c r="A43" s="95" t="s">
        <v>58</v>
      </c>
      <c r="B43" s="96" t="s">
        <v>24</v>
      </c>
      <c r="C43" s="120"/>
      <c r="D43" s="14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J43" s="73"/>
    </row>
    <row r="44" spans="1:36" ht="18" customHeight="1">
      <c r="A44" s="95" t="s">
        <v>58</v>
      </c>
      <c r="B44" s="96" t="s">
        <v>64</v>
      </c>
      <c r="C44" s="120"/>
      <c r="D44" s="14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J44" s="73"/>
    </row>
    <row r="45" spans="1:36" ht="18" customHeight="1">
      <c r="A45" s="95" t="s">
        <v>58</v>
      </c>
      <c r="B45" s="96" t="s">
        <v>178</v>
      </c>
      <c r="C45" s="120"/>
      <c r="D45" s="14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J45" s="73"/>
    </row>
    <row r="46" spans="1:36" ht="18" customHeight="1">
      <c r="A46" s="95" t="s">
        <v>58</v>
      </c>
      <c r="B46" s="96" t="s">
        <v>25</v>
      </c>
      <c r="C46" s="120"/>
      <c r="D46" s="14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J46" s="73"/>
    </row>
    <row r="47" spans="1:36" ht="18" customHeight="1">
      <c r="A47" s="95" t="s">
        <v>58</v>
      </c>
      <c r="B47" s="96" t="s">
        <v>63</v>
      </c>
      <c r="C47" s="120"/>
      <c r="D47" s="14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J47" s="73"/>
    </row>
    <row r="48" spans="1:36" ht="18" customHeight="1">
      <c r="A48" s="95" t="s">
        <v>58</v>
      </c>
      <c r="B48" s="96" t="s">
        <v>62</v>
      </c>
      <c r="C48" s="120"/>
      <c r="D48" s="14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J48" s="73"/>
    </row>
    <row r="49" spans="1:36" ht="18" customHeight="1">
      <c r="A49" s="95" t="s">
        <v>58</v>
      </c>
      <c r="B49" s="96" t="s">
        <v>26</v>
      </c>
      <c r="C49" s="120"/>
      <c r="D49" s="14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J49" s="73"/>
    </row>
    <row r="50" spans="1:36" ht="18" customHeight="1">
      <c r="A50" s="95" t="s">
        <v>58</v>
      </c>
      <c r="B50" s="96" t="s">
        <v>59</v>
      </c>
      <c r="C50" s="120"/>
      <c r="D50" s="14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J50" s="73"/>
    </row>
    <row r="51" spans="1:36" ht="18" customHeight="1">
      <c r="A51" s="95" t="s">
        <v>58</v>
      </c>
      <c r="B51" s="96" t="s">
        <v>27</v>
      </c>
      <c r="C51" s="120"/>
      <c r="D51" s="14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J51" s="73"/>
    </row>
    <row r="52" spans="1:36" ht="18" customHeight="1">
      <c r="A52" s="95" t="s">
        <v>58</v>
      </c>
      <c r="B52" s="96" t="s">
        <v>28</v>
      </c>
      <c r="C52" s="120"/>
      <c r="D52" s="14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J52" s="73"/>
    </row>
    <row r="53" spans="1:36" ht="18" customHeight="1">
      <c r="A53" s="95" t="s">
        <v>58</v>
      </c>
      <c r="B53" s="96" t="s">
        <v>29</v>
      </c>
      <c r="C53" s="120"/>
      <c r="D53" s="14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J53" s="73"/>
    </row>
    <row r="54" spans="1:36" ht="18" customHeight="1">
      <c r="A54" s="95" t="s">
        <v>58</v>
      </c>
      <c r="B54" s="96" t="s">
        <v>65</v>
      </c>
      <c r="C54" s="120"/>
      <c r="D54" s="14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J54" s="73"/>
    </row>
    <row r="55" spans="1:36" ht="18" customHeight="1">
      <c r="A55" s="95" t="s">
        <v>58</v>
      </c>
      <c r="B55" s="96" t="s">
        <v>72</v>
      </c>
      <c r="C55" s="120"/>
      <c r="D55" s="14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J55" s="73"/>
    </row>
    <row r="56" spans="1:36" ht="18" customHeight="1">
      <c r="A56" s="95" t="s">
        <v>58</v>
      </c>
      <c r="B56" s="96" t="s">
        <v>66</v>
      </c>
      <c r="C56" s="120"/>
      <c r="D56" s="14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J56" s="73"/>
    </row>
    <row r="57" spans="1:36" ht="18" customHeight="1">
      <c r="A57" s="95" t="s">
        <v>58</v>
      </c>
      <c r="B57" s="96" t="s">
        <v>68</v>
      </c>
      <c r="C57" s="120"/>
      <c r="D57" s="14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J57" s="73"/>
    </row>
    <row r="58" spans="1:36" ht="18" customHeight="1">
      <c r="A58" s="95" t="s">
        <v>58</v>
      </c>
      <c r="B58" s="96" t="s">
        <v>69</v>
      </c>
      <c r="C58" s="120"/>
      <c r="D58" s="14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J58" s="73"/>
    </row>
    <row r="59" spans="1:36" ht="18" customHeight="1">
      <c r="A59" s="95" t="s">
        <v>58</v>
      </c>
      <c r="B59" s="96" t="s">
        <v>70</v>
      </c>
      <c r="C59" s="120"/>
      <c r="D59" s="14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J59" s="73"/>
    </row>
    <row r="60" spans="1:36" ht="18" customHeight="1">
      <c r="A60" s="95" t="s">
        <v>58</v>
      </c>
      <c r="B60" s="96" t="s">
        <v>71</v>
      </c>
      <c r="C60" s="120"/>
      <c r="D60" s="14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J60" s="73"/>
    </row>
    <row r="61" spans="1:36" ht="18" customHeight="1">
      <c r="A61" s="95" t="s">
        <v>58</v>
      </c>
      <c r="B61" s="96" t="s">
        <v>74</v>
      </c>
      <c r="C61" s="120"/>
      <c r="D61" s="14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J61" s="73"/>
    </row>
    <row r="62" spans="1:36" ht="18" customHeight="1">
      <c r="A62" s="95" t="s">
        <v>58</v>
      </c>
      <c r="B62" s="96" t="s">
        <v>30</v>
      </c>
      <c r="C62" s="120"/>
      <c r="D62" s="14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J62" s="73"/>
    </row>
    <row r="63" spans="1:36" ht="18" customHeight="1">
      <c r="A63" s="95" t="s">
        <v>58</v>
      </c>
      <c r="B63" s="96" t="s">
        <v>31</v>
      </c>
      <c r="C63" s="120"/>
      <c r="D63" s="14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J63" s="73"/>
    </row>
    <row r="64" spans="1:36" ht="18" customHeight="1">
      <c r="A64" s="95" t="s">
        <v>58</v>
      </c>
      <c r="B64" s="96" t="s">
        <v>73</v>
      </c>
      <c r="C64" s="120"/>
      <c r="D64" s="14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J64" s="73"/>
    </row>
    <row r="65" spans="1:36" ht="18" customHeight="1">
      <c r="A65" s="95" t="s">
        <v>58</v>
      </c>
      <c r="B65" s="96" t="s">
        <v>198</v>
      </c>
      <c r="C65" s="120"/>
      <c r="D65" s="14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J65" s="73"/>
    </row>
    <row r="66" spans="1:36" ht="18" customHeight="1">
      <c r="A66" s="95" t="s">
        <v>58</v>
      </c>
      <c r="B66" s="96" t="s">
        <v>67</v>
      </c>
      <c r="C66" s="120"/>
      <c r="D66" s="14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J66" s="73"/>
    </row>
    <row r="67" spans="1:36" ht="18" customHeight="1">
      <c r="A67" s="95" t="s">
        <v>58</v>
      </c>
      <c r="B67" s="96" t="s">
        <v>75</v>
      </c>
      <c r="C67" s="120"/>
      <c r="D67" s="14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J67" s="73"/>
    </row>
    <row r="68" spans="1:36" ht="18" customHeight="1">
      <c r="A68" s="95" t="s">
        <v>58</v>
      </c>
      <c r="B68" s="96" t="s">
        <v>76</v>
      </c>
      <c r="C68" s="120"/>
      <c r="D68" s="14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J68" s="73"/>
    </row>
    <row r="69" spans="1:36" ht="18" customHeight="1">
      <c r="A69" s="95" t="s">
        <v>58</v>
      </c>
      <c r="B69" s="96" t="s">
        <v>77</v>
      </c>
      <c r="C69" s="120"/>
      <c r="D69" s="14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J69" s="73"/>
    </row>
    <row r="70" spans="1:36" ht="18" customHeight="1">
      <c r="A70" s="95" t="s">
        <v>58</v>
      </c>
      <c r="B70" s="96" t="s">
        <v>78</v>
      </c>
      <c r="C70" s="120"/>
      <c r="D70" s="14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J70" s="73"/>
    </row>
    <row r="71" spans="1:36" ht="18" customHeight="1">
      <c r="A71" s="95" t="s">
        <v>58</v>
      </c>
      <c r="B71" s="96" t="s">
        <v>79</v>
      </c>
      <c r="C71" s="120"/>
      <c r="D71" s="14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J71" s="73"/>
    </row>
    <row r="72" spans="1:36" ht="18" customHeight="1">
      <c r="A72" s="95" t="s">
        <v>58</v>
      </c>
      <c r="B72" s="96" t="s">
        <v>80</v>
      </c>
      <c r="C72" s="120"/>
      <c r="D72" s="14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J72" s="73"/>
    </row>
    <row r="73" spans="1:36" ht="18" customHeight="1">
      <c r="A73" s="95" t="s">
        <v>58</v>
      </c>
      <c r="B73" s="96" t="s">
        <v>81</v>
      </c>
      <c r="C73" s="120"/>
      <c r="D73" s="14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J73" s="73"/>
    </row>
    <row r="74" spans="1:36" ht="18" customHeight="1">
      <c r="A74" s="95" t="s">
        <v>58</v>
      </c>
      <c r="B74" s="96" t="s">
        <v>82</v>
      </c>
      <c r="C74" s="120"/>
      <c r="D74" s="14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J74" s="73"/>
    </row>
    <row r="75" spans="1:36" ht="18" customHeight="1">
      <c r="A75" s="95" t="s">
        <v>58</v>
      </c>
      <c r="B75" s="96" t="s">
        <v>83</v>
      </c>
      <c r="C75" s="120"/>
      <c r="D75" s="14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J75" s="73"/>
    </row>
    <row r="76" spans="1:36" ht="18" customHeight="1">
      <c r="A76" s="95" t="s">
        <v>58</v>
      </c>
      <c r="B76" s="96" t="s">
        <v>84</v>
      </c>
      <c r="C76" s="120"/>
      <c r="D76" s="14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J76" s="73"/>
    </row>
    <row r="77" spans="1:36" ht="18" customHeight="1">
      <c r="A77" s="95" t="s">
        <v>58</v>
      </c>
      <c r="B77" s="96" t="s">
        <v>86</v>
      </c>
      <c r="C77" s="120"/>
      <c r="D77" s="14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J77" s="73"/>
    </row>
    <row r="78" spans="1:36" ht="18" customHeight="1">
      <c r="A78" s="95" t="s">
        <v>58</v>
      </c>
      <c r="B78" s="96" t="s">
        <v>32</v>
      </c>
      <c r="C78" s="120"/>
      <c r="D78" s="14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J78" s="73"/>
    </row>
    <row r="79" spans="1:36" ht="18" customHeight="1">
      <c r="A79" s="95" t="s">
        <v>58</v>
      </c>
      <c r="B79" s="96" t="s">
        <v>179</v>
      </c>
      <c r="C79" s="120"/>
      <c r="D79" s="14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J79" s="73"/>
    </row>
    <row r="80" spans="1:36" ht="18" customHeight="1">
      <c r="A80" s="95" t="s">
        <v>58</v>
      </c>
      <c r="B80" s="96" t="s">
        <v>85</v>
      </c>
      <c r="C80" s="120"/>
      <c r="D80" s="14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J80" s="73"/>
    </row>
    <row r="81" spans="1:36" ht="18" customHeight="1">
      <c r="A81" s="95" t="s">
        <v>58</v>
      </c>
      <c r="B81" s="96" t="s">
        <v>33</v>
      </c>
      <c r="C81" s="120"/>
      <c r="D81" s="14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J81" s="73"/>
    </row>
    <row r="82" spans="1:36" ht="18" customHeight="1">
      <c r="A82" s="95" t="s">
        <v>58</v>
      </c>
      <c r="B82" s="96" t="s">
        <v>34</v>
      </c>
      <c r="C82" s="120"/>
      <c r="D82" s="14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J82" s="70"/>
    </row>
    <row r="83" spans="1:36" ht="18" customHeight="1">
      <c r="A83" s="95" t="s">
        <v>58</v>
      </c>
      <c r="B83" s="96" t="s">
        <v>88</v>
      </c>
      <c r="C83" s="120"/>
      <c r="D83" s="14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J83" s="70"/>
    </row>
    <row r="84" spans="1:36" ht="18" customHeight="1">
      <c r="A84" s="95" t="s">
        <v>58</v>
      </c>
      <c r="B84" s="96" t="s">
        <v>35</v>
      </c>
      <c r="C84" s="120"/>
      <c r="D84" s="14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J84" s="70"/>
    </row>
    <row r="85" spans="1:36" ht="18" customHeight="1">
      <c r="A85" s="95" t="s">
        <v>58</v>
      </c>
      <c r="B85" s="96" t="s">
        <v>36</v>
      </c>
      <c r="C85" s="120"/>
      <c r="D85" s="14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J85" s="70"/>
    </row>
    <row r="86" spans="1:36" ht="18" customHeight="1">
      <c r="A86" s="95" t="s">
        <v>58</v>
      </c>
      <c r="B86" s="96" t="s">
        <v>37</v>
      </c>
      <c r="C86" s="120"/>
      <c r="D86" s="14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J86" s="70"/>
    </row>
    <row r="87" spans="1:36" ht="18" customHeight="1">
      <c r="A87" s="95" t="s">
        <v>58</v>
      </c>
      <c r="B87" s="96" t="s">
        <v>87</v>
      </c>
      <c r="C87" s="120"/>
      <c r="D87" s="14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J87" s="70"/>
    </row>
    <row r="88" spans="1:36" ht="18" customHeight="1">
      <c r="A88" s="95" t="s">
        <v>58</v>
      </c>
      <c r="B88" s="96" t="s">
        <v>38</v>
      </c>
      <c r="C88" s="120"/>
      <c r="D88" s="14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J88" s="70"/>
    </row>
    <row r="89" spans="1:36" ht="18" customHeight="1">
      <c r="A89" s="95" t="s">
        <v>58</v>
      </c>
      <c r="B89" s="96" t="s">
        <v>39</v>
      </c>
      <c r="C89" s="120"/>
      <c r="D89" s="14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J89" s="70"/>
    </row>
    <row r="90" spans="1:36" ht="18" customHeight="1">
      <c r="A90" s="95" t="s">
        <v>58</v>
      </c>
      <c r="B90" s="96" t="s">
        <v>223</v>
      </c>
      <c r="C90" s="120"/>
      <c r="D90" s="14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60"/>
      <c r="W90" s="164"/>
      <c r="X90" s="160"/>
      <c r="Y90" s="164"/>
      <c r="Z90" s="160"/>
      <c r="AA90" s="120"/>
      <c r="AB90" s="120"/>
      <c r="AC90" s="120"/>
      <c r="AD90" s="120"/>
      <c r="AE90" s="120"/>
      <c r="AF90" s="120"/>
      <c r="AJ90" s="70"/>
    </row>
    <row r="91" spans="1:36" ht="18" customHeight="1">
      <c r="A91" s="95" t="s">
        <v>58</v>
      </c>
      <c r="B91" s="96" t="s">
        <v>40</v>
      </c>
      <c r="C91" s="120"/>
      <c r="D91" s="14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J91" s="70"/>
    </row>
    <row r="92" spans="1:36" ht="18" customHeight="1">
      <c r="A92" s="99" t="s">
        <v>58</v>
      </c>
      <c r="B92" s="100" t="s">
        <v>151</v>
      </c>
      <c r="C92" s="99"/>
      <c r="D92" s="132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J92" s="82"/>
    </row>
    <row r="93" spans="1:36" ht="18" customHeight="1">
      <c r="A93" s="99" t="s">
        <v>58</v>
      </c>
      <c r="B93" s="100" t="s">
        <v>152</v>
      </c>
      <c r="C93" s="99"/>
      <c r="D93" s="132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J93" s="81"/>
    </row>
    <row r="94" spans="1:36" ht="18" customHeight="1">
      <c r="A94" s="99" t="s">
        <v>58</v>
      </c>
      <c r="B94" s="100" t="s">
        <v>153</v>
      </c>
      <c r="C94" s="99"/>
      <c r="D94" s="132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J94" s="81"/>
    </row>
    <row r="95" spans="1:36" ht="18" customHeight="1">
      <c r="A95" s="99" t="s">
        <v>58</v>
      </c>
      <c r="B95" s="100" t="s">
        <v>96</v>
      </c>
      <c r="C95" s="99"/>
      <c r="D95" s="132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J95" s="81"/>
    </row>
    <row r="96" spans="1:36" ht="18" customHeight="1">
      <c r="A96" s="99" t="s">
        <v>58</v>
      </c>
      <c r="B96" s="100" t="s">
        <v>154</v>
      </c>
      <c r="C96" s="99"/>
      <c r="D96" s="132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J96" s="81"/>
    </row>
    <row r="97" spans="1:36" ht="18" customHeight="1">
      <c r="A97" s="99" t="s">
        <v>58</v>
      </c>
      <c r="B97" s="100" t="s">
        <v>155</v>
      </c>
      <c r="C97" s="99"/>
      <c r="D97" s="132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J97" s="81"/>
    </row>
    <row r="98" spans="1:36" ht="18" customHeight="1">
      <c r="A98" s="99" t="s">
        <v>58</v>
      </c>
      <c r="B98" s="100" t="s">
        <v>156</v>
      </c>
      <c r="C98" s="99"/>
      <c r="D98" s="132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J98" s="81"/>
    </row>
    <row r="99" spans="1:36" ht="18" customHeight="1">
      <c r="A99" s="99" t="s">
        <v>58</v>
      </c>
      <c r="B99" s="100" t="s">
        <v>157</v>
      </c>
      <c r="C99" s="99"/>
      <c r="D99" s="132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J99" s="81"/>
    </row>
    <row r="100" spans="1:36" ht="18" customHeight="1">
      <c r="A100" s="99" t="s">
        <v>58</v>
      </c>
      <c r="B100" s="100" t="s">
        <v>158</v>
      </c>
      <c r="C100" s="99"/>
      <c r="D100" s="132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J100" s="81"/>
    </row>
    <row r="101" spans="1:36" ht="18" customHeight="1">
      <c r="A101" s="99" t="s">
        <v>58</v>
      </c>
      <c r="B101" s="100" t="s">
        <v>159</v>
      </c>
      <c r="C101" s="99"/>
      <c r="D101" s="132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J101" s="81"/>
    </row>
    <row r="102" spans="1:36" ht="18" customHeight="1">
      <c r="A102" s="99" t="s">
        <v>58</v>
      </c>
      <c r="B102" s="100" t="s">
        <v>160</v>
      </c>
      <c r="C102" s="99"/>
      <c r="D102" s="132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J102" s="81"/>
    </row>
    <row r="103" spans="1:36" ht="18" customHeight="1">
      <c r="A103" s="99" t="s">
        <v>58</v>
      </c>
      <c r="B103" s="100" t="s">
        <v>101</v>
      </c>
      <c r="C103" s="99"/>
      <c r="D103" s="132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J103" s="81"/>
    </row>
    <row r="104" spans="1:36" ht="18" customHeight="1">
      <c r="A104" s="99" t="s">
        <v>58</v>
      </c>
      <c r="B104" s="100" t="s">
        <v>161</v>
      </c>
      <c r="C104" s="99"/>
      <c r="D104" s="132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J104" s="81"/>
    </row>
    <row r="105" spans="1:36" ht="18" customHeight="1">
      <c r="A105" s="99" t="s">
        <v>58</v>
      </c>
      <c r="B105" s="100" t="s">
        <v>162</v>
      </c>
      <c r="C105" s="99"/>
      <c r="D105" s="132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J105" s="81"/>
    </row>
    <row r="106" spans="1:36" ht="18" customHeight="1">
      <c r="A106" s="99" t="s">
        <v>58</v>
      </c>
      <c r="B106" s="100" t="s">
        <v>100</v>
      </c>
      <c r="C106" s="99"/>
      <c r="D106" s="132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J106" s="81"/>
    </row>
    <row r="107" spans="1:36" ht="18" customHeight="1">
      <c r="A107" s="99" t="s">
        <v>58</v>
      </c>
      <c r="B107" s="100" t="s">
        <v>163</v>
      </c>
      <c r="C107" s="99"/>
      <c r="D107" s="132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J107" s="81"/>
    </row>
    <row r="108" spans="1:36" ht="18" customHeight="1">
      <c r="A108" s="99" t="s">
        <v>58</v>
      </c>
      <c r="B108" s="100" t="s">
        <v>164</v>
      </c>
      <c r="C108" s="99"/>
      <c r="D108" s="132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J108" s="81"/>
    </row>
    <row r="109" spans="1:36" ht="18" customHeight="1">
      <c r="A109" s="99" t="s">
        <v>58</v>
      </c>
      <c r="B109" s="100" t="s">
        <v>102</v>
      </c>
      <c r="C109" s="99"/>
      <c r="D109" s="132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J109" s="81"/>
    </row>
    <row r="110" spans="1:36" ht="18" customHeight="1">
      <c r="A110" s="99" t="s">
        <v>58</v>
      </c>
      <c r="B110" s="100" t="s">
        <v>165</v>
      </c>
      <c r="C110" s="99"/>
      <c r="D110" s="132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J110" s="81"/>
    </row>
    <row r="111" spans="1:36" ht="18" customHeight="1">
      <c r="A111" s="99" t="s">
        <v>58</v>
      </c>
      <c r="B111" s="100" t="s">
        <v>166</v>
      </c>
      <c r="C111" s="99"/>
      <c r="D111" s="132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J111" s="81"/>
    </row>
    <row r="112" spans="1:36" ht="18" customHeight="1">
      <c r="A112" s="99" t="s">
        <v>58</v>
      </c>
      <c r="B112" s="100" t="s">
        <v>97</v>
      </c>
      <c r="C112" s="99"/>
      <c r="D112" s="132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J112" s="81"/>
    </row>
    <row r="113" spans="1:36" ht="18" customHeight="1">
      <c r="A113" s="99" t="s">
        <v>58</v>
      </c>
      <c r="B113" s="100" t="s">
        <v>98</v>
      </c>
      <c r="C113" s="99"/>
      <c r="D113" s="132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J113" s="81"/>
    </row>
    <row r="114" spans="1:36" ht="18" customHeight="1">
      <c r="A114" s="99" t="s">
        <v>58</v>
      </c>
      <c r="B114" s="100" t="s">
        <v>99</v>
      </c>
      <c r="C114" s="99"/>
      <c r="D114" s="132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J114" s="81"/>
    </row>
    <row r="115" spans="1:36" ht="18" customHeight="1">
      <c r="A115" s="101" t="s">
        <v>58</v>
      </c>
      <c r="B115" s="102" t="s">
        <v>124</v>
      </c>
      <c r="C115" s="101"/>
      <c r="D115" s="137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J115" s="89"/>
    </row>
    <row r="116" spans="1:36" ht="18" customHeight="1">
      <c r="A116" s="101" t="s">
        <v>58</v>
      </c>
      <c r="B116" s="102" t="s">
        <v>125</v>
      </c>
      <c r="C116" s="101"/>
      <c r="D116" s="137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J116" s="89"/>
    </row>
    <row r="117" spans="1:36" ht="18" customHeight="1">
      <c r="A117" s="101" t="s">
        <v>58</v>
      </c>
      <c r="B117" s="102" t="s">
        <v>126</v>
      </c>
      <c r="C117" s="101"/>
      <c r="D117" s="137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J117" s="89"/>
    </row>
    <row r="118" spans="1:36" ht="18" customHeight="1">
      <c r="A118" s="101" t="s">
        <v>58</v>
      </c>
      <c r="B118" s="102" t="s">
        <v>127</v>
      </c>
      <c r="C118" s="101"/>
      <c r="D118" s="137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J118" s="89"/>
    </row>
    <row r="119" spans="1:36" ht="18" customHeight="1">
      <c r="A119" s="101" t="s">
        <v>58</v>
      </c>
      <c r="B119" s="102" t="s">
        <v>128</v>
      </c>
      <c r="C119" s="101"/>
      <c r="D119" s="137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J119" s="89"/>
    </row>
    <row r="120" spans="1:36" ht="18" customHeight="1">
      <c r="A120" s="101" t="s">
        <v>58</v>
      </c>
      <c r="B120" s="102" t="s">
        <v>129</v>
      </c>
      <c r="C120" s="101"/>
      <c r="D120" s="137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J120" s="89"/>
    </row>
    <row r="121" spans="1:36" ht="18" customHeight="1">
      <c r="A121" s="101" t="s">
        <v>58</v>
      </c>
      <c r="B121" s="102" t="s">
        <v>130</v>
      </c>
      <c r="C121" s="101"/>
      <c r="D121" s="137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J121" s="89"/>
    </row>
    <row r="122" spans="1:36" ht="18" customHeight="1">
      <c r="A122" s="101" t="s">
        <v>58</v>
      </c>
      <c r="B122" s="102" t="s">
        <v>131</v>
      </c>
      <c r="C122" s="101"/>
      <c r="D122" s="137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J122" s="89"/>
    </row>
    <row r="123" spans="1:36" ht="18" customHeight="1">
      <c r="A123" s="101" t="s">
        <v>58</v>
      </c>
      <c r="B123" s="102" t="s">
        <v>132</v>
      </c>
      <c r="C123" s="101"/>
      <c r="D123" s="137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J123" s="89"/>
    </row>
    <row r="124" spans="1:36" ht="18" customHeight="1">
      <c r="A124" s="101" t="s">
        <v>58</v>
      </c>
      <c r="B124" s="102" t="s">
        <v>133</v>
      </c>
      <c r="C124" s="101"/>
      <c r="D124" s="137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J124" s="91"/>
    </row>
    <row r="125" spans="1:36" ht="18" customHeight="1">
      <c r="A125" s="101" t="s">
        <v>58</v>
      </c>
      <c r="B125" s="102" t="s">
        <v>134</v>
      </c>
      <c r="C125" s="101"/>
      <c r="D125" s="137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J125" s="91"/>
    </row>
    <row r="126" spans="1:36" ht="18" customHeight="1">
      <c r="A126" s="101" t="s">
        <v>58</v>
      </c>
      <c r="B126" s="102" t="s">
        <v>135</v>
      </c>
      <c r="C126" s="101"/>
      <c r="D126" s="137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J126" s="91"/>
    </row>
    <row r="127" spans="1:36" ht="18" customHeight="1">
      <c r="A127" s="101" t="s">
        <v>58</v>
      </c>
      <c r="B127" s="102" t="s">
        <v>136</v>
      </c>
      <c r="C127" s="101"/>
      <c r="D127" s="137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J127" s="91"/>
    </row>
    <row r="128" spans="1:36" ht="18" customHeight="1">
      <c r="A128" s="101" t="s">
        <v>58</v>
      </c>
      <c r="B128" s="102" t="s">
        <v>137</v>
      </c>
      <c r="C128" s="101"/>
      <c r="D128" s="137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J128" s="91"/>
    </row>
    <row r="129" spans="1:36" ht="18" customHeight="1">
      <c r="A129" s="101" t="s">
        <v>58</v>
      </c>
      <c r="B129" s="102" t="s">
        <v>138</v>
      </c>
      <c r="C129" s="101"/>
      <c r="D129" s="137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J129" s="91"/>
    </row>
    <row r="130" spans="1:36" ht="18" customHeight="1">
      <c r="A130" s="101" t="s">
        <v>58</v>
      </c>
      <c r="B130" s="115" t="s">
        <v>139</v>
      </c>
      <c r="C130" s="101"/>
      <c r="D130" s="137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J130" s="91"/>
    </row>
    <row r="131" spans="1:36" ht="18" customHeight="1">
      <c r="A131" s="101" t="s">
        <v>58</v>
      </c>
      <c r="B131" s="115" t="s">
        <v>140</v>
      </c>
      <c r="C131" s="101"/>
      <c r="D131" s="137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J131" s="91"/>
    </row>
    <row r="132" spans="1:36" ht="18" customHeight="1">
      <c r="A132" s="101" t="s">
        <v>58</v>
      </c>
      <c r="B132" s="115" t="s">
        <v>106</v>
      </c>
      <c r="C132" s="101"/>
      <c r="D132" s="137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J132" s="91"/>
    </row>
    <row r="133" spans="1:36" ht="18" customHeight="1">
      <c r="A133" s="101" t="s">
        <v>58</v>
      </c>
      <c r="B133" s="102" t="s">
        <v>141</v>
      </c>
      <c r="C133" s="101"/>
      <c r="D133" s="137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J133" s="91"/>
    </row>
    <row r="134" spans="1:36" ht="18" customHeight="1">
      <c r="A134" s="101" t="s">
        <v>58</v>
      </c>
      <c r="B134" s="102" t="s">
        <v>142</v>
      </c>
      <c r="C134" s="101"/>
      <c r="D134" s="137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J134" s="91"/>
    </row>
    <row r="135" spans="1:36" ht="18" customHeight="1">
      <c r="A135" s="101" t="s">
        <v>58</v>
      </c>
      <c r="B135" s="102" t="s">
        <v>143</v>
      </c>
      <c r="C135" s="101"/>
      <c r="D135" s="137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J135" s="91"/>
    </row>
    <row r="136" spans="1:36" ht="18" customHeight="1">
      <c r="A136" s="101" t="s">
        <v>58</v>
      </c>
      <c r="B136" s="102" t="s">
        <v>144</v>
      </c>
      <c r="C136" s="101"/>
      <c r="D136" s="137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J136" s="91"/>
    </row>
    <row r="137" spans="1:36" ht="18" customHeight="1">
      <c r="A137" s="101" t="s">
        <v>58</v>
      </c>
      <c r="B137" s="102" t="s">
        <v>145</v>
      </c>
      <c r="C137" s="101"/>
      <c r="D137" s="137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J137" s="91"/>
    </row>
    <row r="138" spans="1:36" ht="18" customHeight="1">
      <c r="A138" s="101"/>
      <c r="B138" s="102" t="s">
        <v>107</v>
      </c>
      <c r="C138" s="101"/>
      <c r="D138" s="137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J138" s="91"/>
    </row>
    <row r="139" spans="1:36" ht="18" customHeight="1">
      <c r="A139" s="120" t="s">
        <v>58</v>
      </c>
      <c r="B139" s="121" t="s">
        <v>41</v>
      </c>
      <c r="C139" s="120"/>
      <c r="D139" s="14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J139" s="110"/>
    </row>
    <row r="140" spans="1:36" ht="18" customHeight="1">
      <c r="A140" s="120" t="s">
        <v>58</v>
      </c>
      <c r="B140" s="121" t="s">
        <v>42</v>
      </c>
      <c r="C140" s="120"/>
      <c r="D140" s="14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J140" s="110"/>
    </row>
    <row r="141" spans="1:36" ht="18" customHeight="1">
      <c r="A141" s="166"/>
      <c r="B141" s="166" t="s">
        <v>226</v>
      </c>
      <c r="C141" s="166"/>
      <c r="D141" s="167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J141" s="110"/>
    </row>
    <row r="142" spans="1:36" ht="18" customHeight="1">
      <c r="A142" s="166"/>
      <c r="B142" s="166" t="s">
        <v>221</v>
      </c>
      <c r="C142" s="166"/>
      <c r="D142" s="167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J142" s="110"/>
    </row>
    <row r="143" spans="1:36" ht="18" customHeight="1">
      <c r="A143" s="166"/>
      <c r="B143" s="166"/>
      <c r="C143" s="166"/>
      <c r="D143" s="167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J143" s="110"/>
    </row>
    <row r="144" spans="1:36" ht="18" customHeight="1">
      <c r="A144" s="166"/>
      <c r="B144" s="166" t="s">
        <v>43</v>
      </c>
      <c r="C144" s="166"/>
      <c r="D144" s="167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J144" s="110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44">
    <cfRule type="expression" dxfId="9" priority="1">
      <formula>COUNTIF($B:$B,$B2)&gt;1</formula>
    </cfRule>
  </conditionalFormatting>
  <dataValidations count="1">
    <dataValidation type="list" allowBlank="1" showDropDown="1" showErrorMessage="1" sqref="C1:AF1" xr:uid="{00000000-0002-0000-19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A9999"/>
    <outlinePr summaryBelow="0" summaryRight="0"/>
    <pageSetUpPr fitToPage="1"/>
  </sheetPr>
  <dimension ref="A1:AJ148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/>
      <c r="D1" s="126"/>
      <c r="E1" s="126"/>
      <c r="F1" s="51"/>
      <c r="G1" s="126"/>
      <c r="H1" s="51"/>
      <c r="I1" s="126"/>
      <c r="J1" s="126"/>
      <c r="K1" s="126"/>
      <c r="L1" s="126"/>
      <c r="M1" s="51"/>
      <c r="N1" s="126"/>
      <c r="O1" s="51"/>
      <c r="P1" s="126"/>
      <c r="Q1" s="126"/>
      <c r="R1" s="126"/>
      <c r="S1" s="126"/>
      <c r="T1" s="51"/>
      <c r="U1" s="126"/>
      <c r="V1" s="51"/>
      <c r="W1" s="126"/>
      <c r="X1" s="126"/>
      <c r="Y1" s="126"/>
      <c r="Z1" s="126"/>
      <c r="AA1" s="51"/>
      <c r="AB1" s="126"/>
      <c r="AC1" s="126"/>
      <c r="AD1" s="126"/>
      <c r="AE1" s="126"/>
      <c r="AF1" s="126"/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45839</v>
      </c>
      <c r="D2" s="55">
        <v>45840</v>
      </c>
      <c r="E2" s="55">
        <v>45841</v>
      </c>
      <c r="F2" s="55">
        <v>45842</v>
      </c>
      <c r="G2" s="55">
        <v>45843</v>
      </c>
      <c r="H2" s="55">
        <v>45844</v>
      </c>
      <c r="I2" s="55">
        <v>45845</v>
      </c>
      <c r="J2" s="55">
        <v>45846</v>
      </c>
      <c r="K2" s="55">
        <v>45847</v>
      </c>
      <c r="L2" s="55">
        <v>45848</v>
      </c>
      <c r="M2" s="55">
        <v>45849</v>
      </c>
      <c r="N2" s="55">
        <v>45850</v>
      </c>
      <c r="O2" s="55">
        <v>45851</v>
      </c>
      <c r="P2" s="55">
        <v>45852</v>
      </c>
      <c r="Q2" s="55">
        <v>45853</v>
      </c>
      <c r="R2" s="55">
        <v>45854</v>
      </c>
      <c r="S2" s="55">
        <v>45855</v>
      </c>
      <c r="T2" s="55">
        <v>45856</v>
      </c>
      <c r="U2" s="55">
        <v>45857</v>
      </c>
      <c r="V2" s="55">
        <v>45858</v>
      </c>
      <c r="W2" s="55">
        <v>45859</v>
      </c>
      <c r="X2" s="55">
        <v>45860</v>
      </c>
      <c r="Y2" s="55">
        <v>45861</v>
      </c>
      <c r="Z2" s="55">
        <v>45862</v>
      </c>
      <c r="AA2" s="55">
        <v>45863</v>
      </c>
      <c r="AB2" s="55">
        <v>45864</v>
      </c>
      <c r="AC2" s="55">
        <v>45865</v>
      </c>
      <c r="AD2" s="55">
        <v>45866</v>
      </c>
      <c r="AE2" s="55">
        <v>45867</v>
      </c>
      <c r="AF2" s="55">
        <v>45868</v>
      </c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2</v>
      </c>
      <c r="D3" s="152">
        <f t="shared" si="0"/>
        <v>3</v>
      </c>
      <c r="E3" s="126">
        <f t="shared" si="0"/>
        <v>4</v>
      </c>
      <c r="F3" s="51">
        <f t="shared" si="0"/>
        <v>5</v>
      </c>
      <c r="G3" s="126">
        <f t="shared" si="0"/>
        <v>6</v>
      </c>
      <c r="H3" s="51">
        <f t="shared" si="0"/>
        <v>7</v>
      </c>
      <c r="I3" s="126">
        <f t="shared" si="0"/>
        <v>1</v>
      </c>
      <c r="J3" s="126">
        <f t="shared" si="0"/>
        <v>2</v>
      </c>
      <c r="K3" s="126">
        <f t="shared" si="0"/>
        <v>3</v>
      </c>
      <c r="L3" s="126">
        <f t="shared" si="0"/>
        <v>4</v>
      </c>
      <c r="M3" s="51">
        <f t="shared" si="0"/>
        <v>5</v>
      </c>
      <c r="N3" s="126">
        <f t="shared" si="0"/>
        <v>6</v>
      </c>
      <c r="O3" s="51">
        <f t="shared" si="0"/>
        <v>7</v>
      </c>
      <c r="P3" s="126">
        <f t="shared" si="0"/>
        <v>1</v>
      </c>
      <c r="Q3" s="126">
        <f t="shared" si="0"/>
        <v>2</v>
      </c>
      <c r="R3" s="126">
        <f t="shared" si="0"/>
        <v>3</v>
      </c>
      <c r="S3" s="126">
        <f t="shared" si="0"/>
        <v>4</v>
      </c>
      <c r="T3" s="51">
        <f t="shared" si="0"/>
        <v>5</v>
      </c>
      <c r="U3" s="126">
        <f t="shared" si="0"/>
        <v>6</v>
      </c>
      <c r="V3" s="51">
        <f t="shared" si="0"/>
        <v>7</v>
      </c>
      <c r="W3" s="126">
        <f t="shared" si="0"/>
        <v>1</v>
      </c>
      <c r="X3" s="126">
        <f t="shared" si="0"/>
        <v>2</v>
      </c>
      <c r="Y3" s="126">
        <f t="shared" si="0"/>
        <v>3</v>
      </c>
      <c r="Z3" s="126">
        <f t="shared" si="0"/>
        <v>4</v>
      </c>
      <c r="AA3" s="51">
        <f t="shared" si="0"/>
        <v>5</v>
      </c>
      <c r="AB3" s="126">
        <f t="shared" si="0"/>
        <v>6</v>
      </c>
      <c r="AC3" s="126">
        <f t="shared" si="0"/>
        <v>7</v>
      </c>
      <c r="AD3" s="126">
        <f t="shared" si="0"/>
        <v>1</v>
      </c>
      <c r="AE3" s="126">
        <f t="shared" si="0"/>
        <v>2</v>
      </c>
      <c r="AF3" s="126">
        <f t="shared" si="0"/>
        <v>3</v>
      </c>
      <c r="AJ3" s="165">
        <f>SUM(AH4:AH149)</f>
        <v>0</v>
      </c>
    </row>
    <row r="4" spans="1:36" ht="18" customHeight="1">
      <c r="A4" s="92" t="s">
        <v>168</v>
      </c>
      <c r="B4" s="93" t="s">
        <v>10</v>
      </c>
      <c r="C4" s="149"/>
      <c r="D4" s="150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J4" s="70"/>
    </row>
    <row r="5" spans="1:36" ht="18" customHeight="1">
      <c r="A5" s="95" t="s">
        <v>174</v>
      </c>
      <c r="B5" s="122" t="s">
        <v>11</v>
      </c>
      <c r="C5" s="151"/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J5" s="70"/>
    </row>
    <row r="6" spans="1:36" ht="18" customHeight="1">
      <c r="A6" s="95" t="s">
        <v>174</v>
      </c>
      <c r="B6" s="122" t="s">
        <v>14</v>
      </c>
      <c r="C6" s="151"/>
      <c r="D6" s="150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J6" s="70"/>
    </row>
    <row r="7" spans="1:36" ht="18" customHeight="1">
      <c r="A7" s="95" t="s">
        <v>174</v>
      </c>
      <c r="B7" s="96" t="s">
        <v>15</v>
      </c>
      <c r="C7" s="151"/>
      <c r="D7" s="150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J7" s="70"/>
    </row>
    <row r="8" spans="1:36" ht="18" customHeight="1">
      <c r="A8" s="95" t="s">
        <v>174</v>
      </c>
      <c r="B8" s="96" t="s">
        <v>16</v>
      </c>
      <c r="C8" s="151"/>
      <c r="D8" s="1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J8" s="70"/>
    </row>
    <row r="9" spans="1:36" ht="18" customHeight="1">
      <c r="A9" s="95" t="s">
        <v>174</v>
      </c>
      <c r="B9" s="96" t="s">
        <v>17</v>
      </c>
      <c r="C9" s="151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J9" s="70"/>
    </row>
    <row r="10" spans="1:36" ht="18" customHeight="1">
      <c r="A10" s="95" t="s">
        <v>174</v>
      </c>
      <c r="B10" s="122" t="s">
        <v>13</v>
      </c>
      <c r="C10" s="151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J10" s="70"/>
    </row>
    <row r="11" spans="1:36" ht="18" customHeight="1">
      <c r="A11" s="95" t="s">
        <v>168</v>
      </c>
      <c r="B11" s="96" t="s">
        <v>18</v>
      </c>
      <c r="C11" s="151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J11" s="70"/>
    </row>
    <row r="12" spans="1:36" ht="18" customHeight="1">
      <c r="A12" s="95" t="s">
        <v>174</v>
      </c>
      <c r="B12" s="122" t="s">
        <v>19</v>
      </c>
      <c r="C12" s="151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J12" s="70"/>
    </row>
    <row r="13" spans="1:36" ht="18" customHeight="1">
      <c r="A13" s="95" t="s">
        <v>168</v>
      </c>
      <c r="B13" s="96" t="s">
        <v>61</v>
      </c>
      <c r="C13" s="151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J13" s="70"/>
    </row>
    <row r="14" spans="1:36" ht="18" customHeight="1">
      <c r="A14" s="95" t="s">
        <v>174</v>
      </c>
      <c r="B14" s="96" t="s">
        <v>175</v>
      </c>
      <c r="C14" s="151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J14" s="70"/>
    </row>
    <row r="15" spans="1:36" ht="18" customHeight="1">
      <c r="A15" s="95" t="s">
        <v>174</v>
      </c>
      <c r="B15" s="96" t="s">
        <v>20</v>
      </c>
      <c r="C15" s="151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J15" s="70"/>
    </row>
    <row r="16" spans="1:36" ht="18" customHeight="1">
      <c r="A16" s="95" t="s">
        <v>174</v>
      </c>
      <c r="B16" s="96" t="s">
        <v>21</v>
      </c>
      <c r="C16" s="151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J16" s="70"/>
    </row>
    <row r="17" spans="1:36" ht="18" customHeight="1">
      <c r="A17" s="95" t="s">
        <v>174</v>
      </c>
      <c r="B17" s="96" t="s">
        <v>22</v>
      </c>
      <c r="C17" s="151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J17" s="70"/>
    </row>
    <row r="18" spans="1:36" ht="18" customHeight="1">
      <c r="A18" s="99" t="s">
        <v>174</v>
      </c>
      <c r="B18" s="100" t="s">
        <v>89</v>
      </c>
      <c r="C18" s="99"/>
      <c r="D18" s="132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J18" s="80"/>
    </row>
    <row r="19" spans="1:36" ht="18" customHeight="1">
      <c r="A19" s="99" t="s">
        <v>174</v>
      </c>
      <c r="B19" s="100" t="s">
        <v>90</v>
      </c>
      <c r="C19" s="99"/>
      <c r="D19" s="13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J19" s="80"/>
    </row>
    <row r="20" spans="1:36" ht="18" customHeight="1">
      <c r="A20" s="99" t="s">
        <v>168</v>
      </c>
      <c r="B20" s="100" t="s">
        <v>91</v>
      </c>
      <c r="C20" s="99"/>
      <c r="D20" s="132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J20" s="80"/>
    </row>
    <row r="21" spans="1:36" ht="18" customHeight="1">
      <c r="A21" s="99" t="s">
        <v>174</v>
      </c>
      <c r="B21" s="100" t="s">
        <v>92</v>
      </c>
      <c r="C21" s="99"/>
      <c r="D21" s="132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J21" s="80"/>
    </row>
    <row r="22" spans="1:36" ht="18" customHeight="1">
      <c r="A22" s="99" t="s">
        <v>174</v>
      </c>
      <c r="B22" s="100" t="s">
        <v>93</v>
      </c>
      <c r="C22" s="99"/>
      <c r="D22" s="132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J22" s="81"/>
    </row>
    <row r="23" spans="1:36" ht="18" customHeight="1">
      <c r="A23" s="99" t="s">
        <v>174</v>
      </c>
      <c r="B23" s="100" t="s">
        <v>227</v>
      </c>
      <c r="C23" s="99"/>
      <c r="D23" s="132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J23" s="82"/>
    </row>
    <row r="24" spans="1:36" ht="18" customHeight="1">
      <c r="A24" s="99" t="s">
        <v>174</v>
      </c>
      <c r="B24" s="100" t="s">
        <v>150</v>
      </c>
      <c r="C24" s="99"/>
      <c r="D24" s="132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J24" s="80"/>
    </row>
    <row r="25" spans="1:36" ht="18" customHeight="1">
      <c r="A25" s="99" t="s">
        <v>174</v>
      </c>
      <c r="B25" s="100" t="s">
        <v>113</v>
      </c>
      <c r="C25" s="99"/>
      <c r="D25" s="132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J25" s="82"/>
    </row>
    <row r="26" spans="1:36" ht="18" customHeight="1">
      <c r="A26" s="99" t="s">
        <v>174</v>
      </c>
      <c r="B26" s="100" t="s">
        <v>94</v>
      </c>
      <c r="C26" s="99"/>
      <c r="D26" s="132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J26" s="80"/>
    </row>
    <row r="27" spans="1:36" ht="18" customHeight="1">
      <c r="A27" s="99" t="s">
        <v>174</v>
      </c>
      <c r="B27" s="100" t="s">
        <v>95</v>
      </c>
      <c r="C27" s="99"/>
      <c r="D27" s="132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J28" s="81"/>
    </row>
    <row r="29" spans="1:36" ht="18" customHeight="1">
      <c r="A29" s="99" t="s">
        <v>168</v>
      </c>
      <c r="B29" s="100" t="s">
        <v>147</v>
      </c>
      <c r="C29" s="99"/>
      <c r="D29" s="132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J29" s="80"/>
    </row>
    <row r="30" spans="1:36" ht="18" customHeight="1">
      <c r="A30" s="99" t="s">
        <v>174</v>
      </c>
      <c r="B30" s="100" t="s">
        <v>148</v>
      </c>
      <c r="C30" s="99"/>
      <c r="D30" s="132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J30" s="82"/>
    </row>
    <row r="31" spans="1:36" ht="18" customHeight="1">
      <c r="A31" s="101" t="s">
        <v>174</v>
      </c>
      <c r="B31" s="102" t="s">
        <v>103</v>
      </c>
      <c r="C31" s="101"/>
      <c r="D31" s="137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J31" s="90"/>
    </row>
    <row r="32" spans="1:36" ht="18" customHeight="1">
      <c r="A32" s="101" t="s">
        <v>168</v>
      </c>
      <c r="B32" s="102" t="s">
        <v>104</v>
      </c>
      <c r="C32" s="101"/>
      <c r="D32" s="137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J32" s="90"/>
    </row>
    <row r="33" spans="1:36" ht="18" customHeight="1">
      <c r="A33" s="101" t="s">
        <v>174</v>
      </c>
      <c r="B33" s="102" t="s">
        <v>105</v>
      </c>
      <c r="C33" s="101"/>
      <c r="D33" s="137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J33" s="90"/>
    </row>
    <row r="34" spans="1:36" ht="18" customHeight="1">
      <c r="A34" s="101" t="s">
        <v>174</v>
      </c>
      <c r="B34" s="102" t="s">
        <v>116</v>
      </c>
      <c r="C34" s="101"/>
      <c r="D34" s="137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J34" s="89"/>
    </row>
    <row r="35" spans="1:36" ht="18" customHeight="1">
      <c r="A35" s="101" t="s">
        <v>174</v>
      </c>
      <c r="B35" s="102" t="s">
        <v>117</v>
      </c>
      <c r="C35" s="101"/>
      <c r="D35" s="137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J35" s="89"/>
    </row>
    <row r="36" spans="1:36" ht="18" customHeight="1">
      <c r="A36" s="101" t="s">
        <v>168</v>
      </c>
      <c r="B36" s="102" t="s">
        <v>118</v>
      </c>
      <c r="C36" s="101"/>
      <c r="D36" s="137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J36" s="89"/>
    </row>
    <row r="37" spans="1:36" ht="18" customHeight="1">
      <c r="A37" s="101" t="s">
        <v>168</v>
      </c>
      <c r="B37" s="102" t="s">
        <v>119</v>
      </c>
      <c r="C37" s="101"/>
      <c r="D37" s="137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J37" s="90"/>
    </row>
    <row r="38" spans="1:36" ht="18" customHeight="1">
      <c r="A38" s="101" t="s">
        <v>168</v>
      </c>
      <c r="B38" s="102" t="s">
        <v>120</v>
      </c>
      <c r="C38" s="101"/>
      <c r="D38" s="137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J38" s="90"/>
    </row>
    <row r="39" spans="1:36" ht="18" customHeight="1">
      <c r="A39" s="101" t="s">
        <v>174</v>
      </c>
      <c r="B39" s="102" t="s">
        <v>121</v>
      </c>
      <c r="C39" s="101"/>
      <c r="D39" s="137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J39" s="90"/>
    </row>
    <row r="40" spans="1:36" ht="18" customHeight="1">
      <c r="A40" s="101" t="s">
        <v>168</v>
      </c>
      <c r="B40" s="102" t="s">
        <v>122</v>
      </c>
      <c r="C40" s="101"/>
      <c r="D40" s="137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J41" s="89"/>
    </row>
    <row r="42" spans="1:36" ht="18" customHeight="1">
      <c r="A42" s="95" t="s">
        <v>58</v>
      </c>
      <c r="B42" s="96" t="s">
        <v>23</v>
      </c>
      <c r="C42" s="120"/>
      <c r="D42" s="14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J42" s="73"/>
    </row>
    <row r="43" spans="1:36" ht="18" customHeight="1">
      <c r="A43" s="95" t="s">
        <v>58</v>
      </c>
      <c r="B43" s="96" t="s">
        <v>24</v>
      </c>
      <c r="C43" s="120"/>
      <c r="D43" s="14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J43" s="73"/>
    </row>
    <row r="44" spans="1:36" ht="18" customHeight="1">
      <c r="A44" s="95" t="s">
        <v>58</v>
      </c>
      <c r="B44" s="96" t="s">
        <v>64</v>
      </c>
      <c r="C44" s="120"/>
      <c r="D44" s="14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J44" s="73"/>
    </row>
    <row r="45" spans="1:36" ht="18" customHeight="1">
      <c r="A45" s="95" t="s">
        <v>58</v>
      </c>
      <c r="B45" s="96" t="s">
        <v>178</v>
      </c>
      <c r="C45" s="120"/>
      <c r="D45" s="14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J45" s="73"/>
    </row>
    <row r="46" spans="1:36" ht="18" customHeight="1">
      <c r="A46" s="95" t="s">
        <v>174</v>
      </c>
      <c r="B46" s="96" t="s">
        <v>25</v>
      </c>
      <c r="C46" s="120"/>
      <c r="D46" s="14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J46" s="73"/>
    </row>
    <row r="47" spans="1:36" ht="18" customHeight="1">
      <c r="A47" s="95" t="s">
        <v>58</v>
      </c>
      <c r="B47" s="96" t="s">
        <v>63</v>
      </c>
      <c r="C47" s="120"/>
      <c r="D47" s="14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J47" s="73"/>
    </row>
    <row r="48" spans="1:36" ht="18" customHeight="1">
      <c r="A48" s="95" t="s">
        <v>58</v>
      </c>
      <c r="B48" s="96" t="s">
        <v>62</v>
      </c>
      <c r="C48" s="120"/>
      <c r="D48" s="14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J48" s="73"/>
    </row>
    <row r="49" spans="1:36" ht="18" customHeight="1">
      <c r="A49" s="95" t="s">
        <v>174</v>
      </c>
      <c r="B49" s="96" t="s">
        <v>26</v>
      </c>
      <c r="C49" s="120"/>
      <c r="D49" s="14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J49" s="73"/>
    </row>
    <row r="50" spans="1:36" ht="18" customHeight="1">
      <c r="A50" s="95" t="s">
        <v>58</v>
      </c>
      <c r="B50" s="96" t="s">
        <v>59</v>
      </c>
      <c r="C50" s="120"/>
      <c r="D50" s="14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J50" s="73"/>
    </row>
    <row r="51" spans="1:36" ht="18" customHeight="1">
      <c r="A51" s="95" t="s">
        <v>174</v>
      </c>
      <c r="B51" s="96" t="s">
        <v>27</v>
      </c>
      <c r="C51" s="120"/>
      <c r="D51" s="14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J51" s="73"/>
    </row>
    <row r="52" spans="1:36" ht="18" customHeight="1">
      <c r="A52" s="95" t="s">
        <v>58</v>
      </c>
      <c r="B52" s="96" t="s">
        <v>28</v>
      </c>
      <c r="C52" s="120"/>
      <c r="D52" s="14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J52" s="73"/>
    </row>
    <row r="53" spans="1:36" ht="18" customHeight="1">
      <c r="A53" s="95" t="s">
        <v>58</v>
      </c>
      <c r="B53" s="96" t="s">
        <v>29</v>
      </c>
      <c r="C53" s="120"/>
      <c r="D53" s="14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J53" s="73"/>
    </row>
    <row r="54" spans="1:36" ht="18" customHeight="1">
      <c r="A54" s="95" t="s">
        <v>174</v>
      </c>
      <c r="B54" s="96" t="s">
        <v>65</v>
      </c>
      <c r="C54" s="120"/>
      <c r="D54" s="14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J54" s="73"/>
    </row>
    <row r="55" spans="1:36" ht="18" customHeight="1">
      <c r="A55" s="95" t="s">
        <v>58</v>
      </c>
      <c r="B55" s="96" t="s">
        <v>72</v>
      </c>
      <c r="C55" s="120"/>
      <c r="D55" s="14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J55" s="73"/>
    </row>
    <row r="56" spans="1:36" ht="18" customHeight="1">
      <c r="A56" s="95" t="s">
        <v>58</v>
      </c>
      <c r="B56" s="96" t="s">
        <v>66</v>
      </c>
      <c r="C56" s="120"/>
      <c r="D56" s="14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J56" s="73"/>
    </row>
    <row r="57" spans="1:36" ht="18" customHeight="1">
      <c r="A57" s="95" t="s">
        <v>58</v>
      </c>
      <c r="B57" s="96" t="s">
        <v>68</v>
      </c>
      <c r="C57" s="120"/>
      <c r="D57" s="14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J57" s="73"/>
    </row>
    <row r="58" spans="1:36" ht="18" customHeight="1">
      <c r="A58" s="95" t="s">
        <v>58</v>
      </c>
      <c r="B58" s="96" t="s">
        <v>69</v>
      </c>
      <c r="C58" s="120"/>
      <c r="D58" s="14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J58" s="73"/>
    </row>
    <row r="59" spans="1:36" ht="18" customHeight="1">
      <c r="A59" s="95" t="s">
        <v>58</v>
      </c>
      <c r="B59" s="96" t="s">
        <v>70</v>
      </c>
      <c r="C59" s="120"/>
      <c r="D59" s="14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J59" s="73"/>
    </row>
    <row r="60" spans="1:36" ht="18" customHeight="1">
      <c r="A60" s="95" t="s">
        <v>58</v>
      </c>
      <c r="B60" s="96" t="s">
        <v>71</v>
      </c>
      <c r="C60" s="120"/>
      <c r="D60" s="14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J60" s="73"/>
    </row>
    <row r="61" spans="1:36" ht="18" customHeight="1">
      <c r="A61" s="95" t="s">
        <v>58</v>
      </c>
      <c r="B61" s="96" t="s">
        <v>74</v>
      </c>
      <c r="C61" s="120"/>
      <c r="D61" s="14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J61" s="73"/>
    </row>
    <row r="62" spans="1:36" ht="18" customHeight="1">
      <c r="A62" s="95" t="s">
        <v>58</v>
      </c>
      <c r="B62" s="96" t="s">
        <v>30</v>
      </c>
      <c r="C62" s="120"/>
      <c r="D62" s="14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J62" s="73"/>
    </row>
    <row r="63" spans="1:36" ht="18" customHeight="1">
      <c r="A63" s="95" t="s">
        <v>58</v>
      </c>
      <c r="B63" s="96" t="s">
        <v>31</v>
      </c>
      <c r="C63" s="120"/>
      <c r="D63" s="14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J63" s="73"/>
    </row>
    <row r="64" spans="1:36" ht="18" customHeight="1">
      <c r="A64" s="95" t="s">
        <v>58</v>
      </c>
      <c r="B64" s="96" t="s">
        <v>73</v>
      </c>
      <c r="C64" s="120"/>
      <c r="D64" s="14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J64" s="73"/>
    </row>
    <row r="65" spans="1:36" ht="18" customHeight="1">
      <c r="A65" s="95" t="s">
        <v>58</v>
      </c>
      <c r="B65" s="96" t="s">
        <v>198</v>
      </c>
      <c r="C65" s="120"/>
      <c r="D65" s="14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J65" s="73"/>
    </row>
    <row r="66" spans="1:36" ht="18" customHeight="1">
      <c r="A66" s="95" t="s">
        <v>58</v>
      </c>
      <c r="B66" s="96" t="s">
        <v>67</v>
      </c>
      <c r="C66" s="120"/>
      <c r="D66" s="14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J66" s="73"/>
    </row>
    <row r="67" spans="1:36" ht="18" customHeight="1">
      <c r="A67" s="95" t="s">
        <v>58</v>
      </c>
      <c r="B67" s="96" t="s">
        <v>75</v>
      </c>
      <c r="C67" s="120"/>
      <c r="D67" s="14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J67" s="73"/>
    </row>
    <row r="68" spans="1:36" ht="18" customHeight="1">
      <c r="A68" s="95" t="s">
        <v>58</v>
      </c>
      <c r="B68" s="96" t="s">
        <v>76</v>
      </c>
      <c r="C68" s="120"/>
      <c r="D68" s="14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J68" s="73"/>
    </row>
    <row r="69" spans="1:36" ht="18" customHeight="1">
      <c r="A69" s="95" t="s">
        <v>58</v>
      </c>
      <c r="B69" s="96" t="s">
        <v>77</v>
      </c>
      <c r="C69" s="120"/>
      <c r="D69" s="14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J69" s="73"/>
    </row>
    <row r="70" spans="1:36" ht="18" customHeight="1">
      <c r="A70" s="95" t="s">
        <v>58</v>
      </c>
      <c r="B70" s="96" t="s">
        <v>78</v>
      </c>
      <c r="C70" s="120"/>
      <c r="D70" s="14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J70" s="73"/>
    </row>
    <row r="71" spans="1:36" ht="18" customHeight="1">
      <c r="A71" s="95" t="s">
        <v>58</v>
      </c>
      <c r="B71" s="96" t="s">
        <v>79</v>
      </c>
      <c r="C71" s="120"/>
      <c r="D71" s="14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J71" s="73"/>
    </row>
    <row r="72" spans="1:36" ht="18" customHeight="1">
      <c r="A72" s="95" t="s">
        <v>58</v>
      </c>
      <c r="B72" s="96" t="s">
        <v>80</v>
      </c>
      <c r="C72" s="120"/>
      <c r="D72" s="14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J72" s="73"/>
    </row>
    <row r="73" spans="1:36" ht="18" customHeight="1">
      <c r="A73" s="95" t="s">
        <v>58</v>
      </c>
      <c r="B73" s="96" t="s">
        <v>81</v>
      </c>
      <c r="C73" s="120"/>
      <c r="D73" s="14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J73" s="73"/>
    </row>
    <row r="74" spans="1:36" ht="18" customHeight="1">
      <c r="A74" s="95" t="s">
        <v>58</v>
      </c>
      <c r="B74" s="96" t="s">
        <v>82</v>
      </c>
      <c r="C74" s="120"/>
      <c r="D74" s="14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J74" s="73"/>
    </row>
    <row r="75" spans="1:36" ht="18" customHeight="1">
      <c r="A75" s="95" t="s">
        <v>58</v>
      </c>
      <c r="B75" s="96" t="s">
        <v>83</v>
      </c>
      <c r="C75" s="120"/>
      <c r="D75" s="14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J75" s="73"/>
    </row>
    <row r="76" spans="1:36" ht="18" customHeight="1">
      <c r="A76" s="95" t="s">
        <v>58</v>
      </c>
      <c r="B76" s="96" t="s">
        <v>84</v>
      </c>
      <c r="C76" s="120"/>
      <c r="D76" s="14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J76" s="73"/>
    </row>
    <row r="77" spans="1:36" ht="18" customHeight="1">
      <c r="A77" s="95" t="s">
        <v>58</v>
      </c>
      <c r="B77" s="96" t="s">
        <v>86</v>
      </c>
      <c r="C77" s="120"/>
      <c r="D77" s="14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J77" s="73"/>
    </row>
    <row r="78" spans="1:36" ht="18" customHeight="1">
      <c r="A78" s="95" t="s">
        <v>58</v>
      </c>
      <c r="B78" s="96" t="s">
        <v>32</v>
      </c>
      <c r="C78" s="120"/>
      <c r="D78" s="14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J78" s="73"/>
    </row>
    <row r="79" spans="1:36" ht="18" customHeight="1">
      <c r="A79" s="95" t="s">
        <v>58</v>
      </c>
      <c r="B79" s="96" t="s">
        <v>179</v>
      </c>
      <c r="C79" s="120"/>
      <c r="D79" s="14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J79" s="73"/>
    </row>
    <row r="80" spans="1:36" ht="18" customHeight="1">
      <c r="A80" s="95" t="s">
        <v>58</v>
      </c>
      <c r="B80" s="96" t="s">
        <v>85</v>
      </c>
      <c r="C80" s="120"/>
      <c r="D80" s="14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J80" s="73"/>
    </row>
    <row r="81" spans="1:36" ht="18" customHeight="1">
      <c r="A81" s="95" t="s">
        <v>58</v>
      </c>
      <c r="B81" s="96" t="s">
        <v>33</v>
      </c>
      <c r="C81" s="120"/>
      <c r="D81" s="14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J81" s="73"/>
    </row>
    <row r="82" spans="1:36" ht="18" customHeight="1">
      <c r="A82" s="95" t="s">
        <v>58</v>
      </c>
      <c r="B82" s="96" t="s">
        <v>34</v>
      </c>
      <c r="C82" s="120"/>
      <c r="D82" s="14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J82" s="70"/>
    </row>
    <row r="83" spans="1:36" ht="18" customHeight="1">
      <c r="A83" s="95" t="s">
        <v>58</v>
      </c>
      <c r="B83" s="96" t="s">
        <v>88</v>
      </c>
      <c r="C83" s="120"/>
      <c r="D83" s="14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J83" s="70"/>
    </row>
    <row r="84" spans="1:36" ht="18" customHeight="1">
      <c r="A84" s="95" t="s">
        <v>58</v>
      </c>
      <c r="B84" s="96" t="s">
        <v>35</v>
      </c>
      <c r="C84" s="120"/>
      <c r="D84" s="14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J84" s="70"/>
    </row>
    <row r="85" spans="1:36" ht="18" customHeight="1">
      <c r="A85" s="95" t="s">
        <v>58</v>
      </c>
      <c r="B85" s="96" t="s">
        <v>36</v>
      </c>
      <c r="C85" s="120"/>
      <c r="D85" s="14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J85" s="70"/>
    </row>
    <row r="86" spans="1:36" ht="18" customHeight="1">
      <c r="A86" s="95" t="s">
        <v>174</v>
      </c>
      <c r="B86" s="96" t="s">
        <v>37</v>
      </c>
      <c r="C86" s="120"/>
      <c r="D86" s="14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J86" s="70"/>
    </row>
    <row r="87" spans="1:36" ht="18" customHeight="1">
      <c r="A87" s="95" t="s">
        <v>58</v>
      </c>
      <c r="B87" s="96" t="s">
        <v>87</v>
      </c>
      <c r="C87" s="120"/>
      <c r="D87" s="14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J87" s="70"/>
    </row>
    <row r="88" spans="1:36" ht="18" customHeight="1">
      <c r="A88" s="95" t="s">
        <v>58</v>
      </c>
      <c r="B88" s="96" t="s">
        <v>38</v>
      </c>
      <c r="C88" s="120"/>
      <c r="D88" s="14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J88" s="70"/>
    </row>
    <row r="89" spans="1:36" ht="18" customHeight="1">
      <c r="A89" s="95" t="s">
        <v>58</v>
      </c>
      <c r="B89" s="96" t="s">
        <v>39</v>
      </c>
      <c r="C89" s="120"/>
      <c r="D89" s="14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J89" s="70"/>
    </row>
    <row r="90" spans="1:36" ht="18" customHeight="1">
      <c r="A90" s="95" t="s">
        <v>58</v>
      </c>
      <c r="B90" s="96" t="s">
        <v>223</v>
      </c>
      <c r="C90" s="120"/>
      <c r="D90" s="14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60"/>
      <c r="W90" s="164"/>
      <c r="X90" s="160"/>
      <c r="Y90" s="164"/>
      <c r="Z90" s="160"/>
      <c r="AA90" s="120"/>
      <c r="AB90" s="120"/>
      <c r="AC90" s="120"/>
      <c r="AD90" s="120"/>
      <c r="AE90" s="120"/>
      <c r="AF90" s="120"/>
      <c r="AJ90" s="70"/>
    </row>
    <row r="91" spans="1:36" ht="18" customHeight="1">
      <c r="A91" s="95" t="s">
        <v>58</v>
      </c>
      <c r="B91" s="96" t="s">
        <v>40</v>
      </c>
      <c r="C91" s="120"/>
      <c r="D91" s="14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J91" s="70"/>
    </row>
    <row r="92" spans="1:36" ht="18" customHeight="1">
      <c r="A92" s="99" t="s">
        <v>58</v>
      </c>
      <c r="B92" s="100" t="s">
        <v>151</v>
      </c>
      <c r="C92" s="99"/>
      <c r="D92" s="132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J92" s="82"/>
    </row>
    <row r="93" spans="1:36" ht="18" customHeight="1">
      <c r="A93" s="99" t="s">
        <v>58</v>
      </c>
      <c r="B93" s="100" t="s">
        <v>152</v>
      </c>
      <c r="C93" s="99"/>
      <c r="D93" s="132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J93" s="81"/>
    </row>
    <row r="94" spans="1:36" ht="18" customHeight="1">
      <c r="A94" s="99" t="s">
        <v>58</v>
      </c>
      <c r="B94" s="100" t="s">
        <v>153</v>
      </c>
      <c r="C94" s="99"/>
      <c r="D94" s="132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J94" s="81"/>
    </row>
    <row r="95" spans="1:36" ht="18" customHeight="1">
      <c r="A95" s="99" t="s">
        <v>174</v>
      </c>
      <c r="B95" s="100" t="s">
        <v>96</v>
      </c>
      <c r="C95" s="99"/>
      <c r="D95" s="132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J95" s="81"/>
    </row>
    <row r="96" spans="1:36" ht="18" customHeight="1">
      <c r="A96" s="99" t="s">
        <v>58</v>
      </c>
      <c r="B96" s="100" t="s">
        <v>154</v>
      </c>
      <c r="C96" s="99"/>
      <c r="D96" s="132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J96" s="81"/>
    </row>
    <row r="97" spans="1:36" ht="18" customHeight="1">
      <c r="A97" s="99" t="s">
        <v>58</v>
      </c>
      <c r="B97" s="100" t="s">
        <v>155</v>
      </c>
      <c r="C97" s="99"/>
      <c r="D97" s="132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J97" s="81"/>
    </row>
    <row r="98" spans="1:36" ht="18" customHeight="1">
      <c r="A98" s="99" t="s">
        <v>58</v>
      </c>
      <c r="B98" s="100" t="s">
        <v>156</v>
      </c>
      <c r="C98" s="99"/>
      <c r="D98" s="132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J98" s="81"/>
    </row>
    <row r="99" spans="1:36" ht="18" customHeight="1">
      <c r="A99" s="99" t="s">
        <v>58</v>
      </c>
      <c r="B99" s="100" t="s">
        <v>157</v>
      </c>
      <c r="C99" s="99"/>
      <c r="D99" s="132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J99" s="81"/>
    </row>
    <row r="100" spans="1:36" ht="18" customHeight="1">
      <c r="A100" s="99" t="s">
        <v>58</v>
      </c>
      <c r="B100" s="100" t="s">
        <v>158</v>
      </c>
      <c r="C100" s="99"/>
      <c r="D100" s="132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J100" s="81"/>
    </row>
    <row r="101" spans="1:36" ht="18" customHeight="1">
      <c r="A101" s="99" t="s">
        <v>58</v>
      </c>
      <c r="B101" s="100" t="s">
        <v>159</v>
      </c>
      <c r="C101" s="99"/>
      <c r="D101" s="132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J101" s="81"/>
    </row>
    <row r="102" spans="1:36" ht="18" customHeight="1">
      <c r="A102" s="99" t="s">
        <v>58</v>
      </c>
      <c r="B102" s="100" t="s">
        <v>160</v>
      </c>
      <c r="C102" s="99"/>
      <c r="D102" s="132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J102" s="81"/>
    </row>
    <row r="103" spans="1:36" ht="18" customHeight="1">
      <c r="A103" s="99" t="s">
        <v>58</v>
      </c>
      <c r="B103" s="100" t="s">
        <v>101</v>
      </c>
      <c r="C103" s="99"/>
      <c r="D103" s="132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J103" s="81"/>
    </row>
    <row r="104" spans="1:36" ht="18" customHeight="1">
      <c r="A104" s="99" t="s">
        <v>58</v>
      </c>
      <c r="B104" s="100" t="s">
        <v>161</v>
      </c>
      <c r="C104" s="99"/>
      <c r="D104" s="132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J104" s="81"/>
    </row>
    <row r="105" spans="1:36" ht="18" customHeight="1">
      <c r="A105" s="99" t="s">
        <v>58</v>
      </c>
      <c r="B105" s="100" t="s">
        <v>162</v>
      </c>
      <c r="C105" s="99"/>
      <c r="D105" s="132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J105" s="81"/>
    </row>
    <row r="106" spans="1:36" ht="18" customHeight="1">
      <c r="A106" s="99" t="s">
        <v>58</v>
      </c>
      <c r="B106" s="100" t="s">
        <v>100</v>
      </c>
      <c r="C106" s="99"/>
      <c r="D106" s="132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J106" s="81"/>
    </row>
    <row r="107" spans="1:36" ht="18" customHeight="1">
      <c r="A107" s="99" t="s">
        <v>58</v>
      </c>
      <c r="B107" s="100" t="s">
        <v>163</v>
      </c>
      <c r="C107" s="99"/>
      <c r="D107" s="132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J107" s="81"/>
    </row>
    <row r="108" spans="1:36" ht="18" customHeight="1">
      <c r="A108" s="99" t="s">
        <v>58</v>
      </c>
      <c r="B108" s="100" t="s">
        <v>164</v>
      </c>
      <c r="C108" s="99"/>
      <c r="D108" s="132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J108" s="81"/>
    </row>
    <row r="109" spans="1:36" ht="18" customHeight="1">
      <c r="A109" s="99" t="s">
        <v>58</v>
      </c>
      <c r="B109" s="100" t="s">
        <v>102</v>
      </c>
      <c r="C109" s="99"/>
      <c r="D109" s="132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J109" s="81"/>
    </row>
    <row r="110" spans="1:36" ht="18" customHeight="1">
      <c r="A110" s="99" t="s">
        <v>58</v>
      </c>
      <c r="B110" s="100" t="s">
        <v>165</v>
      </c>
      <c r="C110" s="99"/>
      <c r="D110" s="132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J110" s="81"/>
    </row>
    <row r="111" spans="1:36" ht="18" customHeight="1">
      <c r="A111" s="99" t="s">
        <v>58</v>
      </c>
      <c r="B111" s="100" t="s">
        <v>166</v>
      </c>
      <c r="C111" s="99"/>
      <c r="D111" s="132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J111" s="81"/>
    </row>
    <row r="112" spans="1:36" ht="18" customHeight="1">
      <c r="A112" s="99" t="s">
        <v>58</v>
      </c>
      <c r="B112" s="100" t="s">
        <v>97</v>
      </c>
      <c r="C112" s="99"/>
      <c r="D112" s="132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J112" s="81"/>
    </row>
    <row r="113" spans="1:36" ht="18" customHeight="1">
      <c r="A113" s="99" t="s">
        <v>58</v>
      </c>
      <c r="B113" s="100" t="s">
        <v>98</v>
      </c>
      <c r="C113" s="99"/>
      <c r="D113" s="132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J113" s="81"/>
    </row>
    <row r="114" spans="1:36" ht="18" customHeight="1">
      <c r="A114" s="99" t="s">
        <v>174</v>
      </c>
      <c r="B114" s="100" t="s">
        <v>99</v>
      </c>
      <c r="C114" s="99"/>
      <c r="D114" s="132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J114" s="81"/>
    </row>
    <row r="115" spans="1:36" ht="18" customHeight="1">
      <c r="A115" s="101" t="s">
        <v>58</v>
      </c>
      <c r="B115" s="102" t="s">
        <v>124</v>
      </c>
      <c r="C115" s="101"/>
      <c r="D115" s="137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J115" s="89"/>
    </row>
    <row r="116" spans="1:36" ht="18" customHeight="1">
      <c r="A116" s="101" t="s">
        <v>58</v>
      </c>
      <c r="B116" s="102" t="s">
        <v>125</v>
      </c>
      <c r="C116" s="101"/>
      <c r="D116" s="137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J116" s="89"/>
    </row>
    <row r="117" spans="1:36" ht="18" customHeight="1">
      <c r="A117" s="101" t="s">
        <v>58</v>
      </c>
      <c r="B117" s="102" t="s">
        <v>126</v>
      </c>
      <c r="C117" s="101"/>
      <c r="D117" s="137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J117" s="89"/>
    </row>
    <row r="118" spans="1:36" ht="18" customHeight="1">
      <c r="A118" s="101" t="s">
        <v>58</v>
      </c>
      <c r="B118" s="102" t="s">
        <v>127</v>
      </c>
      <c r="C118" s="101"/>
      <c r="D118" s="137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J118" s="89"/>
    </row>
    <row r="119" spans="1:36" ht="18" customHeight="1">
      <c r="A119" s="101" t="s">
        <v>58</v>
      </c>
      <c r="B119" s="102" t="s">
        <v>128</v>
      </c>
      <c r="C119" s="101"/>
      <c r="D119" s="137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J119" s="89"/>
    </row>
    <row r="120" spans="1:36" ht="18" customHeight="1">
      <c r="A120" s="101" t="s">
        <v>58</v>
      </c>
      <c r="B120" s="102" t="s">
        <v>129</v>
      </c>
      <c r="C120" s="101"/>
      <c r="D120" s="137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J120" s="89"/>
    </row>
    <row r="121" spans="1:36" ht="18" customHeight="1">
      <c r="A121" s="101" t="s">
        <v>58</v>
      </c>
      <c r="B121" s="102" t="s">
        <v>130</v>
      </c>
      <c r="C121" s="101"/>
      <c r="D121" s="137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J121" s="89"/>
    </row>
    <row r="122" spans="1:36" ht="18" customHeight="1">
      <c r="A122" s="101" t="s">
        <v>58</v>
      </c>
      <c r="B122" s="102" t="s">
        <v>131</v>
      </c>
      <c r="C122" s="101"/>
      <c r="D122" s="137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J122" s="89"/>
    </row>
    <row r="123" spans="1:36" ht="18" customHeight="1">
      <c r="A123" s="101" t="s">
        <v>58</v>
      </c>
      <c r="B123" s="102" t="s">
        <v>132</v>
      </c>
      <c r="C123" s="101"/>
      <c r="D123" s="137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J123" s="89"/>
    </row>
    <row r="124" spans="1:36" ht="18" customHeight="1">
      <c r="A124" s="101" t="s">
        <v>58</v>
      </c>
      <c r="B124" s="102" t="s">
        <v>133</v>
      </c>
      <c r="C124" s="101"/>
      <c r="D124" s="137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J124" s="91"/>
    </row>
    <row r="125" spans="1:36" ht="18" customHeight="1">
      <c r="A125" s="101" t="s">
        <v>58</v>
      </c>
      <c r="B125" s="102" t="s">
        <v>134</v>
      </c>
      <c r="C125" s="101"/>
      <c r="D125" s="137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J125" s="91"/>
    </row>
    <row r="126" spans="1:36" ht="18" customHeight="1">
      <c r="A126" s="101" t="s">
        <v>58</v>
      </c>
      <c r="B126" s="102" t="s">
        <v>135</v>
      </c>
      <c r="C126" s="101"/>
      <c r="D126" s="137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J126" s="91"/>
    </row>
    <row r="127" spans="1:36" ht="18" customHeight="1">
      <c r="A127" s="101" t="s">
        <v>58</v>
      </c>
      <c r="B127" s="102" t="s">
        <v>136</v>
      </c>
      <c r="C127" s="101"/>
      <c r="D127" s="137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J127" s="91"/>
    </row>
    <row r="128" spans="1:36" ht="18" customHeight="1">
      <c r="A128" s="101" t="s">
        <v>58</v>
      </c>
      <c r="B128" s="102" t="s">
        <v>137</v>
      </c>
      <c r="C128" s="101"/>
      <c r="D128" s="137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J128" s="91"/>
    </row>
    <row r="129" spans="1:36" ht="18" customHeight="1">
      <c r="A129" s="101" t="s">
        <v>58</v>
      </c>
      <c r="B129" s="102" t="s">
        <v>138</v>
      </c>
      <c r="C129" s="101"/>
      <c r="D129" s="137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J129" s="91"/>
    </row>
    <row r="130" spans="1:36" ht="18" customHeight="1">
      <c r="A130" s="101" t="s">
        <v>58</v>
      </c>
      <c r="B130" s="115" t="s">
        <v>139</v>
      </c>
      <c r="C130" s="101"/>
      <c r="D130" s="137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J130" s="91"/>
    </row>
    <row r="131" spans="1:36" ht="18" customHeight="1">
      <c r="A131" s="101" t="s">
        <v>58</v>
      </c>
      <c r="B131" s="115" t="s">
        <v>140</v>
      </c>
      <c r="C131" s="101"/>
      <c r="D131" s="137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J131" s="91"/>
    </row>
    <row r="132" spans="1:36" ht="18" customHeight="1">
      <c r="A132" s="101" t="s">
        <v>58</v>
      </c>
      <c r="B132" s="115" t="s">
        <v>106</v>
      </c>
      <c r="C132" s="101"/>
      <c r="D132" s="137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J132" s="91"/>
    </row>
    <row r="133" spans="1:36" ht="18" customHeight="1">
      <c r="A133" s="101" t="s">
        <v>58</v>
      </c>
      <c r="B133" s="102" t="s">
        <v>141</v>
      </c>
      <c r="C133" s="101"/>
      <c r="D133" s="137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J133" s="91"/>
    </row>
    <row r="134" spans="1:36" ht="18" customHeight="1">
      <c r="A134" s="101" t="s">
        <v>58</v>
      </c>
      <c r="B134" s="102" t="s">
        <v>142</v>
      </c>
      <c r="C134" s="101"/>
      <c r="D134" s="137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J134" s="91"/>
    </row>
    <row r="135" spans="1:36" ht="18" customHeight="1">
      <c r="A135" s="101" t="s">
        <v>58</v>
      </c>
      <c r="B135" s="102" t="s">
        <v>143</v>
      </c>
      <c r="C135" s="101"/>
      <c r="D135" s="137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J135" s="91"/>
    </row>
    <row r="136" spans="1:36" ht="18" customHeight="1">
      <c r="A136" s="101" t="s">
        <v>58</v>
      </c>
      <c r="B136" s="102" t="s">
        <v>144</v>
      </c>
      <c r="C136" s="101"/>
      <c r="D136" s="137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J136" s="91"/>
    </row>
    <row r="137" spans="1:36" ht="18" customHeight="1">
      <c r="A137" s="101" t="s">
        <v>58</v>
      </c>
      <c r="B137" s="102" t="s">
        <v>145</v>
      </c>
      <c r="C137" s="101"/>
      <c r="D137" s="137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J137" s="91"/>
    </row>
    <row r="138" spans="1:36" ht="18" customHeight="1">
      <c r="A138" s="120" t="s">
        <v>58</v>
      </c>
      <c r="B138" s="121" t="s">
        <v>41</v>
      </c>
      <c r="C138" s="120"/>
      <c r="D138" s="14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J138" s="110"/>
    </row>
    <row r="139" spans="1:36" ht="18" customHeight="1">
      <c r="A139" s="120" t="s">
        <v>58</v>
      </c>
      <c r="B139" s="121" t="s">
        <v>42</v>
      </c>
      <c r="C139" s="120"/>
      <c r="D139" s="14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J139" s="110"/>
    </row>
    <row r="140" spans="1:36" ht="18" customHeight="1">
      <c r="A140" s="166"/>
      <c r="B140" s="166" t="s">
        <v>43</v>
      </c>
      <c r="C140" s="166"/>
      <c r="D140" s="167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J140" s="110"/>
    </row>
    <row r="141" spans="1:36" ht="18" customHeight="1">
      <c r="A141" s="166" t="s">
        <v>174</v>
      </c>
      <c r="B141" s="166" t="s">
        <v>228</v>
      </c>
      <c r="C141" s="166"/>
      <c r="D141" s="167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J141" s="110"/>
    </row>
    <row r="142" spans="1:36" ht="18" customHeight="1">
      <c r="A142" s="166" t="s">
        <v>174</v>
      </c>
      <c r="B142" s="166" t="s">
        <v>107</v>
      </c>
      <c r="C142" s="166"/>
      <c r="D142" s="167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J142" s="110"/>
    </row>
    <row r="143" spans="1:36" ht="18" customHeight="1">
      <c r="A143" s="166"/>
      <c r="B143" s="166" t="s">
        <v>221</v>
      </c>
      <c r="C143" s="166"/>
      <c r="D143" s="167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J143" s="110"/>
    </row>
    <row r="144" spans="1:36" ht="18" customHeight="1">
      <c r="A144" s="166"/>
      <c r="B144" s="166" t="s">
        <v>108</v>
      </c>
      <c r="C144" s="166"/>
      <c r="D144" s="167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J144" s="110"/>
    </row>
    <row r="145" spans="1:36" ht="18" customHeight="1">
      <c r="A145" s="166"/>
      <c r="B145" s="166" t="s">
        <v>109</v>
      </c>
      <c r="C145" s="166"/>
      <c r="D145" s="167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J145" s="110"/>
    </row>
    <row r="146" spans="1:36" ht="18" customHeight="1">
      <c r="A146" s="154"/>
      <c r="B146" s="154"/>
      <c r="C146" s="154"/>
      <c r="D146" s="162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J146" s="110"/>
    </row>
    <row r="147" spans="1:36" ht="18" customHeight="1">
      <c r="A147" s="154"/>
      <c r="B147" s="154"/>
      <c r="C147" s="154"/>
      <c r="D147" s="162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7"/>
      <c r="AH147" s="158"/>
      <c r="AI147" s="159"/>
      <c r="AJ147" s="110"/>
    </row>
    <row r="148" spans="1:36" ht="18" customHeight="1">
      <c r="A148" s="154"/>
      <c r="B148" s="154"/>
      <c r="C148" s="154"/>
      <c r="D148" s="162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7" t="e">
        <f>(AG1:AI147)</f>
        <v>#VALUE!</v>
      </c>
      <c r="AH148" s="158"/>
      <c r="AI148" s="159"/>
      <c r="AJ148" s="110"/>
    </row>
  </sheetData>
  <mergeCells count="2">
    <mergeCell ref="AJ1:AJ2"/>
    <mergeCell ref="A1:B1"/>
  </mergeCells>
  <phoneticPr fontId="12" type="noConversion"/>
  <conditionalFormatting sqref="B2:B4 B7:B9 B11 B13:B148">
    <cfRule type="expression" dxfId="8" priority="1">
      <formula>COUNTIF($B:$B,$B2)&gt;1</formula>
    </cfRule>
  </conditionalFormatting>
  <dataValidations count="1">
    <dataValidation type="list" allowBlank="1" showDropDown="1" showErrorMessage="1" sqref="C1:AF1" xr:uid="{00000000-0002-0000-1A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EA9999"/>
    <outlinePr summaryBelow="0" summaryRight="0"/>
    <pageSetUpPr fitToPage="1"/>
  </sheetPr>
  <dimension ref="A1:AJ148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90" t="s">
        <v>0</v>
      </c>
      <c r="B1" s="291"/>
      <c r="C1" s="53"/>
      <c r="D1" s="168"/>
      <c r="E1" s="168"/>
      <c r="F1" s="53"/>
      <c r="G1" s="168"/>
      <c r="H1" s="53"/>
      <c r="I1" s="168"/>
      <c r="J1" s="168"/>
      <c r="K1" s="168"/>
      <c r="L1" s="168"/>
      <c r="M1" s="53"/>
      <c r="N1" s="168"/>
      <c r="O1" s="53"/>
      <c r="P1" s="168"/>
      <c r="Q1" s="168"/>
      <c r="R1" s="168"/>
      <c r="S1" s="168"/>
      <c r="T1" s="53"/>
      <c r="U1" s="168"/>
      <c r="V1" s="53"/>
      <c r="W1" s="168"/>
      <c r="X1" s="168"/>
      <c r="Y1" s="168"/>
      <c r="Z1" s="168"/>
      <c r="AA1" s="53"/>
      <c r="AB1" s="168"/>
      <c r="AC1" s="168"/>
      <c r="AD1" s="168"/>
      <c r="AE1" s="168"/>
      <c r="AF1" s="168"/>
      <c r="AG1" s="292" t="s">
        <v>6</v>
      </c>
      <c r="AH1" s="284" t="s">
        <v>7</v>
      </c>
      <c r="AI1" s="284" t="s">
        <v>172</v>
      </c>
      <c r="AJ1" s="289" t="s">
        <v>1</v>
      </c>
    </row>
    <row r="2" spans="1:36" ht="18" customHeight="1">
      <c r="A2" s="53" t="s">
        <v>2</v>
      </c>
      <c r="B2" s="53" t="s">
        <v>3</v>
      </c>
      <c r="C2" s="169">
        <v>45901</v>
      </c>
      <c r="D2" s="169">
        <v>45902</v>
      </c>
      <c r="E2" s="169">
        <v>45903</v>
      </c>
      <c r="F2" s="169">
        <v>45904</v>
      </c>
      <c r="G2" s="169">
        <v>45905</v>
      </c>
      <c r="H2" s="169">
        <v>45906</v>
      </c>
      <c r="I2" s="169">
        <v>45907</v>
      </c>
      <c r="J2" s="169">
        <v>45908</v>
      </c>
      <c r="K2" s="169">
        <v>45909</v>
      </c>
      <c r="L2" s="169">
        <v>45910</v>
      </c>
      <c r="M2" s="169">
        <v>45911</v>
      </c>
      <c r="N2" s="169">
        <v>45912</v>
      </c>
      <c r="O2" s="169">
        <v>45913</v>
      </c>
      <c r="P2" s="169">
        <v>45914</v>
      </c>
      <c r="Q2" s="169">
        <v>45915</v>
      </c>
      <c r="R2" s="169">
        <v>45916</v>
      </c>
      <c r="S2" s="169">
        <v>45917</v>
      </c>
      <c r="T2" s="169">
        <v>45918</v>
      </c>
      <c r="U2" s="169">
        <v>45919</v>
      </c>
      <c r="V2" s="169">
        <v>45920</v>
      </c>
      <c r="W2" s="169">
        <v>45921</v>
      </c>
      <c r="X2" s="169">
        <v>45922</v>
      </c>
      <c r="Y2" s="169">
        <v>45923</v>
      </c>
      <c r="Z2" s="169">
        <v>45924</v>
      </c>
      <c r="AA2" s="169">
        <v>45925</v>
      </c>
      <c r="AB2" s="169">
        <v>45926</v>
      </c>
      <c r="AC2" s="169">
        <v>45927</v>
      </c>
      <c r="AD2" s="169">
        <v>45928</v>
      </c>
      <c r="AE2" s="169">
        <v>45929</v>
      </c>
      <c r="AF2" s="169">
        <v>45930</v>
      </c>
      <c r="AG2" s="277"/>
      <c r="AH2" s="277"/>
      <c r="AI2" s="277"/>
      <c r="AJ2" s="278"/>
    </row>
    <row r="3" spans="1:36" ht="18" customHeight="1">
      <c r="A3" s="53" t="s">
        <v>4</v>
      </c>
      <c r="B3" s="53" t="s">
        <v>5</v>
      </c>
      <c r="C3" s="53">
        <f t="shared" ref="C3:AF3" si="0">WEEKDAY(C2-1)</f>
        <v>1</v>
      </c>
      <c r="D3" s="170">
        <f t="shared" si="0"/>
        <v>2</v>
      </c>
      <c r="E3" s="168">
        <f t="shared" si="0"/>
        <v>3</v>
      </c>
      <c r="F3" s="53">
        <f t="shared" si="0"/>
        <v>4</v>
      </c>
      <c r="G3" s="168">
        <f t="shared" si="0"/>
        <v>5</v>
      </c>
      <c r="H3" s="53">
        <f t="shared" si="0"/>
        <v>6</v>
      </c>
      <c r="I3" s="168">
        <f t="shared" si="0"/>
        <v>7</v>
      </c>
      <c r="J3" s="168">
        <f t="shared" si="0"/>
        <v>1</v>
      </c>
      <c r="K3" s="168">
        <f t="shared" si="0"/>
        <v>2</v>
      </c>
      <c r="L3" s="168">
        <f t="shared" si="0"/>
        <v>3</v>
      </c>
      <c r="M3" s="53">
        <f t="shared" si="0"/>
        <v>4</v>
      </c>
      <c r="N3" s="168">
        <f t="shared" si="0"/>
        <v>5</v>
      </c>
      <c r="O3" s="53">
        <f t="shared" si="0"/>
        <v>6</v>
      </c>
      <c r="P3" s="168">
        <f t="shared" si="0"/>
        <v>7</v>
      </c>
      <c r="Q3" s="168">
        <f t="shared" si="0"/>
        <v>1</v>
      </c>
      <c r="R3" s="168">
        <f t="shared" si="0"/>
        <v>2</v>
      </c>
      <c r="S3" s="168">
        <f t="shared" si="0"/>
        <v>3</v>
      </c>
      <c r="T3" s="53">
        <f t="shared" si="0"/>
        <v>4</v>
      </c>
      <c r="U3" s="168">
        <f t="shared" si="0"/>
        <v>5</v>
      </c>
      <c r="V3" s="53">
        <f t="shared" si="0"/>
        <v>6</v>
      </c>
      <c r="W3" s="168">
        <f t="shared" si="0"/>
        <v>7</v>
      </c>
      <c r="X3" s="168">
        <f t="shared" si="0"/>
        <v>1</v>
      </c>
      <c r="Y3" s="168">
        <f t="shared" si="0"/>
        <v>2</v>
      </c>
      <c r="Z3" s="168">
        <f t="shared" si="0"/>
        <v>3</v>
      </c>
      <c r="AA3" s="53">
        <f t="shared" si="0"/>
        <v>4</v>
      </c>
      <c r="AB3" s="168">
        <f t="shared" si="0"/>
        <v>5</v>
      </c>
      <c r="AC3" s="168">
        <f t="shared" si="0"/>
        <v>6</v>
      </c>
      <c r="AD3" s="168">
        <f t="shared" si="0"/>
        <v>7</v>
      </c>
      <c r="AE3" s="168">
        <f t="shared" si="0"/>
        <v>1</v>
      </c>
      <c r="AF3" s="168">
        <f t="shared" si="0"/>
        <v>2</v>
      </c>
      <c r="AG3" s="278"/>
      <c r="AH3" s="278"/>
      <c r="AI3" s="278"/>
      <c r="AJ3" s="171" t="e">
        <f ca="1">SUM(AH4:AH149)</f>
        <v>#NAME?</v>
      </c>
    </row>
    <row r="4" spans="1:36" ht="18" customHeight="1">
      <c r="A4" s="92" t="s">
        <v>168</v>
      </c>
      <c r="B4" s="92" t="s">
        <v>10</v>
      </c>
      <c r="C4" s="149"/>
      <c r="D4" s="172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73">
        <v>12</v>
      </c>
      <c r="AH4" s="174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175" t="str">
        <f t="shared" ref="AI4:AI35" si="1">B4</f>
        <v>阿發</v>
      </c>
      <c r="AJ4" s="176"/>
    </row>
    <row r="5" spans="1:36" ht="18" customHeight="1">
      <c r="A5" s="92" t="s">
        <v>174</v>
      </c>
      <c r="B5" s="177" t="s">
        <v>11</v>
      </c>
      <c r="C5" s="149"/>
      <c r="D5" s="172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73">
        <v>12</v>
      </c>
      <c r="AH5" s="174" t="e">
        <f ca="1">IF(A5="O", (VALUE(_xludf.IFS(AG5=0,"0",AG5=1,"150",AG5=2,"300",AG5=3,"450",AG5=4,"600",AG5=5,"750",AG5&gt;=6,"800"))),(VALUE(_xludf.IFS(AG5=0,"0",AG5=1,"150",AG5=2,"300",AG5=3,"450",AG5=4,"600",AG5=5,"750",AG5=6,"900",AG5&gt;=7,"1,000"))))/2</f>
        <v>#NAME?</v>
      </c>
      <c r="AI5" s="178" t="str">
        <f t="shared" si="1"/>
        <v>捷升</v>
      </c>
      <c r="AJ5" s="176"/>
    </row>
    <row r="6" spans="1:36" ht="18" customHeight="1">
      <c r="A6" s="92" t="s">
        <v>174</v>
      </c>
      <c r="B6" s="177" t="s">
        <v>14</v>
      </c>
      <c r="C6" s="149"/>
      <c r="D6" s="172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73">
        <v>13</v>
      </c>
      <c r="AH6" s="174" t="e">
        <f ca="1">IF(A5="O", (VALUE(_xludf.IFS(AG5=0,"0",AG5=1,"150",AG5=2,"300",AG5=3,"450",AG5=4,"600",AG5=5,"750",AG5&gt;=6,"800"))),(VALUE(_xludf.IFS(AG5=0,"0",AG5=1,"150",AG5=2,"300",AG5=3,"450",AG5=4,"600",AG5=5,"750",AG5=6,"900",AG5&gt;=7,"1,000"))))/2</f>
        <v>#NAME?</v>
      </c>
      <c r="AI6" s="178" t="str">
        <f t="shared" si="1"/>
        <v>曉明</v>
      </c>
      <c r="AJ6" s="176"/>
    </row>
    <row r="7" spans="1:36" ht="18" customHeight="1">
      <c r="A7" s="92" t="s">
        <v>174</v>
      </c>
      <c r="B7" s="92" t="s">
        <v>15</v>
      </c>
      <c r="C7" s="149"/>
      <c r="D7" s="172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73">
        <v>8</v>
      </c>
      <c r="AH7" s="174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175" t="str">
        <f t="shared" si="1"/>
        <v>大支</v>
      </c>
      <c r="AJ7" s="176"/>
    </row>
    <row r="8" spans="1:36" ht="18" customHeight="1">
      <c r="A8" s="92" t="s">
        <v>174</v>
      </c>
      <c r="B8" s="92" t="s">
        <v>16</v>
      </c>
      <c r="C8" s="149"/>
      <c r="D8" s="172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73">
        <v>6</v>
      </c>
      <c r="AH8" s="174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175" t="str">
        <f t="shared" si="1"/>
        <v>弼善</v>
      </c>
      <c r="AJ8" s="176"/>
    </row>
    <row r="9" spans="1:36" ht="18" customHeight="1">
      <c r="A9" s="92" t="s">
        <v>174</v>
      </c>
      <c r="B9" s="92" t="s">
        <v>17</v>
      </c>
      <c r="C9" s="149"/>
      <c r="D9" s="172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73">
        <v>12</v>
      </c>
      <c r="AH9" s="174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175" t="str">
        <f t="shared" si="1"/>
        <v>光曜</v>
      </c>
      <c r="AJ9" s="176"/>
    </row>
    <row r="10" spans="1:36" ht="18" customHeight="1">
      <c r="A10" s="92" t="s">
        <v>174</v>
      </c>
      <c r="B10" s="177" t="s">
        <v>13</v>
      </c>
      <c r="C10" s="149"/>
      <c r="D10" s="172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73">
        <v>12</v>
      </c>
      <c r="AH10" s="174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(VALUE(_xludf.IFS(AG10=0,"0",AG10=1,"150",AG10=2,"300",AG10=3,"450",AG10=4,"600",AG10=5,"750",AG10&gt;=6,"800"))),(VALUE(_xludf.IFS(AG10=0,"0",AG10=1,"150",AG10=2,"300",AG10=3,"450",AG10=4,"600",AG10=5,"750",AG10=6,"900",AG10&gt;=7,"1,000"))))/2</f>
        <v>#NAME?</v>
      </c>
      <c r="AI10" s="178" t="str">
        <f t="shared" si="1"/>
        <v>李洋</v>
      </c>
      <c r="AJ10" s="176"/>
    </row>
    <row r="11" spans="1:36" ht="18" customHeight="1">
      <c r="A11" s="92" t="s">
        <v>168</v>
      </c>
      <c r="B11" s="92" t="s">
        <v>18</v>
      </c>
      <c r="C11" s="149"/>
      <c r="D11" s="172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73">
        <v>9</v>
      </c>
      <c r="AH11" s="174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175" t="str">
        <f t="shared" si="1"/>
        <v>皓元</v>
      </c>
      <c r="AJ11" s="176"/>
    </row>
    <row r="12" spans="1:36" ht="18" customHeight="1">
      <c r="A12" s="92" t="s">
        <v>174</v>
      </c>
      <c r="B12" s="177" t="s">
        <v>19</v>
      </c>
      <c r="C12" s="149"/>
      <c r="D12" s="172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73">
        <v>0</v>
      </c>
      <c r="AH12" s="174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(VALUE(_xludf.IFS(AG12=0,"0",AG12=1,"150",AG12=2,"300",AG12=3,"450",AG12=4,"600",AG12=5,"750",AG12&gt;=6,"800"))),(VALUE(_xludf.IFS(AG12=0,"0",AG12=1,"150",AG12=2,"300",AG12=3,"450",AG12=4,"600",AG12=5,"750",AG12=6,"900",AG12&gt;=7,"1,000"))))/2</f>
        <v>#NAME?</v>
      </c>
      <c r="AI12" s="178" t="str">
        <f t="shared" si="1"/>
        <v>青蛙</v>
      </c>
      <c r="AJ12" s="176"/>
    </row>
    <row r="13" spans="1:36" ht="18" customHeight="1">
      <c r="A13" s="92" t="s">
        <v>168</v>
      </c>
      <c r="B13" s="92" t="s">
        <v>61</v>
      </c>
      <c r="C13" s="149"/>
      <c r="D13" s="172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73">
        <v>0</v>
      </c>
      <c r="AH13" s="174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175" t="str">
        <f t="shared" si="1"/>
        <v>韋融</v>
      </c>
      <c r="AJ13" s="176"/>
    </row>
    <row r="14" spans="1:36" ht="18" customHeight="1">
      <c r="A14" s="92" t="s">
        <v>174</v>
      </c>
      <c r="B14" s="92" t="s">
        <v>175</v>
      </c>
      <c r="C14" s="149"/>
      <c r="D14" s="172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73">
        <v>9</v>
      </c>
      <c r="AH14" s="174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175" t="str">
        <f t="shared" si="1"/>
        <v>咪咪</v>
      </c>
      <c r="AJ14" s="176"/>
    </row>
    <row r="15" spans="1:36" ht="18" customHeight="1">
      <c r="A15" s="92" t="s">
        <v>174</v>
      </c>
      <c r="B15" s="92" t="s">
        <v>20</v>
      </c>
      <c r="C15" s="149"/>
      <c r="D15" s="172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73">
        <v>13</v>
      </c>
      <c r="AH15" s="174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175" t="str">
        <f t="shared" si="1"/>
        <v>港弟</v>
      </c>
      <c r="AJ15" s="176"/>
    </row>
    <row r="16" spans="1:36" ht="18" customHeight="1">
      <c r="A16" s="92" t="s">
        <v>174</v>
      </c>
      <c r="B16" s="92" t="s">
        <v>21</v>
      </c>
      <c r="C16" s="149"/>
      <c r="D16" s="172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73">
        <v>0</v>
      </c>
      <c r="AH16" s="174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175" t="str">
        <f t="shared" si="1"/>
        <v>晧全</v>
      </c>
      <c r="AJ16" s="176"/>
    </row>
    <row r="17" spans="1:36" ht="18" customHeight="1">
      <c r="A17" s="92" t="s">
        <v>174</v>
      </c>
      <c r="B17" s="92" t="s">
        <v>22</v>
      </c>
      <c r="C17" s="149"/>
      <c r="D17" s="172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73">
        <v>12</v>
      </c>
      <c r="AH17" s="174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175" t="str">
        <f t="shared" si="1"/>
        <v>Mars</v>
      </c>
      <c r="AJ17" s="176"/>
    </row>
    <row r="18" spans="1:36" ht="18" customHeight="1">
      <c r="A18" s="180" t="s">
        <v>174</v>
      </c>
      <c r="B18" s="180" t="s">
        <v>89</v>
      </c>
      <c r="C18" s="180"/>
      <c r="D18" s="181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73">
        <v>6</v>
      </c>
      <c r="AH18" s="174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175" t="str">
        <f t="shared" si="1"/>
        <v>泡芙</v>
      </c>
      <c r="AJ18" s="182"/>
    </row>
    <row r="19" spans="1:36" ht="18" customHeight="1">
      <c r="A19" s="180" t="s">
        <v>174</v>
      </c>
      <c r="B19" s="180" t="s">
        <v>90</v>
      </c>
      <c r="C19" s="180"/>
      <c r="D19" s="181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73">
        <v>8</v>
      </c>
      <c r="AH19" s="174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175" t="str">
        <f t="shared" si="1"/>
        <v>蓓蓓</v>
      </c>
      <c r="AJ19" s="182"/>
    </row>
    <row r="20" spans="1:36" ht="18" customHeight="1">
      <c r="A20" s="180" t="s">
        <v>168</v>
      </c>
      <c r="B20" s="180" t="s">
        <v>91</v>
      </c>
      <c r="C20" s="180"/>
      <c r="D20" s="181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73">
        <v>0</v>
      </c>
      <c r="AH20" s="174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175" t="str">
        <f t="shared" si="1"/>
        <v>柔柔</v>
      </c>
      <c r="AJ20" s="182"/>
    </row>
    <row r="21" spans="1:36" ht="18" customHeight="1">
      <c r="A21" s="180" t="s">
        <v>174</v>
      </c>
      <c r="B21" s="180" t="s">
        <v>92</v>
      </c>
      <c r="C21" s="180"/>
      <c r="D21" s="181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73">
        <v>8</v>
      </c>
      <c r="AH21" s="174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175" t="str">
        <f t="shared" si="1"/>
        <v>婉晴</v>
      </c>
      <c r="AJ21" s="182"/>
    </row>
    <row r="22" spans="1:36" ht="18" customHeight="1">
      <c r="A22" s="180" t="s">
        <v>174</v>
      </c>
      <c r="B22" s="180" t="s">
        <v>93</v>
      </c>
      <c r="C22" s="180"/>
      <c r="D22" s="181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73">
        <v>6</v>
      </c>
      <c r="AH22" s="174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175" t="str">
        <f t="shared" si="1"/>
        <v>冠婷</v>
      </c>
      <c r="AJ22" s="183"/>
    </row>
    <row r="23" spans="1:36" ht="18" customHeight="1">
      <c r="A23" s="180" t="s">
        <v>174</v>
      </c>
      <c r="B23" s="180" t="s">
        <v>227</v>
      </c>
      <c r="C23" s="180"/>
      <c r="D23" s="181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73">
        <v>1</v>
      </c>
      <c r="AH23" s="174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175" t="str">
        <f t="shared" si="1"/>
        <v>晤悅</v>
      </c>
      <c r="AJ23" s="184"/>
    </row>
    <row r="24" spans="1:36" ht="18" customHeight="1">
      <c r="A24" s="180" t="s">
        <v>174</v>
      </c>
      <c r="B24" s="180" t="s">
        <v>150</v>
      </c>
      <c r="C24" s="180"/>
      <c r="D24" s="181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73">
        <v>0</v>
      </c>
      <c r="AH24" s="174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175" t="str">
        <f t="shared" si="1"/>
        <v>高麗菜</v>
      </c>
      <c r="AJ24" s="182"/>
    </row>
    <row r="25" spans="1:36" ht="18" customHeight="1">
      <c r="A25" s="180" t="s">
        <v>174</v>
      </c>
      <c r="B25" s="180" t="s">
        <v>113</v>
      </c>
      <c r="C25" s="180"/>
      <c r="D25" s="181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73">
        <v>0</v>
      </c>
      <c r="AH25" s="174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175" t="str">
        <f t="shared" si="1"/>
        <v>容容</v>
      </c>
      <c r="AJ25" s="184"/>
    </row>
    <row r="26" spans="1:36" ht="18" customHeight="1">
      <c r="A26" s="180" t="s">
        <v>174</v>
      </c>
      <c r="B26" s="180" t="s">
        <v>94</v>
      </c>
      <c r="C26" s="180"/>
      <c r="D26" s="181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73">
        <v>7</v>
      </c>
      <c r="AH26" s="174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175" t="str">
        <f t="shared" si="1"/>
        <v>小花</v>
      </c>
      <c r="AJ26" s="182"/>
    </row>
    <row r="27" spans="1:36" ht="18" customHeight="1">
      <c r="A27" s="180" t="s">
        <v>174</v>
      </c>
      <c r="B27" s="180" t="s">
        <v>95</v>
      </c>
      <c r="C27" s="180"/>
      <c r="D27" s="181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73">
        <v>3</v>
      </c>
      <c r="AH27" s="174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175" t="str">
        <f t="shared" si="1"/>
        <v>小吱</v>
      </c>
      <c r="AJ27" s="182"/>
    </row>
    <row r="28" spans="1:36" ht="18" customHeight="1">
      <c r="A28" s="180" t="s">
        <v>174</v>
      </c>
      <c r="B28" s="180" t="s">
        <v>146</v>
      </c>
      <c r="C28" s="180"/>
      <c r="D28" s="181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73">
        <v>0</v>
      </c>
      <c r="AH28" s="174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175" t="str">
        <f t="shared" si="1"/>
        <v>飛飛</v>
      </c>
      <c r="AJ28" s="183"/>
    </row>
    <row r="29" spans="1:36" ht="18" customHeight="1">
      <c r="A29" s="180" t="s">
        <v>168</v>
      </c>
      <c r="B29" s="180" t="s">
        <v>147</v>
      </c>
      <c r="C29" s="180"/>
      <c r="D29" s="181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73">
        <v>1</v>
      </c>
      <c r="AH29" s="174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175" t="str">
        <f t="shared" si="1"/>
        <v>湘苡</v>
      </c>
      <c r="AJ29" s="182"/>
    </row>
    <row r="30" spans="1:36" ht="18" customHeight="1">
      <c r="A30" s="180" t="s">
        <v>174</v>
      </c>
      <c r="B30" s="180" t="s">
        <v>148</v>
      </c>
      <c r="C30" s="180"/>
      <c r="D30" s="181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73">
        <v>0</v>
      </c>
      <c r="AH30" s="174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175" t="str">
        <f t="shared" si="1"/>
        <v>雅雅</v>
      </c>
      <c r="AJ30" s="184"/>
    </row>
    <row r="31" spans="1:36" ht="18" customHeight="1">
      <c r="A31" s="185" t="s">
        <v>174</v>
      </c>
      <c r="B31" s="185" t="s">
        <v>103</v>
      </c>
      <c r="C31" s="185"/>
      <c r="D31" s="186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73">
        <v>13</v>
      </c>
      <c r="AH31" s="174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175" t="str">
        <f t="shared" si="1"/>
        <v>圈圈</v>
      </c>
      <c r="AJ31" s="187"/>
    </row>
    <row r="32" spans="1:36" ht="18" customHeight="1">
      <c r="A32" s="185" t="s">
        <v>168</v>
      </c>
      <c r="B32" s="185" t="s">
        <v>104</v>
      </c>
      <c r="C32" s="185"/>
      <c r="D32" s="186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73">
        <v>3</v>
      </c>
      <c r="AH32" s="174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175" t="str">
        <f t="shared" si="1"/>
        <v>卡丘</v>
      </c>
      <c r="AJ32" s="187"/>
    </row>
    <row r="33" spans="1:36" ht="18" customHeight="1">
      <c r="A33" s="185" t="s">
        <v>174</v>
      </c>
      <c r="B33" s="185" t="s">
        <v>105</v>
      </c>
      <c r="C33" s="185"/>
      <c r="D33" s="186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73">
        <v>2</v>
      </c>
      <c r="AH33" s="174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175" t="str">
        <f t="shared" si="1"/>
        <v>琬蓁</v>
      </c>
      <c r="AJ33" s="187"/>
    </row>
    <row r="34" spans="1:36" ht="18" customHeight="1">
      <c r="A34" s="185" t="s">
        <v>174</v>
      </c>
      <c r="B34" s="185" t="s">
        <v>116</v>
      </c>
      <c r="C34" s="185"/>
      <c r="D34" s="186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73">
        <v>2</v>
      </c>
      <c r="AH34" s="174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175" t="str">
        <f t="shared" si="1"/>
        <v>大汪</v>
      </c>
      <c r="AJ34" s="188"/>
    </row>
    <row r="35" spans="1:36" ht="18" customHeight="1">
      <c r="A35" s="185" t="s">
        <v>174</v>
      </c>
      <c r="B35" s="185" t="s">
        <v>117</v>
      </c>
      <c r="C35" s="185"/>
      <c r="D35" s="186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73">
        <v>2</v>
      </c>
      <c r="AH35" s="174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175" t="str">
        <f t="shared" si="1"/>
        <v>依凡</v>
      </c>
      <c r="AJ35" s="188"/>
    </row>
    <row r="36" spans="1:36" ht="18" customHeight="1">
      <c r="A36" s="185" t="s">
        <v>168</v>
      </c>
      <c r="B36" s="185" t="s">
        <v>118</v>
      </c>
      <c r="C36" s="185"/>
      <c r="D36" s="186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73">
        <v>0</v>
      </c>
      <c r="AH36" s="174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175" t="str">
        <f t="shared" ref="AI36:AI67" si="2">B36</f>
        <v>雅筑</v>
      </c>
      <c r="AJ36" s="188"/>
    </row>
    <row r="37" spans="1:36" ht="18" customHeight="1">
      <c r="A37" s="185" t="s">
        <v>168</v>
      </c>
      <c r="B37" s="185" t="s">
        <v>119</v>
      </c>
      <c r="C37" s="185"/>
      <c r="D37" s="186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73">
        <v>0</v>
      </c>
      <c r="AH37" s="174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175" t="str">
        <f t="shared" si="2"/>
        <v>ABBY</v>
      </c>
      <c r="AJ37" s="187"/>
    </row>
    <row r="38" spans="1:36" ht="18" customHeight="1">
      <c r="A38" s="185" t="s">
        <v>168</v>
      </c>
      <c r="B38" s="185" t="s">
        <v>120</v>
      </c>
      <c r="C38" s="185"/>
      <c r="D38" s="186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73">
        <v>1</v>
      </c>
      <c r="AH38" s="174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175" t="str">
        <f t="shared" si="2"/>
        <v>品君</v>
      </c>
      <c r="AJ38" s="187"/>
    </row>
    <row r="39" spans="1:36" ht="18" customHeight="1">
      <c r="A39" s="185" t="s">
        <v>174</v>
      </c>
      <c r="B39" s="185" t="s">
        <v>121</v>
      </c>
      <c r="C39" s="185"/>
      <c r="D39" s="186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73">
        <v>0</v>
      </c>
      <c r="AH39" s="174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175" t="str">
        <f t="shared" si="2"/>
        <v>冰沙</v>
      </c>
      <c r="AJ39" s="187"/>
    </row>
    <row r="40" spans="1:36" ht="18" customHeight="1">
      <c r="A40" s="185" t="s">
        <v>168</v>
      </c>
      <c r="B40" s="185" t="s">
        <v>122</v>
      </c>
      <c r="C40" s="185"/>
      <c r="D40" s="186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73">
        <v>0</v>
      </c>
      <c r="AH40" s="174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175" t="str">
        <f t="shared" si="2"/>
        <v>幸恩</v>
      </c>
      <c r="AJ40" s="187"/>
    </row>
    <row r="41" spans="1:36" ht="18" customHeight="1">
      <c r="A41" s="185" t="s">
        <v>174</v>
      </c>
      <c r="B41" s="185" t="s">
        <v>123</v>
      </c>
      <c r="C41" s="185"/>
      <c r="D41" s="186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73">
        <v>11</v>
      </c>
      <c r="AH41" s="174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175" t="str">
        <f t="shared" si="2"/>
        <v>瑤瑤</v>
      </c>
      <c r="AJ41" s="188"/>
    </row>
    <row r="42" spans="1:36" ht="18" customHeight="1">
      <c r="A42" s="92" t="s">
        <v>58</v>
      </c>
      <c r="B42" s="92" t="s">
        <v>23</v>
      </c>
      <c r="C42" s="166"/>
      <c r="D42" s="167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73">
        <v>0</v>
      </c>
      <c r="AH42" s="174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175" t="str">
        <f t="shared" si="2"/>
        <v>ㄈㄈ</v>
      </c>
      <c r="AJ42" s="189"/>
    </row>
    <row r="43" spans="1:36" ht="18" customHeight="1">
      <c r="A43" s="92" t="s">
        <v>58</v>
      </c>
      <c r="B43" s="92" t="s">
        <v>24</v>
      </c>
      <c r="C43" s="166"/>
      <c r="D43" s="167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73">
        <v>5</v>
      </c>
      <c r="AH43" s="174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175" t="str">
        <f t="shared" si="2"/>
        <v>大熊</v>
      </c>
      <c r="AJ43" s="189"/>
    </row>
    <row r="44" spans="1:36" ht="18" customHeight="1">
      <c r="A44" s="92" t="s">
        <v>58</v>
      </c>
      <c r="B44" s="92" t="s">
        <v>64</v>
      </c>
      <c r="C44" s="166"/>
      <c r="D44" s="167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73">
        <v>0</v>
      </c>
      <c r="AH44" s="174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175" t="str">
        <f t="shared" si="2"/>
        <v>園棠</v>
      </c>
      <c r="AJ44" s="189"/>
    </row>
    <row r="45" spans="1:36" ht="18" customHeight="1">
      <c r="A45" s="92" t="s">
        <v>58</v>
      </c>
      <c r="B45" s="92" t="s">
        <v>178</v>
      </c>
      <c r="C45" s="166"/>
      <c r="D45" s="167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73">
        <v>6</v>
      </c>
      <c r="AH45" s="174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175" t="str">
        <f t="shared" si="2"/>
        <v>Fish</v>
      </c>
      <c r="AJ45" s="189"/>
    </row>
    <row r="46" spans="1:36" ht="18" customHeight="1">
      <c r="A46" s="92" t="s">
        <v>174</v>
      </c>
      <c r="B46" s="92" t="s">
        <v>25</v>
      </c>
      <c r="C46" s="166"/>
      <c r="D46" s="167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73">
        <v>7</v>
      </c>
      <c r="AH46" s="174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175" t="str">
        <f t="shared" si="2"/>
        <v>潘潘</v>
      </c>
      <c r="AJ46" s="189"/>
    </row>
    <row r="47" spans="1:36" ht="18" customHeight="1">
      <c r="A47" s="92" t="s">
        <v>58</v>
      </c>
      <c r="B47" s="92" t="s">
        <v>63</v>
      </c>
      <c r="C47" s="166"/>
      <c r="D47" s="167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73">
        <v>0</v>
      </c>
      <c r="AH47" s="174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175" t="str">
        <f t="shared" si="2"/>
        <v>芒果</v>
      </c>
      <c r="AJ47" s="189"/>
    </row>
    <row r="48" spans="1:36" ht="18" customHeight="1">
      <c r="A48" s="92" t="s">
        <v>58</v>
      </c>
      <c r="B48" s="92" t="s">
        <v>62</v>
      </c>
      <c r="C48" s="166"/>
      <c r="D48" s="167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73">
        <v>0</v>
      </c>
      <c r="AH48" s="174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175" t="str">
        <f t="shared" si="2"/>
        <v>國源</v>
      </c>
      <c r="AJ48" s="189"/>
    </row>
    <row r="49" spans="1:36" ht="18" customHeight="1">
      <c r="A49" s="92" t="s">
        <v>174</v>
      </c>
      <c r="B49" s="92" t="s">
        <v>26</v>
      </c>
      <c r="C49" s="166"/>
      <c r="D49" s="167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73">
        <v>12</v>
      </c>
      <c r="AH49" s="174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175" t="str">
        <f t="shared" si="2"/>
        <v>曉強</v>
      </c>
      <c r="AJ49" s="189"/>
    </row>
    <row r="50" spans="1:36" ht="18" customHeight="1">
      <c r="A50" s="92" t="s">
        <v>58</v>
      </c>
      <c r="B50" s="92" t="s">
        <v>59</v>
      </c>
      <c r="C50" s="166"/>
      <c r="D50" s="167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73">
        <v>0</v>
      </c>
      <c r="AH50" s="174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175" t="str">
        <f t="shared" si="2"/>
        <v>阿幹</v>
      </c>
      <c r="AJ50" s="189"/>
    </row>
    <row r="51" spans="1:36" ht="18" customHeight="1">
      <c r="A51" s="92" t="s">
        <v>174</v>
      </c>
      <c r="B51" s="92" t="s">
        <v>27</v>
      </c>
      <c r="C51" s="166"/>
      <c r="D51" s="167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73">
        <v>0</v>
      </c>
      <c r="AH51" s="174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175" t="str">
        <f t="shared" si="2"/>
        <v>芋圓</v>
      </c>
      <c r="AJ51" s="189"/>
    </row>
    <row r="52" spans="1:36" ht="18" customHeight="1">
      <c r="A52" s="92" t="s">
        <v>58</v>
      </c>
      <c r="B52" s="92" t="s">
        <v>28</v>
      </c>
      <c r="C52" s="166"/>
      <c r="D52" s="167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73">
        <v>1</v>
      </c>
      <c r="AH52" s="174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175" t="str">
        <f t="shared" si="2"/>
        <v>克勤</v>
      </c>
      <c r="AJ52" s="189"/>
    </row>
    <row r="53" spans="1:36" ht="18" customHeight="1">
      <c r="A53" s="92" t="s">
        <v>58</v>
      </c>
      <c r="B53" s="92" t="s">
        <v>29</v>
      </c>
      <c r="C53" s="166"/>
      <c r="D53" s="167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73">
        <v>1</v>
      </c>
      <c r="AH53" s="174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175" t="str">
        <f t="shared" si="2"/>
        <v>大頭</v>
      </c>
      <c r="AJ53" s="189"/>
    </row>
    <row r="54" spans="1:36" ht="18" customHeight="1">
      <c r="A54" s="92" t="s">
        <v>174</v>
      </c>
      <c r="B54" s="92" t="s">
        <v>65</v>
      </c>
      <c r="C54" s="166"/>
      <c r="D54" s="167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73">
        <v>0</v>
      </c>
      <c r="AH54" s="174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175" t="str">
        <f t="shared" si="2"/>
        <v>文淵</v>
      </c>
      <c r="AJ54" s="189"/>
    </row>
    <row r="55" spans="1:36" ht="18" customHeight="1">
      <c r="A55" s="92" t="s">
        <v>58</v>
      </c>
      <c r="B55" s="92" t="s">
        <v>72</v>
      </c>
      <c r="C55" s="166"/>
      <c r="D55" s="167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73">
        <v>0</v>
      </c>
      <c r="AH55" s="174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175" t="str">
        <f t="shared" si="2"/>
        <v>八卦</v>
      </c>
      <c r="AJ55" s="189"/>
    </row>
    <row r="56" spans="1:36" ht="18" customHeight="1">
      <c r="A56" s="92" t="s">
        <v>58</v>
      </c>
      <c r="B56" s="92" t="s">
        <v>66</v>
      </c>
      <c r="C56" s="166"/>
      <c r="D56" s="167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73">
        <v>0</v>
      </c>
      <c r="AH56" s="174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175" t="str">
        <f t="shared" si="2"/>
        <v>昆佑</v>
      </c>
      <c r="AJ56" s="189"/>
    </row>
    <row r="57" spans="1:36" ht="18" customHeight="1">
      <c r="A57" s="92" t="s">
        <v>58</v>
      </c>
      <c r="B57" s="92" t="s">
        <v>68</v>
      </c>
      <c r="C57" s="166"/>
      <c r="D57" s="167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73">
        <v>0</v>
      </c>
      <c r="AH57" s="174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175" t="str">
        <f t="shared" si="2"/>
        <v>兔子</v>
      </c>
      <c r="AJ57" s="189"/>
    </row>
    <row r="58" spans="1:36" ht="18" customHeight="1">
      <c r="A58" s="92" t="s">
        <v>58</v>
      </c>
      <c r="B58" s="92" t="s">
        <v>69</v>
      </c>
      <c r="C58" s="166"/>
      <c r="D58" s="167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73">
        <v>0</v>
      </c>
      <c r="AH58" s="174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175" t="str">
        <f t="shared" si="2"/>
        <v>小馬</v>
      </c>
      <c r="AJ58" s="189"/>
    </row>
    <row r="59" spans="1:36" ht="18" customHeight="1">
      <c r="A59" s="92" t="s">
        <v>58</v>
      </c>
      <c r="B59" s="92" t="s">
        <v>70</v>
      </c>
      <c r="C59" s="166"/>
      <c r="D59" s="167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73">
        <v>1</v>
      </c>
      <c r="AH59" s="174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175" t="str">
        <f t="shared" si="2"/>
        <v>Allen</v>
      </c>
      <c r="AJ59" s="189"/>
    </row>
    <row r="60" spans="1:36" ht="18" customHeight="1">
      <c r="A60" s="92" t="s">
        <v>58</v>
      </c>
      <c r="B60" s="92" t="s">
        <v>71</v>
      </c>
      <c r="C60" s="166"/>
      <c r="D60" s="167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73">
        <v>0</v>
      </c>
      <c r="AH60" s="174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175" t="str">
        <f t="shared" si="2"/>
        <v>嘴嘴</v>
      </c>
      <c r="AJ60" s="189"/>
    </row>
    <row r="61" spans="1:36" ht="18" customHeight="1">
      <c r="A61" s="92" t="s">
        <v>58</v>
      </c>
      <c r="B61" s="92" t="s">
        <v>74</v>
      </c>
      <c r="C61" s="166"/>
      <c r="D61" s="167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73">
        <v>0</v>
      </c>
      <c r="AH61" s="174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175" t="str">
        <f t="shared" si="2"/>
        <v>蘆葦</v>
      </c>
      <c r="AJ61" s="189"/>
    </row>
    <row r="62" spans="1:36" ht="18" customHeight="1">
      <c r="A62" s="92" t="s">
        <v>58</v>
      </c>
      <c r="B62" s="92" t="s">
        <v>30</v>
      </c>
      <c r="C62" s="166"/>
      <c r="D62" s="167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73">
        <v>2</v>
      </c>
      <c r="AH62" s="174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175" t="str">
        <f t="shared" si="2"/>
        <v>鯰魚</v>
      </c>
      <c r="AJ62" s="189"/>
    </row>
    <row r="63" spans="1:36" ht="18" customHeight="1">
      <c r="A63" s="92" t="s">
        <v>58</v>
      </c>
      <c r="B63" s="92" t="s">
        <v>31</v>
      </c>
      <c r="C63" s="166"/>
      <c r="D63" s="167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73">
        <v>1</v>
      </c>
      <c r="AH63" s="174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175" t="str">
        <f t="shared" si="2"/>
        <v>阿美</v>
      </c>
      <c r="AJ63" s="189"/>
    </row>
    <row r="64" spans="1:36" ht="18" customHeight="1">
      <c r="A64" s="92" t="s">
        <v>58</v>
      </c>
      <c r="B64" s="92" t="s">
        <v>73</v>
      </c>
      <c r="C64" s="166"/>
      <c r="D64" s="167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73">
        <v>0</v>
      </c>
      <c r="AH64" s="174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175" t="str">
        <f t="shared" si="2"/>
        <v>冠軍</v>
      </c>
      <c r="AJ64" s="189"/>
    </row>
    <row r="65" spans="1:36" ht="18" customHeight="1">
      <c r="A65" s="92" t="s">
        <v>58</v>
      </c>
      <c r="B65" s="92" t="s">
        <v>198</v>
      </c>
      <c r="C65" s="166"/>
      <c r="D65" s="167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73">
        <v>0</v>
      </c>
      <c r="AH65" s="174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175" t="str">
        <f t="shared" si="2"/>
        <v>郁翔</v>
      </c>
      <c r="AJ65" s="189"/>
    </row>
    <row r="66" spans="1:36" ht="18" customHeight="1">
      <c r="A66" s="92" t="s">
        <v>58</v>
      </c>
      <c r="B66" s="92" t="s">
        <v>67</v>
      </c>
      <c r="C66" s="166"/>
      <c r="D66" s="167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73">
        <v>0</v>
      </c>
      <c r="AH66" s="174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175" t="str">
        <f t="shared" si="2"/>
        <v>歐吉</v>
      </c>
      <c r="AJ66" s="189"/>
    </row>
    <row r="67" spans="1:36" ht="18" customHeight="1">
      <c r="A67" s="92" t="s">
        <v>58</v>
      </c>
      <c r="B67" s="92" t="s">
        <v>75</v>
      </c>
      <c r="C67" s="166"/>
      <c r="D67" s="167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73">
        <v>0</v>
      </c>
      <c r="AH67" s="174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175" t="str">
        <f t="shared" si="2"/>
        <v>叮噹</v>
      </c>
      <c r="AJ67" s="189"/>
    </row>
    <row r="68" spans="1:36" ht="18" customHeight="1">
      <c r="A68" s="92" t="s">
        <v>58</v>
      </c>
      <c r="B68" s="92" t="s">
        <v>76</v>
      </c>
      <c r="C68" s="166"/>
      <c r="D68" s="167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73">
        <v>0</v>
      </c>
      <c r="AH68" s="174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175" t="str">
        <f t="shared" ref="AI68:AI88" si="3">B68</f>
        <v>肥肥</v>
      </c>
      <c r="AJ68" s="189"/>
    </row>
    <row r="69" spans="1:36" ht="18" customHeight="1">
      <c r="A69" s="92" t="s">
        <v>58</v>
      </c>
      <c r="B69" s="92" t="s">
        <v>77</v>
      </c>
      <c r="C69" s="166"/>
      <c r="D69" s="167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73">
        <v>0</v>
      </c>
      <c r="AH69" s="174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175" t="str">
        <f t="shared" si="3"/>
        <v>小夫</v>
      </c>
      <c r="AJ69" s="189"/>
    </row>
    <row r="70" spans="1:36" ht="18" customHeight="1">
      <c r="A70" s="92" t="s">
        <v>58</v>
      </c>
      <c r="B70" s="92" t="s">
        <v>78</v>
      </c>
      <c r="C70" s="166"/>
      <c r="D70" s="167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73">
        <v>0</v>
      </c>
      <c r="AH70" s="174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175" t="str">
        <f t="shared" si="3"/>
        <v>小邱</v>
      </c>
      <c r="AJ70" s="189"/>
    </row>
    <row r="71" spans="1:36" ht="18" customHeight="1">
      <c r="A71" s="92" t="s">
        <v>58</v>
      </c>
      <c r="B71" s="92" t="s">
        <v>79</v>
      </c>
      <c r="C71" s="166"/>
      <c r="D71" s="167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73">
        <v>0</v>
      </c>
      <c r="AH71" s="174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175" t="str">
        <f t="shared" si="3"/>
        <v>淳淳</v>
      </c>
      <c r="AJ71" s="189"/>
    </row>
    <row r="72" spans="1:36" ht="18" customHeight="1">
      <c r="A72" s="92" t="s">
        <v>58</v>
      </c>
      <c r="B72" s="92" t="s">
        <v>80</v>
      </c>
      <c r="C72" s="166"/>
      <c r="D72" s="167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73">
        <v>0</v>
      </c>
      <c r="AH72" s="174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175" t="str">
        <f t="shared" si="3"/>
        <v>禿鷹</v>
      </c>
      <c r="AJ72" s="189"/>
    </row>
    <row r="73" spans="1:36" ht="18" customHeight="1">
      <c r="A73" s="92" t="s">
        <v>58</v>
      </c>
      <c r="B73" s="92" t="s">
        <v>81</v>
      </c>
      <c r="C73" s="166"/>
      <c r="D73" s="167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73">
        <v>0</v>
      </c>
      <c r="AH73" s="174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175" t="str">
        <f t="shared" si="3"/>
        <v>王宏</v>
      </c>
      <c r="AJ73" s="189"/>
    </row>
    <row r="74" spans="1:36" ht="18" customHeight="1">
      <c r="A74" s="92" t="s">
        <v>58</v>
      </c>
      <c r="B74" s="92" t="s">
        <v>82</v>
      </c>
      <c r="C74" s="166"/>
      <c r="D74" s="167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73">
        <v>0</v>
      </c>
      <c r="AH74" s="174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175" t="str">
        <f t="shared" si="3"/>
        <v>犀牛</v>
      </c>
      <c r="AJ74" s="189"/>
    </row>
    <row r="75" spans="1:36" ht="18" customHeight="1">
      <c r="A75" s="92" t="s">
        <v>58</v>
      </c>
      <c r="B75" s="92" t="s">
        <v>83</v>
      </c>
      <c r="C75" s="166"/>
      <c r="D75" s="167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73">
        <v>0</v>
      </c>
      <c r="AH75" s="174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175" t="str">
        <f t="shared" si="3"/>
        <v>來福</v>
      </c>
      <c r="AJ75" s="189"/>
    </row>
    <row r="76" spans="1:36" ht="18" customHeight="1">
      <c r="A76" s="92" t="s">
        <v>58</v>
      </c>
      <c r="B76" s="92" t="s">
        <v>84</v>
      </c>
      <c r="C76" s="166"/>
      <c r="D76" s="167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73">
        <v>0</v>
      </c>
      <c r="AH76" s="174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175" t="str">
        <f t="shared" si="3"/>
        <v>誌誌</v>
      </c>
      <c r="AJ76" s="189"/>
    </row>
    <row r="77" spans="1:36" ht="18" customHeight="1">
      <c r="A77" s="92" t="s">
        <v>58</v>
      </c>
      <c r="B77" s="92" t="s">
        <v>86</v>
      </c>
      <c r="C77" s="166"/>
      <c r="D77" s="167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73">
        <v>0</v>
      </c>
      <c r="AH77" s="174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175" t="str">
        <f t="shared" si="3"/>
        <v>正誼</v>
      </c>
      <c r="AJ77" s="189"/>
    </row>
    <row r="78" spans="1:36" ht="18" customHeight="1">
      <c r="A78" s="92" t="s">
        <v>58</v>
      </c>
      <c r="B78" s="92" t="s">
        <v>32</v>
      </c>
      <c r="C78" s="166"/>
      <c r="D78" s="167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73">
        <v>0</v>
      </c>
      <c r="AH78" s="174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175" t="str">
        <f t="shared" si="3"/>
        <v>小翔</v>
      </c>
      <c r="AJ78" s="189"/>
    </row>
    <row r="79" spans="1:36" ht="18" customHeight="1">
      <c r="A79" s="92" t="s">
        <v>58</v>
      </c>
      <c r="B79" s="92" t="s">
        <v>179</v>
      </c>
      <c r="C79" s="166"/>
      <c r="D79" s="167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73">
        <v>1</v>
      </c>
      <c r="AH79" s="174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175" t="str">
        <f t="shared" si="3"/>
        <v>玹玹</v>
      </c>
      <c r="AJ79" s="189"/>
    </row>
    <row r="80" spans="1:36" ht="18" customHeight="1">
      <c r="A80" s="92" t="s">
        <v>58</v>
      </c>
      <c r="B80" s="92" t="s">
        <v>85</v>
      </c>
      <c r="C80" s="166"/>
      <c r="D80" s="167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73">
        <v>0</v>
      </c>
      <c r="AH80" s="174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175" t="str">
        <f t="shared" si="3"/>
        <v>阿璽</v>
      </c>
      <c r="AJ80" s="189"/>
    </row>
    <row r="81" spans="1:36" ht="18" customHeight="1">
      <c r="A81" s="92" t="s">
        <v>58</v>
      </c>
      <c r="B81" s="92" t="s">
        <v>33</v>
      </c>
      <c r="C81" s="166"/>
      <c r="D81" s="167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73">
        <v>0</v>
      </c>
      <c r="AH81" s="174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175" t="str">
        <f t="shared" si="3"/>
        <v>一飛</v>
      </c>
      <c r="AJ81" s="189"/>
    </row>
    <row r="82" spans="1:36" ht="18" customHeight="1">
      <c r="A82" s="92" t="s">
        <v>58</v>
      </c>
      <c r="B82" s="92" t="s">
        <v>34</v>
      </c>
      <c r="C82" s="166"/>
      <c r="D82" s="167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73">
        <v>2</v>
      </c>
      <c r="AH82" s="174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175" t="str">
        <f t="shared" si="3"/>
        <v>雲翔</v>
      </c>
      <c r="AJ82" s="176"/>
    </row>
    <row r="83" spans="1:36" ht="18" customHeight="1">
      <c r="A83" s="92" t="s">
        <v>58</v>
      </c>
      <c r="B83" s="92" t="s">
        <v>88</v>
      </c>
      <c r="C83" s="166"/>
      <c r="D83" s="167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73">
        <v>0</v>
      </c>
      <c r="AH83" s="174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175" t="str">
        <f t="shared" si="3"/>
        <v>皓皓</v>
      </c>
      <c r="AJ83" s="176"/>
    </row>
    <row r="84" spans="1:36" ht="18" customHeight="1">
      <c r="A84" s="92" t="s">
        <v>58</v>
      </c>
      <c r="B84" s="92" t="s">
        <v>35</v>
      </c>
      <c r="C84" s="166"/>
      <c r="D84" s="167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73">
        <v>0</v>
      </c>
      <c r="AH84" s="174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175" t="str">
        <f t="shared" si="3"/>
        <v>阿戴</v>
      </c>
      <c r="AJ84" s="176"/>
    </row>
    <row r="85" spans="1:36" ht="18" customHeight="1">
      <c r="A85" s="92" t="s">
        <v>58</v>
      </c>
      <c r="B85" s="92" t="s">
        <v>36</v>
      </c>
      <c r="C85" s="166"/>
      <c r="D85" s="167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73">
        <v>0</v>
      </c>
      <c r="AH85" s="174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175" t="str">
        <f t="shared" si="3"/>
        <v>子澔</v>
      </c>
      <c r="AJ85" s="176"/>
    </row>
    <row r="86" spans="1:36" ht="18" customHeight="1">
      <c r="A86" s="92" t="s">
        <v>174</v>
      </c>
      <c r="B86" s="92" t="s">
        <v>37</v>
      </c>
      <c r="C86" s="166"/>
      <c r="D86" s="167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73">
        <v>11</v>
      </c>
      <c r="AH86" s="174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175" t="str">
        <f t="shared" si="3"/>
        <v>魚仔</v>
      </c>
      <c r="AJ86" s="176"/>
    </row>
    <row r="87" spans="1:36" ht="18" customHeight="1">
      <c r="A87" s="92" t="s">
        <v>58</v>
      </c>
      <c r="B87" s="92" t="s">
        <v>87</v>
      </c>
      <c r="C87" s="166"/>
      <c r="D87" s="167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73">
        <v>0</v>
      </c>
      <c r="AH87" s="174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175" t="str">
        <f t="shared" si="3"/>
        <v>Mango</v>
      </c>
      <c r="AJ87" s="176"/>
    </row>
    <row r="88" spans="1:36" ht="18" customHeight="1">
      <c r="A88" s="92" t="s">
        <v>58</v>
      </c>
      <c r="B88" s="92" t="s">
        <v>38</v>
      </c>
      <c r="C88" s="166"/>
      <c r="D88" s="167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73">
        <v>1</v>
      </c>
      <c r="AH88" s="174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175" t="str">
        <f t="shared" si="3"/>
        <v>阿龍</v>
      </c>
      <c r="AJ88" s="176"/>
    </row>
    <row r="89" spans="1:36" ht="18" customHeight="1">
      <c r="A89" s="92" t="s">
        <v>58</v>
      </c>
      <c r="B89" s="92" t="s">
        <v>39</v>
      </c>
      <c r="C89" s="166"/>
      <c r="D89" s="167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73">
        <v>0</v>
      </c>
      <c r="AH89" s="174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175" t="s">
        <v>39</v>
      </c>
      <c r="AJ89" s="176"/>
    </row>
    <row r="90" spans="1:36" ht="18" customHeight="1">
      <c r="A90" s="92" t="s">
        <v>58</v>
      </c>
      <c r="B90" s="92" t="s">
        <v>223</v>
      </c>
      <c r="C90" s="166"/>
      <c r="D90" s="167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90"/>
      <c r="W90" s="191"/>
      <c r="X90" s="190"/>
      <c r="Y90" s="191"/>
      <c r="Z90" s="190"/>
      <c r="AA90" s="166"/>
      <c r="AB90" s="166"/>
      <c r="AC90" s="166"/>
      <c r="AD90" s="166"/>
      <c r="AE90" s="166"/>
      <c r="AF90" s="166"/>
      <c r="AG90" s="173">
        <v>2</v>
      </c>
      <c r="AH90" s="174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175" t="s">
        <v>223</v>
      </c>
      <c r="AJ90" s="176"/>
    </row>
    <row r="91" spans="1:36" ht="18" customHeight="1">
      <c r="A91" s="92" t="s">
        <v>58</v>
      </c>
      <c r="B91" s="92" t="s">
        <v>40</v>
      </c>
      <c r="C91" s="166"/>
      <c r="D91" s="167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73">
        <v>0</v>
      </c>
      <c r="AH91" s="174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175" t="s">
        <v>40</v>
      </c>
      <c r="AJ91" s="176"/>
    </row>
    <row r="92" spans="1:36" ht="18" customHeight="1">
      <c r="A92" s="180" t="s">
        <v>58</v>
      </c>
      <c r="B92" s="180" t="s">
        <v>151</v>
      </c>
      <c r="C92" s="180"/>
      <c r="D92" s="181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73">
        <v>0</v>
      </c>
      <c r="AH92" s="174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175" t="str">
        <f t="shared" ref="AI92:AI111" si="4">B92</f>
        <v>宇嬅</v>
      </c>
      <c r="AJ92" s="184"/>
    </row>
    <row r="93" spans="1:36" ht="18" customHeight="1">
      <c r="A93" s="180" t="s">
        <v>58</v>
      </c>
      <c r="B93" s="180" t="s">
        <v>152</v>
      </c>
      <c r="C93" s="180"/>
      <c r="D93" s="181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73">
        <v>0</v>
      </c>
      <c r="AH93" s="174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175" t="str">
        <f t="shared" si="4"/>
        <v>阿俗</v>
      </c>
      <c r="AJ93" s="183"/>
    </row>
    <row r="94" spans="1:36" ht="18" customHeight="1">
      <c r="A94" s="180" t="s">
        <v>58</v>
      </c>
      <c r="B94" s="180" t="s">
        <v>153</v>
      </c>
      <c r="C94" s="180"/>
      <c r="D94" s="181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73">
        <v>0</v>
      </c>
      <c r="AH94" s="174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175" t="str">
        <f t="shared" si="4"/>
        <v>傻妹</v>
      </c>
      <c r="AJ94" s="183"/>
    </row>
    <row r="95" spans="1:36" ht="18" customHeight="1">
      <c r="A95" s="180" t="s">
        <v>174</v>
      </c>
      <c r="B95" s="180" t="s">
        <v>96</v>
      </c>
      <c r="C95" s="180"/>
      <c r="D95" s="181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73">
        <v>1</v>
      </c>
      <c r="AH95" s="174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175" t="str">
        <f t="shared" si="4"/>
        <v>靜婷</v>
      </c>
      <c r="AJ95" s="183"/>
    </row>
    <row r="96" spans="1:36" ht="18" customHeight="1">
      <c r="A96" s="180" t="s">
        <v>58</v>
      </c>
      <c r="B96" s="180" t="s">
        <v>154</v>
      </c>
      <c r="C96" s="180"/>
      <c r="D96" s="181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73">
        <v>0</v>
      </c>
      <c r="AH96" s="174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175" t="str">
        <f t="shared" si="4"/>
        <v>筱攸</v>
      </c>
      <c r="AJ96" s="183"/>
    </row>
    <row r="97" spans="1:36" ht="18" customHeight="1">
      <c r="A97" s="180" t="s">
        <v>58</v>
      </c>
      <c r="B97" s="180" t="s">
        <v>155</v>
      </c>
      <c r="C97" s="180"/>
      <c r="D97" s="181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73">
        <v>0</v>
      </c>
      <c r="AH97" s="174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175" t="str">
        <f t="shared" si="4"/>
        <v>康康</v>
      </c>
      <c r="AJ97" s="183"/>
    </row>
    <row r="98" spans="1:36" ht="18" customHeight="1">
      <c r="A98" s="180" t="s">
        <v>58</v>
      </c>
      <c r="B98" s="180" t="s">
        <v>156</v>
      </c>
      <c r="C98" s="180"/>
      <c r="D98" s="181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73">
        <v>0</v>
      </c>
      <c r="AH98" s="174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175" t="str">
        <f t="shared" si="4"/>
        <v>阿金</v>
      </c>
      <c r="AJ98" s="183"/>
    </row>
    <row r="99" spans="1:36" ht="18" customHeight="1">
      <c r="A99" s="180" t="s">
        <v>58</v>
      </c>
      <c r="B99" s="180" t="s">
        <v>157</v>
      </c>
      <c r="C99" s="180"/>
      <c r="D99" s="181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73">
        <v>0</v>
      </c>
      <c r="AH99" s="174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175" t="str">
        <f t="shared" si="4"/>
        <v>派大</v>
      </c>
      <c r="AJ99" s="183"/>
    </row>
    <row r="100" spans="1:36" ht="18" customHeight="1">
      <c r="A100" s="180" t="s">
        <v>58</v>
      </c>
      <c r="B100" s="180" t="s">
        <v>158</v>
      </c>
      <c r="C100" s="180"/>
      <c r="D100" s="181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73">
        <v>0</v>
      </c>
      <c r="AH100" s="174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175" t="str">
        <f t="shared" si="4"/>
        <v>吉娃</v>
      </c>
      <c r="AJ100" s="183"/>
    </row>
    <row r="101" spans="1:36" ht="18" customHeight="1">
      <c r="A101" s="180" t="s">
        <v>58</v>
      </c>
      <c r="B101" s="180" t="s">
        <v>159</v>
      </c>
      <c r="C101" s="180"/>
      <c r="D101" s="181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73">
        <v>0</v>
      </c>
      <c r="AH101" s="174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175" t="str">
        <f t="shared" si="4"/>
        <v>小寧</v>
      </c>
      <c r="AJ101" s="183"/>
    </row>
    <row r="102" spans="1:36" ht="18" customHeight="1">
      <c r="A102" s="180" t="s">
        <v>58</v>
      </c>
      <c r="B102" s="180" t="s">
        <v>160</v>
      </c>
      <c r="C102" s="180"/>
      <c r="D102" s="181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73">
        <v>0</v>
      </c>
      <c r="AH102" s="174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175" t="str">
        <f t="shared" si="4"/>
        <v>小妹</v>
      </c>
      <c r="AJ102" s="183"/>
    </row>
    <row r="103" spans="1:36" ht="18" customHeight="1">
      <c r="A103" s="180" t="s">
        <v>58</v>
      </c>
      <c r="B103" s="180" t="s">
        <v>101</v>
      </c>
      <c r="C103" s="180"/>
      <c r="D103" s="181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73">
        <v>2</v>
      </c>
      <c r="AH103" s="174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175" t="str">
        <f t="shared" si="4"/>
        <v>文媛</v>
      </c>
      <c r="AJ103" s="183"/>
    </row>
    <row r="104" spans="1:36" ht="18" customHeight="1">
      <c r="A104" s="180" t="s">
        <v>58</v>
      </c>
      <c r="B104" s="180" t="s">
        <v>161</v>
      </c>
      <c r="C104" s="180"/>
      <c r="D104" s="181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73">
        <v>0</v>
      </c>
      <c r="AH104" s="174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175" t="str">
        <f t="shared" si="4"/>
        <v>佩鈺</v>
      </c>
      <c r="AJ104" s="183"/>
    </row>
    <row r="105" spans="1:36" ht="18" customHeight="1">
      <c r="A105" s="180" t="s">
        <v>58</v>
      </c>
      <c r="B105" s="180" t="s">
        <v>162</v>
      </c>
      <c r="C105" s="180"/>
      <c r="D105" s="181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73">
        <v>0</v>
      </c>
      <c r="AH105" s="174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175" t="str">
        <f t="shared" si="4"/>
        <v>阿布</v>
      </c>
      <c r="AJ105" s="183"/>
    </row>
    <row r="106" spans="1:36" ht="18" customHeight="1">
      <c r="A106" s="180" t="s">
        <v>58</v>
      </c>
      <c r="B106" s="180" t="s">
        <v>100</v>
      </c>
      <c r="C106" s="180"/>
      <c r="D106" s="181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73">
        <v>3</v>
      </c>
      <c r="AH106" s="174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175" t="str">
        <f t="shared" si="4"/>
        <v>餅餅</v>
      </c>
      <c r="AJ106" s="183"/>
    </row>
    <row r="107" spans="1:36" ht="18" customHeight="1">
      <c r="A107" s="180" t="s">
        <v>58</v>
      </c>
      <c r="B107" s="180" t="s">
        <v>163</v>
      </c>
      <c r="C107" s="180"/>
      <c r="D107" s="181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73">
        <v>0</v>
      </c>
      <c r="AH107" s="174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175" t="str">
        <f t="shared" si="4"/>
        <v>小個</v>
      </c>
      <c r="AJ107" s="183"/>
    </row>
    <row r="108" spans="1:36" ht="18" customHeight="1">
      <c r="A108" s="180" t="s">
        <v>58</v>
      </c>
      <c r="B108" s="180" t="s">
        <v>164</v>
      </c>
      <c r="C108" s="180"/>
      <c r="D108" s="181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73">
        <v>0</v>
      </c>
      <c r="AH108" s="174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175" t="str">
        <f t="shared" si="4"/>
        <v>小菜</v>
      </c>
      <c r="AJ108" s="183"/>
    </row>
    <row r="109" spans="1:36" ht="18" customHeight="1">
      <c r="A109" s="180" t="s">
        <v>58</v>
      </c>
      <c r="B109" s="180" t="s">
        <v>102</v>
      </c>
      <c r="C109" s="180"/>
      <c r="D109" s="181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73">
        <v>0</v>
      </c>
      <c r="AH109" s="174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175" t="str">
        <f t="shared" si="4"/>
        <v>妮妮</v>
      </c>
      <c r="AJ109" s="183"/>
    </row>
    <row r="110" spans="1:36" ht="18" customHeight="1">
      <c r="A110" s="180" t="s">
        <v>58</v>
      </c>
      <c r="B110" s="180" t="s">
        <v>165</v>
      </c>
      <c r="C110" s="180"/>
      <c r="D110" s="181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73">
        <v>0</v>
      </c>
      <c r="AH110" s="174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175" t="str">
        <f t="shared" si="4"/>
        <v>小貓</v>
      </c>
      <c r="AJ110" s="183"/>
    </row>
    <row r="111" spans="1:36" ht="18" customHeight="1">
      <c r="A111" s="180" t="s">
        <v>58</v>
      </c>
      <c r="B111" s="180" t="s">
        <v>166</v>
      </c>
      <c r="C111" s="180"/>
      <c r="D111" s="181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73">
        <v>0</v>
      </c>
      <c r="AH111" s="174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175" t="str">
        <f t="shared" si="4"/>
        <v>哈比</v>
      </c>
      <c r="AJ111" s="183"/>
    </row>
    <row r="112" spans="1:36" ht="18" customHeight="1">
      <c r="A112" s="180" t="s">
        <v>174</v>
      </c>
      <c r="B112" s="180" t="s">
        <v>97</v>
      </c>
      <c r="C112" s="180"/>
      <c r="D112" s="181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73">
        <v>9</v>
      </c>
      <c r="AH112" s="174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175" t="s">
        <v>97</v>
      </c>
      <c r="AJ112" s="183"/>
    </row>
    <row r="113" spans="1:36" ht="18" customHeight="1">
      <c r="A113" s="180" t="s">
        <v>58</v>
      </c>
      <c r="B113" s="180" t="s">
        <v>98</v>
      </c>
      <c r="C113" s="180"/>
      <c r="D113" s="181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73">
        <v>1</v>
      </c>
      <c r="AH113" s="174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175" t="s">
        <v>98</v>
      </c>
      <c r="AJ113" s="183"/>
    </row>
    <row r="114" spans="1:36" ht="18" customHeight="1">
      <c r="A114" s="180" t="s">
        <v>174</v>
      </c>
      <c r="B114" s="180" t="s">
        <v>99</v>
      </c>
      <c r="C114" s="180"/>
      <c r="D114" s="181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73">
        <v>9</v>
      </c>
      <c r="AH114" s="174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175" t="s">
        <v>99</v>
      </c>
      <c r="AJ114" s="183"/>
    </row>
    <row r="115" spans="1:36" ht="18" customHeight="1">
      <c r="A115" s="185" t="s">
        <v>58</v>
      </c>
      <c r="B115" s="185" t="s">
        <v>124</v>
      </c>
      <c r="C115" s="185"/>
      <c r="D115" s="186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  <c r="AF115" s="185"/>
      <c r="AG115" s="173">
        <v>0</v>
      </c>
      <c r="AH115" s="174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175" t="str">
        <f t="shared" ref="AI115:AI139" si="5">B115</f>
        <v>玉蕙</v>
      </c>
      <c r="AJ115" s="188"/>
    </row>
    <row r="116" spans="1:36" ht="18" customHeight="1">
      <c r="A116" s="185" t="s">
        <v>58</v>
      </c>
      <c r="B116" s="185" t="s">
        <v>125</v>
      </c>
      <c r="C116" s="185"/>
      <c r="D116" s="186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73">
        <v>0</v>
      </c>
      <c r="AH116" s="174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175" t="str">
        <f t="shared" si="5"/>
        <v>沛緁</v>
      </c>
      <c r="AJ116" s="188"/>
    </row>
    <row r="117" spans="1:36" ht="18" customHeight="1">
      <c r="A117" s="185" t="s">
        <v>58</v>
      </c>
      <c r="B117" s="185" t="s">
        <v>126</v>
      </c>
      <c r="C117" s="185"/>
      <c r="D117" s="186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  <c r="AF117" s="185"/>
      <c r="AG117" s="173">
        <v>0</v>
      </c>
      <c r="AH117" s="174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175" t="str">
        <f t="shared" si="5"/>
        <v>妹妹</v>
      </c>
      <c r="AJ117" s="188"/>
    </row>
    <row r="118" spans="1:36" ht="18" customHeight="1">
      <c r="A118" s="185" t="s">
        <v>58</v>
      </c>
      <c r="B118" s="185" t="s">
        <v>127</v>
      </c>
      <c r="C118" s="185"/>
      <c r="D118" s="186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G118" s="173">
        <v>7</v>
      </c>
      <c r="AH118" s="174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175" t="str">
        <f t="shared" si="5"/>
        <v>小雞</v>
      </c>
      <c r="AJ118" s="188"/>
    </row>
    <row r="119" spans="1:36" ht="18" customHeight="1">
      <c r="A119" s="185" t="s">
        <v>58</v>
      </c>
      <c r="B119" s="185" t="s">
        <v>128</v>
      </c>
      <c r="C119" s="185"/>
      <c r="D119" s="186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73">
        <v>0</v>
      </c>
      <c r="AH119" s="174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175" t="str">
        <f t="shared" si="5"/>
        <v>雨昕</v>
      </c>
      <c r="AJ119" s="188"/>
    </row>
    <row r="120" spans="1:36" ht="18" customHeight="1">
      <c r="A120" s="185" t="s">
        <v>58</v>
      </c>
      <c r="B120" s="185" t="s">
        <v>129</v>
      </c>
      <c r="C120" s="185"/>
      <c r="D120" s="186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73">
        <v>0</v>
      </c>
      <c r="AH120" s="174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175" t="str">
        <f t="shared" si="5"/>
        <v>矮矮</v>
      </c>
      <c r="AJ120" s="188"/>
    </row>
    <row r="121" spans="1:36" ht="18" customHeight="1">
      <c r="A121" s="185" t="s">
        <v>58</v>
      </c>
      <c r="B121" s="185" t="s">
        <v>130</v>
      </c>
      <c r="C121" s="185"/>
      <c r="D121" s="186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73">
        <v>0</v>
      </c>
      <c r="AH121" s="174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175" t="str">
        <f t="shared" si="5"/>
        <v>猛女</v>
      </c>
      <c r="AJ121" s="188"/>
    </row>
    <row r="122" spans="1:36" ht="18" customHeight="1">
      <c r="A122" s="185" t="s">
        <v>58</v>
      </c>
      <c r="B122" s="185" t="s">
        <v>131</v>
      </c>
      <c r="C122" s="185"/>
      <c r="D122" s="186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73">
        <v>0</v>
      </c>
      <c r="AH122" s="174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175" t="str">
        <f t="shared" si="5"/>
        <v>欣容</v>
      </c>
      <c r="AJ122" s="188"/>
    </row>
    <row r="123" spans="1:36" ht="18" customHeight="1">
      <c r="A123" s="185" t="s">
        <v>58</v>
      </c>
      <c r="B123" s="185" t="s">
        <v>132</v>
      </c>
      <c r="C123" s="185"/>
      <c r="D123" s="186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G123" s="173">
        <v>0</v>
      </c>
      <c r="AH123" s="174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175" t="str">
        <f t="shared" si="5"/>
        <v>萁萁</v>
      </c>
      <c r="AJ123" s="188"/>
    </row>
    <row r="124" spans="1:36" ht="18" customHeight="1">
      <c r="A124" s="185" t="s">
        <v>58</v>
      </c>
      <c r="B124" s="185" t="s">
        <v>133</v>
      </c>
      <c r="C124" s="185"/>
      <c r="D124" s="186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G124" s="173">
        <v>0</v>
      </c>
      <c r="AH124" s="174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175" t="str">
        <f t="shared" si="5"/>
        <v>萱</v>
      </c>
      <c r="AJ124" s="192"/>
    </row>
    <row r="125" spans="1:36" ht="18" customHeight="1">
      <c r="A125" s="185" t="s">
        <v>58</v>
      </c>
      <c r="B125" s="185" t="s">
        <v>134</v>
      </c>
      <c r="C125" s="185"/>
      <c r="D125" s="186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  <c r="AF125" s="185"/>
      <c r="AG125" s="173">
        <v>0</v>
      </c>
      <c r="AH125" s="174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175" t="str">
        <f t="shared" si="5"/>
        <v>Mei</v>
      </c>
      <c r="AJ125" s="192"/>
    </row>
    <row r="126" spans="1:36" ht="18" customHeight="1">
      <c r="A126" s="185" t="s">
        <v>58</v>
      </c>
      <c r="B126" s="185" t="s">
        <v>135</v>
      </c>
      <c r="C126" s="185"/>
      <c r="D126" s="186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185"/>
      <c r="AF126" s="185"/>
      <c r="AG126" s="173">
        <v>0</v>
      </c>
      <c r="AH126" s="174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175" t="str">
        <f t="shared" si="5"/>
        <v>屁屁</v>
      </c>
      <c r="AJ126" s="192"/>
    </row>
    <row r="127" spans="1:36" ht="18" customHeight="1">
      <c r="A127" s="185" t="s">
        <v>58</v>
      </c>
      <c r="B127" s="185" t="s">
        <v>136</v>
      </c>
      <c r="C127" s="185"/>
      <c r="D127" s="186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5"/>
      <c r="AG127" s="173">
        <v>0</v>
      </c>
      <c r="AH127" s="174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175" t="str">
        <f t="shared" si="5"/>
        <v>泡泡</v>
      </c>
      <c r="AJ127" s="192"/>
    </row>
    <row r="128" spans="1:36" ht="18" customHeight="1">
      <c r="A128" s="185" t="s">
        <v>58</v>
      </c>
      <c r="B128" s="185" t="s">
        <v>137</v>
      </c>
      <c r="C128" s="185"/>
      <c r="D128" s="186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  <c r="AF128" s="185"/>
      <c r="AG128" s="173">
        <v>0</v>
      </c>
      <c r="AH128" s="174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175" t="str">
        <f t="shared" si="5"/>
        <v>姚</v>
      </c>
      <c r="AJ128" s="192"/>
    </row>
    <row r="129" spans="1:36" ht="18" customHeight="1">
      <c r="A129" s="185" t="s">
        <v>58</v>
      </c>
      <c r="B129" s="185" t="s">
        <v>138</v>
      </c>
      <c r="C129" s="185"/>
      <c r="D129" s="186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73">
        <v>0</v>
      </c>
      <c r="AH129" s="174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175" t="str">
        <f t="shared" si="5"/>
        <v>奜茜</v>
      </c>
      <c r="AJ129" s="192"/>
    </row>
    <row r="130" spans="1:36" ht="18" customHeight="1">
      <c r="A130" s="185" t="s">
        <v>58</v>
      </c>
      <c r="B130" s="193" t="s">
        <v>139</v>
      </c>
      <c r="C130" s="185"/>
      <c r="D130" s="186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73">
        <v>2</v>
      </c>
      <c r="AH130" s="174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175" t="str">
        <f t="shared" si="5"/>
        <v>Tina</v>
      </c>
      <c r="AJ130" s="192"/>
    </row>
    <row r="131" spans="1:36" ht="18" customHeight="1">
      <c r="A131" s="185" t="s">
        <v>58</v>
      </c>
      <c r="B131" s="193" t="s">
        <v>140</v>
      </c>
      <c r="C131" s="185"/>
      <c r="D131" s="186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G131" s="173">
        <v>0</v>
      </c>
      <c r="AH131" s="174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175" t="str">
        <f t="shared" si="5"/>
        <v>芷琦</v>
      </c>
      <c r="AJ131" s="192"/>
    </row>
    <row r="132" spans="1:36" ht="18" customHeight="1">
      <c r="A132" s="185" t="s">
        <v>58</v>
      </c>
      <c r="B132" s="193" t="s">
        <v>106</v>
      </c>
      <c r="C132" s="185"/>
      <c r="D132" s="186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73">
        <v>10</v>
      </c>
      <c r="AH132" s="174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175" t="str">
        <f t="shared" si="5"/>
        <v>Nina</v>
      </c>
      <c r="AJ132" s="192"/>
    </row>
    <row r="133" spans="1:36" ht="18" customHeight="1">
      <c r="A133" s="185" t="s">
        <v>58</v>
      </c>
      <c r="B133" s="185" t="s">
        <v>141</v>
      </c>
      <c r="C133" s="185"/>
      <c r="D133" s="186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73">
        <v>0</v>
      </c>
      <c r="AH133" s="174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175" t="str">
        <f t="shared" si="5"/>
        <v>Cindy</v>
      </c>
      <c r="AJ133" s="192"/>
    </row>
    <row r="134" spans="1:36" ht="18" customHeight="1">
      <c r="A134" s="185" t="s">
        <v>58</v>
      </c>
      <c r="B134" s="185" t="s">
        <v>142</v>
      </c>
      <c r="C134" s="185"/>
      <c r="D134" s="186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73">
        <v>0</v>
      </c>
      <c r="AH134" s="174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175" t="str">
        <f t="shared" si="5"/>
        <v>如靜</v>
      </c>
      <c r="AJ134" s="192"/>
    </row>
    <row r="135" spans="1:36" ht="18" customHeight="1">
      <c r="A135" s="185" t="s">
        <v>58</v>
      </c>
      <c r="B135" s="185" t="s">
        <v>143</v>
      </c>
      <c r="C135" s="185"/>
      <c r="D135" s="186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73">
        <v>0</v>
      </c>
      <c r="AH135" s="174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175" t="str">
        <f t="shared" si="5"/>
        <v>毓玫</v>
      </c>
      <c r="AJ135" s="192"/>
    </row>
    <row r="136" spans="1:36" ht="18" customHeight="1">
      <c r="A136" s="185" t="s">
        <v>58</v>
      </c>
      <c r="B136" s="185" t="s">
        <v>144</v>
      </c>
      <c r="C136" s="185"/>
      <c r="D136" s="186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  <c r="AF136" s="185"/>
      <c r="AG136" s="173">
        <v>0</v>
      </c>
      <c r="AH136" s="174" t="e">
        <f ca="1">IF(A136="O", (VALUE(_xludf.IFS(AG136=0,"0",AG136=1,"150",AG136=2,"300",AG136=3,"450",AG136=4,"600",AG136=5,"750",AG136&gt;=6,"800"))),(VALUE(_xludf.IFS(AG136=0,"0",AG136=1,"150",AG136=2,"300",AG136=3,"450",AG136=4,"600",AG136=5,"750",AG136=6,"900",AG136&gt;=7,"1,000"))))</f>
        <v>#NAME?</v>
      </c>
      <c r="AI136" s="175" t="str">
        <f t="shared" si="5"/>
        <v>美枝</v>
      </c>
      <c r="AJ136" s="192"/>
    </row>
    <row r="137" spans="1:36" ht="18" customHeight="1">
      <c r="A137" s="185" t="s">
        <v>58</v>
      </c>
      <c r="B137" s="185" t="s">
        <v>145</v>
      </c>
      <c r="C137" s="185"/>
      <c r="D137" s="186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G137" s="173">
        <v>0</v>
      </c>
      <c r="AH137" s="174" t="e">
        <f ca="1">IF(A137="O", (VALUE(_xludf.IFS(AG137=0,"0",AG137=1,"150",AG137=2,"300",AG137=3,"450",AG137=4,"600",AG137=5,"750",AG137&gt;=6,"800"))),(VALUE(_xludf.IFS(AG137=0,"0",AG137=1,"150",AG137=2,"300",AG137=3,"450",AG137=4,"600",AG137=5,"750",AG137=6,"900",AG137&gt;=7,"1,000"))))</f>
        <v>#NAME?</v>
      </c>
      <c r="AI137" s="175" t="str">
        <f t="shared" si="5"/>
        <v>魯魯咪</v>
      </c>
      <c r="AJ137" s="192"/>
    </row>
    <row r="138" spans="1:36" ht="18" customHeight="1">
      <c r="A138" s="166" t="s">
        <v>58</v>
      </c>
      <c r="B138" s="166" t="s">
        <v>41</v>
      </c>
      <c r="C138" s="166"/>
      <c r="D138" s="167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73">
        <v>0</v>
      </c>
      <c r="AH138" s="174" t="e">
        <f ca="1">IF(A138="O", (VALUE(_xludf.IFS(AG138=0,"0",AG138=1,"150",AG138=2,"300",AG138=3,"450",AG138=4,"600",AG138=5,"750",AG138&gt;=6,"800"))),(VALUE(_xludf.IFS(AG138=0,"0",AG138=1,"150",AG138=2,"300",AG138=3,"450",AG138=4,"600",AG138=5,"750",AG138=6,"900",AG138&gt;=7,"1,000"))))</f>
        <v>#NAME?</v>
      </c>
      <c r="AI138" s="175" t="str">
        <f t="shared" si="5"/>
        <v>軟軟</v>
      </c>
      <c r="AJ138" s="194"/>
    </row>
    <row r="139" spans="1:36" ht="18" customHeight="1">
      <c r="A139" s="166" t="s">
        <v>58</v>
      </c>
      <c r="B139" s="166" t="s">
        <v>42</v>
      </c>
      <c r="C139" s="166"/>
      <c r="D139" s="167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73">
        <v>3</v>
      </c>
      <c r="AH139" s="174" t="e">
        <f ca="1">IF(A139="O", (VALUE(_xludf.IFS(AG139=0,"0",AG139=1,"150",AG139=2,"300",AG139=3,"450",AG139=4,"600",AG139=5,"750",AG139&gt;=6,"800"))),(VALUE(_xludf.IFS(AG139=0,"0",AG139=1,"150",AG139=2,"300",AG139=3,"450",AG139=4,"600",AG139=5,"750",AG139=6,"900",AG139&gt;=7,"1,000"))))</f>
        <v>#NAME?</v>
      </c>
      <c r="AI139" s="175" t="str">
        <f t="shared" si="5"/>
        <v>屎蛋</v>
      </c>
      <c r="AJ139" s="194"/>
    </row>
    <row r="140" spans="1:36" ht="18" customHeight="1">
      <c r="A140" s="166"/>
      <c r="B140" s="166" t="s">
        <v>43</v>
      </c>
      <c r="C140" s="166"/>
      <c r="D140" s="167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74">
        <v>11</v>
      </c>
      <c r="AH140" s="174" t="e">
        <f ca="1">IF(A140="O", (VALUE(_xludf.IFS(AG140=0,"0",AG140=1,"150",AG140=2,"300",AG140=3,"450",AG140=4,"600",AG140=5,"750",AG140&gt;=6,"800"))),(VALUE(_xludf.IFS(AG140=0,"0",AG140=1,"150",AG140=2,"300",AG140=3,"450",AG140=4,"600",AG140=5,"750",AG140=6,"900",AG140&gt;=7,"1,000"))))</f>
        <v>#NAME?</v>
      </c>
      <c r="AI140" s="175" t="s">
        <v>43</v>
      </c>
      <c r="AJ140" s="194"/>
    </row>
    <row r="141" spans="1:36" ht="18" customHeight="1">
      <c r="A141" s="166" t="s">
        <v>174</v>
      </c>
      <c r="B141" s="166" t="s">
        <v>229</v>
      </c>
      <c r="C141" s="166"/>
      <c r="D141" s="167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74">
        <v>6</v>
      </c>
      <c r="AH141" s="174" t="e">
        <f ca="1">IF(A141="O", (VALUE(_xludf.IFS(AG141=0,"0",AG141=1,"150",AG141=2,"300",AG141=3,"450",AG141=4,"600",AG141=5,"750",AG141&gt;=6,"800"))),(VALUE(_xludf.IFS(AG141=0,"0",AG141=1,"150",AG141=2,"300",AG141=3,"450",AG141=4,"600",AG141=5,"750",AG141=6,"900",AG141&gt;=7,"1,000"))))</f>
        <v>#NAME?</v>
      </c>
      <c r="AI141" s="175" t="s">
        <v>230</v>
      </c>
      <c r="AJ141" s="194"/>
    </row>
    <row r="142" spans="1:36" ht="18" customHeight="1">
      <c r="A142" s="166" t="s">
        <v>174</v>
      </c>
      <c r="B142" s="166" t="s">
        <v>231</v>
      </c>
      <c r="C142" s="166"/>
      <c r="D142" s="167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74">
        <v>4</v>
      </c>
      <c r="AH142" s="174" t="e">
        <f ca="1">IF(A142="O", (VALUE(_xludf.IFS(AG142=0,"0",AG142=1,"150",AG142=2,"300",AG142=3,"450",AG142=4,"600",AG142=5,"750",AG142&gt;=6,"800"))),(VALUE(_xludf.IFS(AG142=0,"0",AG142=1,"150",AG142=2,"300",AG142=3,"450",AG142=4,"600",AG142=5,"750",AG142=6,"900",AG142&gt;=7,"1,000"))))</f>
        <v>#NAME?</v>
      </c>
      <c r="AI142" s="175" t="s">
        <v>231</v>
      </c>
      <c r="AJ142" s="194"/>
    </row>
    <row r="143" spans="1:36" ht="18" customHeight="1">
      <c r="A143" s="166"/>
      <c r="B143" s="166" t="s">
        <v>221</v>
      </c>
      <c r="C143" s="166"/>
      <c r="D143" s="167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74">
        <v>3</v>
      </c>
      <c r="AH143" s="174" t="e">
        <f ca="1">IF(A143="O", (VALUE(_xludf.IFS(AG143=0,"0",AG143=1,"150",AG143=2,"300",AG143=3,"450",AG143=4,"600",AG143=5,"750",AG143&gt;=6,"800"))),(VALUE(_xludf.IFS(AG143=0,"0",AG143=1,"150",AG143=2,"300",AG143=3,"450",AG143=4,"600",AG143=5,"750",AG143=6,"900",AG143&gt;=7,"1,000"))))</f>
        <v>#NAME?</v>
      </c>
      <c r="AI143" s="175" t="s">
        <v>221</v>
      </c>
      <c r="AJ143" s="194"/>
    </row>
    <row r="144" spans="1:36" ht="18" customHeight="1">
      <c r="A144" s="166"/>
      <c r="B144" s="166" t="s">
        <v>108</v>
      </c>
      <c r="C144" s="166"/>
      <c r="D144" s="167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74">
        <v>10</v>
      </c>
      <c r="AH144" s="174" t="e">
        <f ca="1">IF(A144="O", (VALUE(_xludf.IFS(AG144=0,"0",AG144=1,"150",AG144=2,"300",AG144=3,"450",AG144=4,"600",AG144=5,"750",AG144&gt;=6,"800"))),(VALUE(_xludf.IFS(AG144=0,"0",AG144=1,"150",AG144=2,"300",AG144=3,"450",AG144=4,"600",AG144=5,"750",AG144=6,"900",AG144&gt;=7,"1,000"))))</f>
        <v>#NAME?</v>
      </c>
      <c r="AI144" s="175" t="s">
        <v>108</v>
      </c>
      <c r="AJ144" s="194"/>
    </row>
    <row r="145" spans="1:36" ht="18" customHeight="1">
      <c r="A145" s="166"/>
      <c r="B145" s="166" t="s">
        <v>109</v>
      </c>
      <c r="C145" s="166"/>
      <c r="D145" s="167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74"/>
      <c r="AH145" s="174" t="e">
        <f ca="1">IF(A145="O", (VALUE(_xludf.IFS(AG145=0,"0",AG145=1,"150",AG145=2,"300",AG145=3,"450",AG145=4,"600",AG145=5,"750",AG145&gt;=6,"800"))),(VALUE(_xludf.IFS(AG145=0,"0",AG145=1,"150",AG145=2,"300",AG145=3,"450",AG145=4,"600",AG145=5,"750",AG145=6,"900",AG145&gt;=7,"1,000"))))</f>
        <v>#NAME?</v>
      </c>
      <c r="AI145" s="175" t="s">
        <v>109</v>
      </c>
      <c r="AJ145" s="194"/>
    </row>
    <row r="146" spans="1:36" ht="18" customHeight="1">
      <c r="A146" s="166"/>
      <c r="B146" s="166"/>
      <c r="C146" s="166"/>
      <c r="D146" s="167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74">
        <v>12</v>
      </c>
      <c r="AH146" s="174" t="e">
        <f ca="1">IF(A146="O", (VALUE(_xludf.IFS(AG146=0,"0",AG146=1,"150",AG146=2,"300",AG146=3,"450",AG146=4,"600",AG146=5,"750",AG146&gt;=6,"800"))),(VALUE(_xludf.IFS(AG146=0,"0",AG146=1,"150",AG146=2,"300",AG146=3,"450",AG146=4,"600",AG146=5,"750",AG146=6,"900",AG146&gt;=7,"1,000"))))</f>
        <v>#NAME?</v>
      </c>
      <c r="AI146" s="175" t="s">
        <v>232</v>
      </c>
      <c r="AJ146" s="194"/>
    </row>
    <row r="147" spans="1:36" ht="18" customHeight="1">
      <c r="A147" s="166"/>
      <c r="B147" s="166"/>
      <c r="C147" s="166"/>
      <c r="D147" s="167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73"/>
      <c r="AH147" s="174" t="e">
        <f ca="1">IF(A147="O", (VALUE(_xludf.IFS(AG147=0,"0",AG147=1,"150",AG147=2,"300",AG147=3,"450",AG147=4,"600",AG147=5,"750",AG147&gt;=6,"800"))),(VALUE(_xludf.IFS(AG147=0,"0",AG147=1,"150",AG147=2,"300",AG147=3,"450",AG147=4,"600",AG147=5,"750",AG147=6,"900",AG147&gt;=7,"1,000"))))</f>
        <v>#NAME?</v>
      </c>
      <c r="AI147" s="175"/>
      <c r="AJ147" s="194"/>
    </row>
    <row r="148" spans="1:36" ht="18" customHeight="1">
      <c r="A148" s="166"/>
      <c r="B148" s="166"/>
      <c r="C148" s="166"/>
      <c r="D148" s="167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73"/>
      <c r="AH148" s="174" t="e">
        <f ca="1">IF(A148="O", (VALUE(_xludf.IFS(AG148=0,"0",AG148=1,"150",AG148=2,"300",AG148=3,"450",AG148=4,"600",AG148=5,"750",AG148&gt;=6,"800"))),(VALUE(_xludf.IFS(AG148=0,"0",AG148=1,"150",AG148=2,"300",AG148=3,"450",AG148=4,"600",AG148=5,"750",AG148=6,"900",AG148&gt;=7,"1,000"))))</f>
        <v>#NAME?</v>
      </c>
      <c r="AI148" s="175"/>
      <c r="AJ148" s="194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48">
    <cfRule type="expression" dxfId="7" priority="1">
      <formula>COUNTIF($B:$B,$B2)&gt;1</formula>
    </cfRule>
  </conditionalFormatting>
  <dataValidations count="1">
    <dataValidation type="list" allowBlank="1" showDropDown="1" showErrorMessage="1" sqref="C1:AF1" xr:uid="{00000000-0002-0000-1B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A9999"/>
    <outlinePr summaryBelow="0" summaryRight="0"/>
    <pageSetUpPr fitToPage="1"/>
  </sheetPr>
  <dimension ref="A1:AJ1148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90" t="s">
        <v>0</v>
      </c>
      <c r="B1" s="291"/>
      <c r="C1" s="53"/>
      <c r="D1" s="168"/>
      <c r="E1" s="168"/>
      <c r="F1" s="53"/>
      <c r="G1" s="168"/>
      <c r="H1" s="53"/>
      <c r="I1" s="168"/>
      <c r="J1" s="168"/>
      <c r="K1" s="168"/>
      <c r="L1" s="168"/>
      <c r="M1" s="53"/>
      <c r="N1" s="168"/>
      <c r="O1" s="53"/>
      <c r="P1" s="168"/>
      <c r="Q1" s="168"/>
      <c r="R1" s="168"/>
      <c r="S1" s="168"/>
      <c r="T1" s="53"/>
      <c r="U1" s="168"/>
      <c r="V1" s="53"/>
      <c r="W1" s="168"/>
      <c r="X1" s="168"/>
      <c r="Y1" s="168"/>
      <c r="Z1" s="168"/>
      <c r="AA1" s="53"/>
      <c r="AB1" s="168"/>
      <c r="AC1" s="168"/>
      <c r="AD1" s="168"/>
      <c r="AE1" s="168"/>
      <c r="AF1" s="168"/>
      <c r="AG1" s="292" t="s">
        <v>6</v>
      </c>
      <c r="AH1" s="284" t="s">
        <v>7</v>
      </c>
      <c r="AI1" s="284" t="s">
        <v>172</v>
      </c>
      <c r="AJ1" s="289" t="s">
        <v>1</v>
      </c>
    </row>
    <row r="2" spans="1:36" ht="18" customHeight="1">
      <c r="A2" s="53" t="s">
        <v>2</v>
      </c>
      <c r="B2" s="53" t="s">
        <v>3</v>
      </c>
      <c r="C2" s="169">
        <v>45931</v>
      </c>
      <c r="D2" s="169">
        <v>45932</v>
      </c>
      <c r="E2" s="169">
        <v>45933</v>
      </c>
      <c r="F2" s="169">
        <v>45934</v>
      </c>
      <c r="G2" s="169">
        <v>45935</v>
      </c>
      <c r="H2" s="169">
        <v>45936</v>
      </c>
      <c r="I2" s="169">
        <v>45937</v>
      </c>
      <c r="J2" s="169">
        <v>45938</v>
      </c>
      <c r="K2" s="169">
        <v>45939</v>
      </c>
      <c r="L2" s="169">
        <v>45940</v>
      </c>
      <c r="M2" s="169">
        <v>45941</v>
      </c>
      <c r="N2" s="169">
        <v>45942</v>
      </c>
      <c r="O2" s="169">
        <v>45943</v>
      </c>
      <c r="P2" s="169">
        <v>45944</v>
      </c>
      <c r="Q2" s="169">
        <v>45945</v>
      </c>
      <c r="R2" s="169">
        <v>45946</v>
      </c>
      <c r="S2" s="169">
        <v>45947</v>
      </c>
      <c r="T2" s="169">
        <v>45948</v>
      </c>
      <c r="U2" s="169">
        <v>45949</v>
      </c>
      <c r="V2" s="169">
        <v>45950</v>
      </c>
      <c r="W2" s="169">
        <v>45951</v>
      </c>
      <c r="X2" s="169">
        <v>45952</v>
      </c>
      <c r="Y2" s="169">
        <v>45953</v>
      </c>
      <c r="Z2" s="169">
        <v>45954</v>
      </c>
      <c r="AA2" s="169">
        <v>45955</v>
      </c>
      <c r="AB2" s="169">
        <v>45956</v>
      </c>
      <c r="AC2" s="169">
        <v>45957</v>
      </c>
      <c r="AD2" s="169">
        <v>45958</v>
      </c>
      <c r="AE2" s="169">
        <v>45959</v>
      </c>
      <c r="AF2" s="169">
        <v>45960</v>
      </c>
      <c r="AG2" s="277"/>
      <c r="AH2" s="277"/>
      <c r="AI2" s="277"/>
      <c r="AJ2" s="278"/>
    </row>
    <row r="3" spans="1:36" ht="18" customHeight="1">
      <c r="A3" s="53" t="s">
        <v>4</v>
      </c>
      <c r="B3" s="53" t="s">
        <v>5</v>
      </c>
      <c r="C3" s="53">
        <f t="shared" ref="C3:AF3" si="0">WEEKDAY(C2-1)</f>
        <v>3</v>
      </c>
      <c r="D3" s="170">
        <f t="shared" si="0"/>
        <v>4</v>
      </c>
      <c r="E3" s="168">
        <f t="shared" si="0"/>
        <v>5</v>
      </c>
      <c r="F3" s="53">
        <f t="shared" si="0"/>
        <v>6</v>
      </c>
      <c r="G3" s="168">
        <f t="shared" si="0"/>
        <v>7</v>
      </c>
      <c r="H3" s="53">
        <f t="shared" si="0"/>
        <v>1</v>
      </c>
      <c r="I3" s="168">
        <f t="shared" si="0"/>
        <v>2</v>
      </c>
      <c r="J3" s="168">
        <f t="shared" si="0"/>
        <v>3</v>
      </c>
      <c r="K3" s="168">
        <f t="shared" si="0"/>
        <v>4</v>
      </c>
      <c r="L3" s="168">
        <f t="shared" si="0"/>
        <v>5</v>
      </c>
      <c r="M3" s="53">
        <f t="shared" si="0"/>
        <v>6</v>
      </c>
      <c r="N3" s="168">
        <f t="shared" si="0"/>
        <v>7</v>
      </c>
      <c r="O3" s="53">
        <f t="shared" si="0"/>
        <v>1</v>
      </c>
      <c r="P3" s="168">
        <f t="shared" si="0"/>
        <v>2</v>
      </c>
      <c r="Q3" s="168">
        <f t="shared" si="0"/>
        <v>3</v>
      </c>
      <c r="R3" s="168">
        <f t="shared" si="0"/>
        <v>4</v>
      </c>
      <c r="S3" s="168">
        <f t="shared" si="0"/>
        <v>5</v>
      </c>
      <c r="T3" s="53">
        <f t="shared" si="0"/>
        <v>6</v>
      </c>
      <c r="U3" s="168">
        <f t="shared" si="0"/>
        <v>7</v>
      </c>
      <c r="V3" s="53">
        <f t="shared" si="0"/>
        <v>1</v>
      </c>
      <c r="W3" s="168">
        <f t="shared" si="0"/>
        <v>2</v>
      </c>
      <c r="X3" s="168">
        <f t="shared" si="0"/>
        <v>3</v>
      </c>
      <c r="Y3" s="168">
        <f t="shared" si="0"/>
        <v>4</v>
      </c>
      <c r="Z3" s="168">
        <f t="shared" si="0"/>
        <v>5</v>
      </c>
      <c r="AA3" s="53">
        <f t="shared" si="0"/>
        <v>6</v>
      </c>
      <c r="AB3" s="168">
        <f t="shared" si="0"/>
        <v>7</v>
      </c>
      <c r="AC3" s="168">
        <f t="shared" si="0"/>
        <v>1</v>
      </c>
      <c r="AD3" s="168">
        <f t="shared" si="0"/>
        <v>2</v>
      </c>
      <c r="AE3" s="168">
        <f t="shared" si="0"/>
        <v>3</v>
      </c>
      <c r="AF3" s="168">
        <f t="shared" si="0"/>
        <v>4</v>
      </c>
      <c r="AG3" s="278"/>
      <c r="AH3" s="278"/>
      <c r="AI3" s="278"/>
      <c r="AJ3" s="171">
        <f>SUM(AH4:AH1149)</f>
        <v>0</v>
      </c>
    </row>
    <row r="4" spans="1:36" ht="18" customHeight="1">
      <c r="A4" s="92" t="s">
        <v>168</v>
      </c>
      <c r="B4" s="92" t="s">
        <v>10</v>
      </c>
      <c r="C4" s="149"/>
      <c r="D4" s="172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73"/>
      <c r="AH4" s="174"/>
      <c r="AI4" s="175" t="str">
        <f t="shared" ref="AI4:AI35" si="1">B4</f>
        <v>阿發</v>
      </c>
      <c r="AJ4" s="176"/>
    </row>
    <row r="5" spans="1:36" ht="18" customHeight="1">
      <c r="A5" s="92" t="s">
        <v>174</v>
      </c>
      <c r="B5" s="177" t="s">
        <v>11</v>
      </c>
      <c r="C5" s="149"/>
      <c r="D5" s="172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73"/>
      <c r="AH5" s="174"/>
      <c r="AI5" s="178" t="str">
        <f t="shared" si="1"/>
        <v>捷升</v>
      </c>
      <c r="AJ5" s="176"/>
    </row>
    <row r="6" spans="1:36" ht="18" customHeight="1">
      <c r="A6" s="92" t="s">
        <v>174</v>
      </c>
      <c r="B6" s="177" t="s">
        <v>14</v>
      </c>
      <c r="C6" s="149"/>
      <c r="D6" s="172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73"/>
      <c r="AH6" s="174"/>
      <c r="AI6" s="178" t="str">
        <f t="shared" si="1"/>
        <v>曉明</v>
      </c>
      <c r="AJ6" s="176"/>
    </row>
    <row r="7" spans="1:36" ht="18" customHeight="1">
      <c r="A7" s="92" t="s">
        <v>174</v>
      </c>
      <c r="B7" s="92" t="s">
        <v>15</v>
      </c>
      <c r="C7" s="149"/>
      <c r="D7" s="172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73"/>
      <c r="AH7" s="174"/>
      <c r="AI7" s="175" t="str">
        <f t="shared" si="1"/>
        <v>大支</v>
      </c>
      <c r="AJ7" s="176"/>
    </row>
    <row r="8" spans="1:36" ht="18" customHeight="1">
      <c r="A8" s="92" t="s">
        <v>174</v>
      </c>
      <c r="B8" s="92" t="s">
        <v>16</v>
      </c>
      <c r="C8" s="149"/>
      <c r="D8" s="172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73"/>
      <c r="AH8" s="174"/>
      <c r="AI8" s="175" t="str">
        <f t="shared" si="1"/>
        <v>弼善</v>
      </c>
      <c r="AJ8" s="176"/>
    </row>
    <row r="9" spans="1:36" ht="18" customHeight="1">
      <c r="A9" s="92" t="s">
        <v>174</v>
      </c>
      <c r="B9" s="92" t="s">
        <v>17</v>
      </c>
      <c r="C9" s="149"/>
      <c r="D9" s="172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73"/>
      <c r="AH9" s="174"/>
      <c r="AI9" s="175" t="str">
        <f t="shared" si="1"/>
        <v>光曜</v>
      </c>
      <c r="AJ9" s="176"/>
    </row>
    <row r="10" spans="1:36" ht="18" customHeight="1">
      <c r="A10" s="92" t="s">
        <v>174</v>
      </c>
      <c r="B10" s="177" t="s">
        <v>13</v>
      </c>
      <c r="C10" s="149"/>
      <c r="D10" s="172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73"/>
      <c r="AH10" s="174"/>
      <c r="AI10" s="178" t="str">
        <f t="shared" si="1"/>
        <v>李洋</v>
      </c>
      <c r="AJ10" s="176"/>
    </row>
    <row r="11" spans="1:36" ht="18" customHeight="1">
      <c r="A11" s="92" t="s">
        <v>168</v>
      </c>
      <c r="B11" s="92" t="s">
        <v>18</v>
      </c>
      <c r="C11" s="149"/>
      <c r="D11" s="172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73"/>
      <c r="AH11" s="174"/>
      <c r="AI11" s="175" t="str">
        <f t="shared" si="1"/>
        <v>皓元</v>
      </c>
      <c r="AJ11" s="176"/>
    </row>
    <row r="12" spans="1:36" ht="18" customHeight="1">
      <c r="A12" s="92" t="s">
        <v>174</v>
      </c>
      <c r="B12" s="177" t="s">
        <v>19</v>
      </c>
      <c r="C12" s="149"/>
      <c r="D12" s="172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73"/>
      <c r="AH12" s="174"/>
      <c r="AI12" s="178" t="str">
        <f t="shared" si="1"/>
        <v>青蛙</v>
      </c>
      <c r="AJ12" s="176"/>
    </row>
    <row r="13" spans="1:36" ht="18" customHeight="1">
      <c r="A13" s="92" t="s">
        <v>168</v>
      </c>
      <c r="B13" s="92" t="s">
        <v>61</v>
      </c>
      <c r="C13" s="149"/>
      <c r="D13" s="172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73"/>
      <c r="AH13" s="174"/>
      <c r="AI13" s="175" t="str">
        <f t="shared" si="1"/>
        <v>韋融</v>
      </c>
      <c r="AJ13" s="176"/>
    </row>
    <row r="14" spans="1:36" ht="18" customHeight="1">
      <c r="A14" s="92" t="s">
        <v>174</v>
      </c>
      <c r="B14" s="92" t="s">
        <v>175</v>
      </c>
      <c r="C14" s="149"/>
      <c r="D14" s="172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73"/>
      <c r="AH14" s="174"/>
      <c r="AI14" s="175" t="str">
        <f t="shared" si="1"/>
        <v>咪咪</v>
      </c>
      <c r="AJ14" s="176"/>
    </row>
    <row r="15" spans="1:36" ht="18" customHeight="1">
      <c r="A15" s="92" t="s">
        <v>174</v>
      </c>
      <c r="B15" s="92" t="s">
        <v>20</v>
      </c>
      <c r="C15" s="149"/>
      <c r="D15" s="172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73"/>
      <c r="AH15" s="174"/>
      <c r="AI15" s="175" t="str">
        <f t="shared" si="1"/>
        <v>港弟</v>
      </c>
      <c r="AJ15" s="176"/>
    </row>
    <row r="16" spans="1:36" ht="18" customHeight="1">
      <c r="A16" s="92" t="s">
        <v>174</v>
      </c>
      <c r="B16" s="92" t="s">
        <v>21</v>
      </c>
      <c r="C16" s="149"/>
      <c r="D16" s="172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73"/>
      <c r="AH16" s="174"/>
      <c r="AI16" s="175" t="str">
        <f t="shared" si="1"/>
        <v>晧全</v>
      </c>
      <c r="AJ16" s="176"/>
    </row>
    <row r="17" spans="1:36" ht="18" customHeight="1">
      <c r="A17" s="92" t="s">
        <v>174</v>
      </c>
      <c r="B17" s="92" t="s">
        <v>22</v>
      </c>
      <c r="C17" s="149"/>
      <c r="D17" s="172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73"/>
      <c r="AH17" s="174"/>
      <c r="AI17" s="175" t="str">
        <f t="shared" si="1"/>
        <v>Mars</v>
      </c>
      <c r="AJ17" s="176"/>
    </row>
    <row r="18" spans="1:36" ht="18" customHeight="1">
      <c r="A18" s="180" t="s">
        <v>174</v>
      </c>
      <c r="B18" s="180" t="s">
        <v>89</v>
      </c>
      <c r="C18" s="180"/>
      <c r="D18" s="181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73"/>
      <c r="AH18" s="174"/>
      <c r="AI18" s="175" t="str">
        <f t="shared" si="1"/>
        <v>泡芙</v>
      </c>
      <c r="AJ18" s="182"/>
    </row>
    <row r="19" spans="1:36" ht="18" customHeight="1">
      <c r="A19" s="180" t="s">
        <v>174</v>
      </c>
      <c r="B19" s="180" t="s">
        <v>90</v>
      </c>
      <c r="C19" s="180"/>
      <c r="D19" s="181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73"/>
      <c r="AH19" s="174"/>
      <c r="AI19" s="175" t="str">
        <f t="shared" si="1"/>
        <v>蓓蓓</v>
      </c>
      <c r="AJ19" s="182"/>
    </row>
    <row r="20" spans="1:36" ht="18" customHeight="1">
      <c r="A20" s="180" t="s">
        <v>168</v>
      </c>
      <c r="B20" s="180" t="s">
        <v>91</v>
      </c>
      <c r="C20" s="180"/>
      <c r="D20" s="181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73"/>
      <c r="AH20" s="174"/>
      <c r="AI20" s="175" t="str">
        <f t="shared" si="1"/>
        <v>柔柔</v>
      </c>
      <c r="AJ20" s="182"/>
    </row>
    <row r="21" spans="1:36" ht="18" customHeight="1">
      <c r="A21" s="180" t="s">
        <v>174</v>
      </c>
      <c r="B21" s="180" t="s">
        <v>92</v>
      </c>
      <c r="C21" s="180"/>
      <c r="D21" s="181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73"/>
      <c r="AH21" s="174"/>
      <c r="AI21" s="175" t="str">
        <f t="shared" si="1"/>
        <v>婉晴</v>
      </c>
      <c r="AJ21" s="182"/>
    </row>
    <row r="22" spans="1:36" ht="18" customHeight="1">
      <c r="A22" s="180" t="s">
        <v>174</v>
      </c>
      <c r="B22" s="180" t="s">
        <v>93</v>
      </c>
      <c r="C22" s="180"/>
      <c r="D22" s="181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73"/>
      <c r="AH22" s="174"/>
      <c r="AI22" s="175" t="str">
        <f t="shared" si="1"/>
        <v>冠婷</v>
      </c>
      <c r="AJ22" s="183"/>
    </row>
    <row r="23" spans="1:36" ht="18" customHeight="1">
      <c r="A23" s="180" t="s">
        <v>174</v>
      </c>
      <c r="B23" s="180" t="s">
        <v>227</v>
      </c>
      <c r="C23" s="180"/>
      <c r="D23" s="181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73"/>
      <c r="AH23" s="174"/>
      <c r="AI23" s="175" t="str">
        <f t="shared" si="1"/>
        <v>晤悅</v>
      </c>
      <c r="AJ23" s="184"/>
    </row>
    <row r="24" spans="1:36" ht="18" customHeight="1">
      <c r="A24" s="180" t="s">
        <v>174</v>
      </c>
      <c r="B24" s="180" t="s">
        <v>150</v>
      </c>
      <c r="C24" s="180"/>
      <c r="D24" s="181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73"/>
      <c r="AH24" s="174"/>
      <c r="AI24" s="175" t="str">
        <f t="shared" si="1"/>
        <v>高麗菜</v>
      </c>
      <c r="AJ24" s="182"/>
    </row>
    <row r="25" spans="1:36" ht="18" customHeight="1">
      <c r="A25" s="180" t="s">
        <v>174</v>
      </c>
      <c r="B25" s="180" t="s">
        <v>113</v>
      </c>
      <c r="C25" s="180"/>
      <c r="D25" s="181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73"/>
      <c r="AH25" s="174"/>
      <c r="AI25" s="175" t="str">
        <f t="shared" si="1"/>
        <v>容容</v>
      </c>
      <c r="AJ25" s="184"/>
    </row>
    <row r="26" spans="1:36" ht="18" customHeight="1">
      <c r="A26" s="180" t="s">
        <v>174</v>
      </c>
      <c r="B26" s="180" t="s">
        <v>94</v>
      </c>
      <c r="C26" s="180"/>
      <c r="D26" s="181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73"/>
      <c r="AH26" s="174"/>
      <c r="AI26" s="175" t="str">
        <f t="shared" si="1"/>
        <v>小花</v>
      </c>
      <c r="AJ26" s="182"/>
    </row>
    <row r="27" spans="1:36" ht="18" customHeight="1">
      <c r="A27" s="180" t="s">
        <v>174</v>
      </c>
      <c r="B27" s="180" t="s">
        <v>95</v>
      </c>
      <c r="C27" s="180"/>
      <c r="D27" s="181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73"/>
      <c r="AH27" s="174"/>
      <c r="AI27" s="175" t="str">
        <f t="shared" si="1"/>
        <v>小吱</v>
      </c>
      <c r="AJ27" s="182"/>
    </row>
    <row r="28" spans="1:36" ht="18" customHeight="1">
      <c r="A28" s="180" t="s">
        <v>174</v>
      </c>
      <c r="B28" s="180" t="s">
        <v>146</v>
      </c>
      <c r="C28" s="180"/>
      <c r="D28" s="181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73"/>
      <c r="AH28" s="174"/>
      <c r="AI28" s="175" t="str">
        <f t="shared" si="1"/>
        <v>飛飛</v>
      </c>
      <c r="AJ28" s="183"/>
    </row>
    <row r="29" spans="1:36" ht="18" customHeight="1">
      <c r="A29" s="180" t="s">
        <v>168</v>
      </c>
      <c r="B29" s="180" t="s">
        <v>147</v>
      </c>
      <c r="C29" s="180"/>
      <c r="D29" s="181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73"/>
      <c r="AH29" s="174"/>
      <c r="AI29" s="175" t="str">
        <f t="shared" si="1"/>
        <v>湘苡</v>
      </c>
      <c r="AJ29" s="182"/>
    </row>
    <row r="30" spans="1:36" ht="18" customHeight="1">
      <c r="A30" s="180" t="s">
        <v>174</v>
      </c>
      <c r="B30" s="180" t="s">
        <v>148</v>
      </c>
      <c r="C30" s="180"/>
      <c r="D30" s="181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73"/>
      <c r="AH30" s="174"/>
      <c r="AI30" s="175" t="str">
        <f t="shared" si="1"/>
        <v>雅雅</v>
      </c>
      <c r="AJ30" s="184"/>
    </row>
    <row r="31" spans="1:36" ht="18" customHeight="1">
      <c r="A31" s="185" t="s">
        <v>174</v>
      </c>
      <c r="B31" s="185" t="s">
        <v>103</v>
      </c>
      <c r="C31" s="185"/>
      <c r="D31" s="186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73"/>
      <c r="AH31" s="174"/>
      <c r="AI31" s="175" t="str">
        <f t="shared" si="1"/>
        <v>圈圈</v>
      </c>
      <c r="AJ31" s="187"/>
    </row>
    <row r="32" spans="1:36" ht="18" customHeight="1">
      <c r="A32" s="185" t="s">
        <v>168</v>
      </c>
      <c r="B32" s="185" t="s">
        <v>104</v>
      </c>
      <c r="C32" s="185"/>
      <c r="D32" s="186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73"/>
      <c r="AH32" s="174"/>
      <c r="AI32" s="175" t="str">
        <f t="shared" si="1"/>
        <v>卡丘</v>
      </c>
      <c r="AJ32" s="187"/>
    </row>
    <row r="33" spans="1:36" ht="18" customHeight="1">
      <c r="A33" s="185" t="s">
        <v>174</v>
      </c>
      <c r="B33" s="185" t="s">
        <v>105</v>
      </c>
      <c r="C33" s="185"/>
      <c r="D33" s="186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73"/>
      <c r="AH33" s="174"/>
      <c r="AI33" s="175" t="str">
        <f t="shared" si="1"/>
        <v>琬蓁</v>
      </c>
      <c r="AJ33" s="187"/>
    </row>
    <row r="34" spans="1:36" ht="18" customHeight="1">
      <c r="A34" s="185" t="s">
        <v>174</v>
      </c>
      <c r="B34" s="185" t="s">
        <v>116</v>
      </c>
      <c r="C34" s="185"/>
      <c r="D34" s="186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73"/>
      <c r="AH34" s="174"/>
      <c r="AI34" s="175" t="str">
        <f t="shared" si="1"/>
        <v>大汪</v>
      </c>
      <c r="AJ34" s="188"/>
    </row>
    <row r="35" spans="1:36" ht="18" customHeight="1">
      <c r="A35" s="185" t="s">
        <v>174</v>
      </c>
      <c r="B35" s="185" t="s">
        <v>117</v>
      </c>
      <c r="C35" s="185"/>
      <c r="D35" s="186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73"/>
      <c r="AH35" s="174"/>
      <c r="AI35" s="175" t="str">
        <f t="shared" si="1"/>
        <v>依凡</v>
      </c>
      <c r="AJ35" s="188"/>
    </row>
    <row r="36" spans="1:36" ht="18" customHeight="1">
      <c r="A36" s="185" t="s">
        <v>168</v>
      </c>
      <c r="B36" s="185" t="s">
        <v>118</v>
      </c>
      <c r="C36" s="185"/>
      <c r="D36" s="186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73"/>
      <c r="AH36" s="174"/>
      <c r="AI36" s="175" t="str">
        <f t="shared" ref="AI36:AI67" si="2">B36</f>
        <v>雅筑</v>
      </c>
      <c r="AJ36" s="188"/>
    </row>
    <row r="37" spans="1:36" ht="18" customHeight="1">
      <c r="A37" s="185" t="s">
        <v>168</v>
      </c>
      <c r="B37" s="185" t="s">
        <v>119</v>
      </c>
      <c r="C37" s="185"/>
      <c r="D37" s="186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73"/>
      <c r="AH37" s="174"/>
      <c r="AI37" s="175" t="str">
        <f t="shared" si="2"/>
        <v>ABBY</v>
      </c>
      <c r="AJ37" s="187"/>
    </row>
    <row r="38" spans="1:36" ht="18" customHeight="1">
      <c r="A38" s="185" t="s">
        <v>168</v>
      </c>
      <c r="B38" s="185" t="s">
        <v>120</v>
      </c>
      <c r="C38" s="185"/>
      <c r="D38" s="186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73"/>
      <c r="AH38" s="174"/>
      <c r="AI38" s="175" t="str">
        <f t="shared" si="2"/>
        <v>品君</v>
      </c>
      <c r="AJ38" s="187"/>
    </row>
    <row r="39" spans="1:36" ht="18" customHeight="1">
      <c r="A39" s="185" t="s">
        <v>174</v>
      </c>
      <c r="B39" s="185" t="s">
        <v>121</v>
      </c>
      <c r="C39" s="185"/>
      <c r="D39" s="186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73"/>
      <c r="AH39" s="174"/>
      <c r="AI39" s="175" t="str">
        <f t="shared" si="2"/>
        <v>冰沙</v>
      </c>
      <c r="AJ39" s="187"/>
    </row>
    <row r="40" spans="1:36" ht="18" customHeight="1">
      <c r="A40" s="185" t="s">
        <v>168</v>
      </c>
      <c r="B40" s="185" t="s">
        <v>122</v>
      </c>
      <c r="C40" s="185"/>
      <c r="D40" s="186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73"/>
      <c r="AH40" s="174"/>
      <c r="AI40" s="175" t="str">
        <f t="shared" si="2"/>
        <v>幸恩</v>
      </c>
      <c r="AJ40" s="187"/>
    </row>
    <row r="41" spans="1:36" ht="18" customHeight="1">
      <c r="A41" s="185" t="s">
        <v>174</v>
      </c>
      <c r="B41" s="185" t="s">
        <v>123</v>
      </c>
      <c r="C41" s="185"/>
      <c r="D41" s="186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73"/>
      <c r="AH41" s="174"/>
      <c r="AI41" s="175" t="str">
        <f t="shared" si="2"/>
        <v>瑤瑤</v>
      </c>
      <c r="AJ41" s="188"/>
    </row>
    <row r="42" spans="1:36" ht="18" customHeight="1">
      <c r="A42" s="92" t="s">
        <v>58</v>
      </c>
      <c r="B42" s="92" t="s">
        <v>23</v>
      </c>
      <c r="C42" s="166"/>
      <c r="D42" s="167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73"/>
      <c r="AH42" s="174"/>
      <c r="AI42" s="175" t="str">
        <f t="shared" si="2"/>
        <v>ㄈㄈ</v>
      </c>
      <c r="AJ42" s="189"/>
    </row>
    <row r="43" spans="1:36" ht="18" customHeight="1">
      <c r="A43" s="92" t="s">
        <v>58</v>
      </c>
      <c r="B43" s="92" t="s">
        <v>24</v>
      </c>
      <c r="C43" s="166"/>
      <c r="D43" s="167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73"/>
      <c r="AH43" s="174"/>
      <c r="AI43" s="175" t="str">
        <f t="shared" si="2"/>
        <v>大熊</v>
      </c>
      <c r="AJ43" s="189"/>
    </row>
    <row r="44" spans="1:36" ht="18" customHeight="1">
      <c r="A44" s="92" t="s">
        <v>58</v>
      </c>
      <c r="B44" s="92" t="s">
        <v>64</v>
      </c>
      <c r="C44" s="166"/>
      <c r="D44" s="167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73"/>
      <c r="AH44" s="174"/>
      <c r="AI44" s="175" t="str">
        <f t="shared" si="2"/>
        <v>園棠</v>
      </c>
      <c r="AJ44" s="189"/>
    </row>
    <row r="45" spans="1:36" ht="18" customHeight="1">
      <c r="A45" s="92" t="s">
        <v>58</v>
      </c>
      <c r="B45" s="92"/>
      <c r="C45" s="166"/>
      <c r="D45" s="167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73"/>
      <c r="AH45" s="174"/>
      <c r="AI45" s="175">
        <f t="shared" si="2"/>
        <v>0</v>
      </c>
      <c r="AJ45" s="189"/>
    </row>
    <row r="46" spans="1:36" ht="18" customHeight="1">
      <c r="A46" s="92" t="s">
        <v>174</v>
      </c>
      <c r="B46" s="92" t="s">
        <v>25</v>
      </c>
      <c r="C46" s="166"/>
      <c r="D46" s="167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73"/>
      <c r="AH46" s="174"/>
      <c r="AI46" s="175" t="str">
        <f t="shared" si="2"/>
        <v>潘潘</v>
      </c>
      <c r="AJ46" s="189"/>
    </row>
    <row r="47" spans="1:36" ht="18" customHeight="1">
      <c r="A47" s="92" t="s">
        <v>58</v>
      </c>
      <c r="B47" s="92" t="s">
        <v>63</v>
      </c>
      <c r="C47" s="166"/>
      <c r="D47" s="167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73"/>
      <c r="AH47" s="174"/>
      <c r="AI47" s="175" t="str">
        <f t="shared" si="2"/>
        <v>芒果</v>
      </c>
      <c r="AJ47" s="189"/>
    </row>
    <row r="48" spans="1:36" ht="18" customHeight="1">
      <c r="A48" s="92" t="s">
        <v>58</v>
      </c>
      <c r="B48" s="92" t="s">
        <v>62</v>
      </c>
      <c r="C48" s="166"/>
      <c r="D48" s="167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73"/>
      <c r="AH48" s="174"/>
      <c r="AI48" s="175" t="str">
        <f t="shared" si="2"/>
        <v>國源</v>
      </c>
      <c r="AJ48" s="189"/>
    </row>
    <row r="49" spans="1:36" ht="18" customHeight="1">
      <c r="A49" s="92" t="s">
        <v>174</v>
      </c>
      <c r="B49" s="92" t="s">
        <v>26</v>
      </c>
      <c r="C49" s="166"/>
      <c r="D49" s="167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73"/>
      <c r="AH49" s="174"/>
      <c r="AI49" s="175" t="str">
        <f t="shared" si="2"/>
        <v>曉強</v>
      </c>
      <c r="AJ49" s="189"/>
    </row>
    <row r="50" spans="1:36" ht="18" customHeight="1">
      <c r="A50" s="92" t="s">
        <v>58</v>
      </c>
      <c r="B50" s="92" t="s">
        <v>59</v>
      </c>
      <c r="C50" s="166"/>
      <c r="D50" s="167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73"/>
      <c r="AH50" s="174"/>
      <c r="AI50" s="175" t="str">
        <f t="shared" si="2"/>
        <v>阿幹</v>
      </c>
      <c r="AJ50" s="189"/>
    </row>
    <row r="51" spans="1:36" ht="18" customHeight="1">
      <c r="A51" s="92" t="s">
        <v>174</v>
      </c>
      <c r="B51" s="92" t="s">
        <v>27</v>
      </c>
      <c r="C51" s="166"/>
      <c r="D51" s="167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73"/>
      <c r="AH51" s="174"/>
      <c r="AI51" s="175" t="str">
        <f t="shared" si="2"/>
        <v>芋圓</v>
      </c>
      <c r="AJ51" s="189"/>
    </row>
    <row r="52" spans="1:36" ht="18" customHeight="1">
      <c r="A52" s="92" t="s">
        <v>58</v>
      </c>
      <c r="B52" s="92" t="s">
        <v>28</v>
      </c>
      <c r="C52" s="166"/>
      <c r="D52" s="167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73"/>
      <c r="AH52" s="174"/>
      <c r="AI52" s="175" t="str">
        <f t="shared" si="2"/>
        <v>克勤</v>
      </c>
      <c r="AJ52" s="189"/>
    </row>
    <row r="53" spans="1:36" ht="18" customHeight="1">
      <c r="A53" s="92" t="s">
        <v>58</v>
      </c>
      <c r="B53" s="92" t="s">
        <v>29</v>
      </c>
      <c r="C53" s="166"/>
      <c r="D53" s="167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73"/>
      <c r="AH53" s="174"/>
      <c r="AI53" s="175" t="str">
        <f t="shared" si="2"/>
        <v>大頭</v>
      </c>
      <c r="AJ53" s="189"/>
    </row>
    <row r="54" spans="1:36" ht="18" customHeight="1">
      <c r="A54" s="92" t="s">
        <v>174</v>
      </c>
      <c r="B54" s="92" t="s">
        <v>65</v>
      </c>
      <c r="C54" s="166"/>
      <c r="D54" s="167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73"/>
      <c r="AH54" s="174"/>
      <c r="AI54" s="175" t="str">
        <f t="shared" si="2"/>
        <v>文淵</v>
      </c>
      <c r="AJ54" s="189"/>
    </row>
    <row r="55" spans="1:36" ht="18" customHeight="1">
      <c r="A55" s="92" t="s">
        <v>58</v>
      </c>
      <c r="B55" s="92" t="s">
        <v>72</v>
      </c>
      <c r="C55" s="166"/>
      <c r="D55" s="167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73"/>
      <c r="AH55" s="174"/>
      <c r="AI55" s="175" t="str">
        <f t="shared" si="2"/>
        <v>八卦</v>
      </c>
      <c r="AJ55" s="189"/>
    </row>
    <row r="56" spans="1:36" ht="18" customHeight="1">
      <c r="A56" s="92" t="s">
        <v>58</v>
      </c>
      <c r="B56" s="92" t="s">
        <v>66</v>
      </c>
      <c r="C56" s="166"/>
      <c r="D56" s="167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73"/>
      <c r="AH56" s="174"/>
      <c r="AI56" s="175" t="str">
        <f t="shared" si="2"/>
        <v>昆佑</v>
      </c>
      <c r="AJ56" s="189"/>
    </row>
    <row r="57" spans="1:36" ht="18" customHeight="1">
      <c r="A57" s="92" t="s">
        <v>58</v>
      </c>
      <c r="B57" s="92" t="s">
        <v>68</v>
      </c>
      <c r="C57" s="166"/>
      <c r="D57" s="167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73"/>
      <c r="AH57" s="174"/>
      <c r="AI57" s="175" t="str">
        <f t="shared" si="2"/>
        <v>兔子</v>
      </c>
      <c r="AJ57" s="189"/>
    </row>
    <row r="58" spans="1:36" ht="18" customHeight="1">
      <c r="A58" s="92" t="s">
        <v>58</v>
      </c>
      <c r="B58" s="92" t="s">
        <v>69</v>
      </c>
      <c r="C58" s="166"/>
      <c r="D58" s="167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73"/>
      <c r="AH58" s="174"/>
      <c r="AI58" s="175" t="str">
        <f t="shared" si="2"/>
        <v>小馬</v>
      </c>
      <c r="AJ58" s="189"/>
    </row>
    <row r="59" spans="1:36" ht="18" customHeight="1">
      <c r="A59" s="92" t="s">
        <v>58</v>
      </c>
      <c r="B59" s="92" t="s">
        <v>70</v>
      </c>
      <c r="C59" s="166"/>
      <c r="D59" s="167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73"/>
      <c r="AH59" s="174"/>
      <c r="AI59" s="175" t="str">
        <f t="shared" si="2"/>
        <v>Allen</v>
      </c>
      <c r="AJ59" s="189"/>
    </row>
    <row r="60" spans="1:36" ht="18" customHeight="1">
      <c r="A60" s="92" t="s">
        <v>58</v>
      </c>
      <c r="B60" s="92" t="s">
        <v>71</v>
      </c>
      <c r="C60" s="166"/>
      <c r="D60" s="167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73"/>
      <c r="AH60" s="174"/>
      <c r="AI60" s="175" t="str">
        <f t="shared" si="2"/>
        <v>嘴嘴</v>
      </c>
      <c r="AJ60" s="189"/>
    </row>
    <row r="61" spans="1:36" ht="18" customHeight="1">
      <c r="A61" s="92" t="s">
        <v>58</v>
      </c>
      <c r="B61" s="92" t="s">
        <v>74</v>
      </c>
      <c r="C61" s="166"/>
      <c r="D61" s="167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73"/>
      <c r="AH61" s="174"/>
      <c r="AI61" s="175" t="str">
        <f t="shared" si="2"/>
        <v>蘆葦</v>
      </c>
      <c r="AJ61" s="189"/>
    </row>
    <row r="62" spans="1:36" ht="18" customHeight="1">
      <c r="A62" s="92" t="s">
        <v>58</v>
      </c>
      <c r="B62" s="92" t="s">
        <v>30</v>
      </c>
      <c r="C62" s="166"/>
      <c r="D62" s="167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73"/>
      <c r="AH62" s="174"/>
      <c r="AI62" s="175" t="str">
        <f t="shared" si="2"/>
        <v>鯰魚</v>
      </c>
      <c r="AJ62" s="189"/>
    </row>
    <row r="63" spans="1:36" ht="18" customHeight="1">
      <c r="A63" s="92" t="s">
        <v>58</v>
      </c>
      <c r="B63" s="92" t="s">
        <v>31</v>
      </c>
      <c r="C63" s="166"/>
      <c r="D63" s="167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73"/>
      <c r="AH63" s="174"/>
      <c r="AI63" s="175" t="str">
        <f t="shared" si="2"/>
        <v>阿美</v>
      </c>
      <c r="AJ63" s="189"/>
    </row>
    <row r="64" spans="1:36" ht="18" customHeight="1">
      <c r="A64" s="92" t="s">
        <v>58</v>
      </c>
      <c r="B64" s="92" t="s">
        <v>73</v>
      </c>
      <c r="C64" s="166"/>
      <c r="D64" s="167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73"/>
      <c r="AH64" s="174"/>
      <c r="AI64" s="175" t="str">
        <f t="shared" si="2"/>
        <v>冠軍</v>
      </c>
      <c r="AJ64" s="189"/>
    </row>
    <row r="65" spans="1:36" ht="18" customHeight="1">
      <c r="A65" s="92" t="s">
        <v>58</v>
      </c>
      <c r="B65" s="92"/>
      <c r="C65" s="166"/>
      <c r="D65" s="167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73"/>
      <c r="AH65" s="174"/>
      <c r="AI65" s="175">
        <f t="shared" si="2"/>
        <v>0</v>
      </c>
      <c r="AJ65" s="189"/>
    </row>
    <row r="66" spans="1:36" ht="18" customHeight="1">
      <c r="A66" s="92" t="s">
        <v>58</v>
      </c>
      <c r="B66" s="92" t="s">
        <v>67</v>
      </c>
      <c r="C66" s="166"/>
      <c r="D66" s="167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73"/>
      <c r="AH66" s="174"/>
      <c r="AI66" s="175" t="str">
        <f t="shared" si="2"/>
        <v>歐吉</v>
      </c>
      <c r="AJ66" s="189"/>
    </row>
    <row r="67" spans="1:36" ht="18" customHeight="1">
      <c r="A67" s="92" t="s">
        <v>58</v>
      </c>
      <c r="B67" s="92" t="s">
        <v>75</v>
      </c>
      <c r="C67" s="166"/>
      <c r="D67" s="167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73"/>
      <c r="AH67" s="174"/>
      <c r="AI67" s="175" t="str">
        <f t="shared" si="2"/>
        <v>叮噹</v>
      </c>
      <c r="AJ67" s="189"/>
    </row>
    <row r="68" spans="1:36" ht="18" customHeight="1">
      <c r="A68" s="92" t="s">
        <v>58</v>
      </c>
      <c r="B68" s="92" t="s">
        <v>76</v>
      </c>
      <c r="C68" s="166"/>
      <c r="D68" s="167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73"/>
      <c r="AH68" s="174"/>
      <c r="AI68" s="175" t="str">
        <f t="shared" ref="AI68:AI88" si="3">B68</f>
        <v>肥肥</v>
      </c>
      <c r="AJ68" s="189"/>
    </row>
    <row r="69" spans="1:36" ht="18" customHeight="1">
      <c r="A69" s="92" t="s">
        <v>58</v>
      </c>
      <c r="B69" s="92" t="s">
        <v>77</v>
      </c>
      <c r="C69" s="166"/>
      <c r="D69" s="167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73"/>
      <c r="AH69" s="174"/>
      <c r="AI69" s="175" t="str">
        <f t="shared" si="3"/>
        <v>小夫</v>
      </c>
      <c r="AJ69" s="189"/>
    </row>
    <row r="70" spans="1:36" ht="18" customHeight="1">
      <c r="A70" s="92" t="s">
        <v>58</v>
      </c>
      <c r="B70" s="92" t="s">
        <v>78</v>
      </c>
      <c r="C70" s="166"/>
      <c r="D70" s="167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73"/>
      <c r="AH70" s="174"/>
      <c r="AI70" s="175" t="str">
        <f t="shared" si="3"/>
        <v>小邱</v>
      </c>
      <c r="AJ70" s="189"/>
    </row>
    <row r="71" spans="1:36" ht="18" customHeight="1">
      <c r="A71" s="92" t="s">
        <v>58</v>
      </c>
      <c r="B71" s="92" t="s">
        <v>79</v>
      </c>
      <c r="C71" s="166"/>
      <c r="D71" s="167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73"/>
      <c r="AH71" s="174"/>
      <c r="AI71" s="175" t="str">
        <f t="shared" si="3"/>
        <v>淳淳</v>
      </c>
      <c r="AJ71" s="189"/>
    </row>
    <row r="72" spans="1:36" ht="18" customHeight="1">
      <c r="A72" s="92" t="s">
        <v>58</v>
      </c>
      <c r="B72" s="92" t="s">
        <v>80</v>
      </c>
      <c r="C72" s="166"/>
      <c r="D72" s="167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73"/>
      <c r="AH72" s="174"/>
      <c r="AI72" s="175" t="str">
        <f t="shared" si="3"/>
        <v>禿鷹</v>
      </c>
      <c r="AJ72" s="189"/>
    </row>
    <row r="73" spans="1:36" ht="18" customHeight="1">
      <c r="A73" s="92" t="s">
        <v>58</v>
      </c>
      <c r="B73" s="92" t="s">
        <v>81</v>
      </c>
      <c r="C73" s="166"/>
      <c r="D73" s="167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73"/>
      <c r="AH73" s="174"/>
      <c r="AI73" s="175" t="str">
        <f t="shared" si="3"/>
        <v>王宏</v>
      </c>
      <c r="AJ73" s="189"/>
    </row>
    <row r="74" spans="1:36" ht="18" customHeight="1">
      <c r="A74" s="92" t="s">
        <v>58</v>
      </c>
      <c r="B74" s="92" t="s">
        <v>82</v>
      </c>
      <c r="C74" s="166"/>
      <c r="D74" s="167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73"/>
      <c r="AH74" s="174"/>
      <c r="AI74" s="175" t="str">
        <f t="shared" si="3"/>
        <v>犀牛</v>
      </c>
      <c r="AJ74" s="189"/>
    </row>
    <row r="75" spans="1:36" ht="18" customHeight="1">
      <c r="A75" s="92" t="s">
        <v>58</v>
      </c>
      <c r="B75" s="92" t="s">
        <v>83</v>
      </c>
      <c r="C75" s="166"/>
      <c r="D75" s="167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73"/>
      <c r="AH75" s="174"/>
      <c r="AI75" s="175" t="str">
        <f t="shared" si="3"/>
        <v>來福</v>
      </c>
      <c r="AJ75" s="189"/>
    </row>
    <row r="76" spans="1:36" ht="18" customHeight="1">
      <c r="A76" s="92" t="s">
        <v>58</v>
      </c>
      <c r="B76" s="92" t="s">
        <v>84</v>
      </c>
      <c r="C76" s="166"/>
      <c r="D76" s="167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73"/>
      <c r="AH76" s="174"/>
      <c r="AI76" s="175" t="str">
        <f t="shared" si="3"/>
        <v>誌誌</v>
      </c>
      <c r="AJ76" s="189"/>
    </row>
    <row r="77" spans="1:36" ht="18" customHeight="1">
      <c r="A77" s="92" t="s">
        <v>58</v>
      </c>
      <c r="B77" s="92" t="s">
        <v>86</v>
      </c>
      <c r="C77" s="166"/>
      <c r="D77" s="167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73"/>
      <c r="AH77" s="174"/>
      <c r="AI77" s="175" t="str">
        <f t="shared" si="3"/>
        <v>正誼</v>
      </c>
      <c r="AJ77" s="189"/>
    </row>
    <row r="78" spans="1:36" ht="18" customHeight="1">
      <c r="A78" s="92" t="s">
        <v>58</v>
      </c>
      <c r="B78" s="92" t="s">
        <v>32</v>
      </c>
      <c r="C78" s="166"/>
      <c r="D78" s="167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73"/>
      <c r="AH78" s="174"/>
      <c r="AI78" s="175" t="str">
        <f t="shared" si="3"/>
        <v>小翔</v>
      </c>
      <c r="AJ78" s="189"/>
    </row>
    <row r="79" spans="1:36" ht="18" customHeight="1">
      <c r="A79" s="92" t="s">
        <v>58</v>
      </c>
      <c r="B79" s="92" t="s">
        <v>179</v>
      </c>
      <c r="C79" s="166"/>
      <c r="D79" s="167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73"/>
      <c r="AH79" s="174"/>
      <c r="AI79" s="175" t="str">
        <f t="shared" si="3"/>
        <v>玹玹</v>
      </c>
      <c r="AJ79" s="189"/>
    </row>
    <row r="80" spans="1:36" ht="18" customHeight="1">
      <c r="A80" s="92" t="s">
        <v>58</v>
      </c>
      <c r="B80" s="92" t="s">
        <v>85</v>
      </c>
      <c r="C80" s="166"/>
      <c r="D80" s="167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73"/>
      <c r="AH80" s="174"/>
      <c r="AI80" s="175" t="str">
        <f t="shared" si="3"/>
        <v>阿璽</v>
      </c>
      <c r="AJ80" s="189"/>
    </row>
    <row r="81" spans="1:36" ht="18" customHeight="1">
      <c r="A81" s="92" t="s">
        <v>58</v>
      </c>
      <c r="B81" s="92" t="s">
        <v>33</v>
      </c>
      <c r="C81" s="166"/>
      <c r="D81" s="167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73"/>
      <c r="AH81" s="174"/>
      <c r="AI81" s="175" t="str">
        <f t="shared" si="3"/>
        <v>一飛</v>
      </c>
      <c r="AJ81" s="189"/>
    </row>
    <row r="82" spans="1:36" ht="18" customHeight="1">
      <c r="A82" s="92" t="s">
        <v>58</v>
      </c>
      <c r="B82" s="92" t="s">
        <v>34</v>
      </c>
      <c r="C82" s="166"/>
      <c r="D82" s="167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73"/>
      <c r="AH82" s="174"/>
      <c r="AI82" s="175" t="str">
        <f t="shared" si="3"/>
        <v>雲翔</v>
      </c>
      <c r="AJ82" s="176"/>
    </row>
    <row r="83" spans="1:36" ht="18" customHeight="1">
      <c r="A83" s="92" t="s">
        <v>58</v>
      </c>
      <c r="B83" s="92" t="s">
        <v>88</v>
      </c>
      <c r="C83" s="166"/>
      <c r="D83" s="167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73"/>
      <c r="AH83" s="174"/>
      <c r="AI83" s="175" t="str">
        <f t="shared" si="3"/>
        <v>皓皓</v>
      </c>
      <c r="AJ83" s="176"/>
    </row>
    <row r="84" spans="1:36" ht="18" customHeight="1">
      <c r="A84" s="92" t="s">
        <v>58</v>
      </c>
      <c r="B84" s="92" t="s">
        <v>35</v>
      </c>
      <c r="C84" s="166"/>
      <c r="D84" s="167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73"/>
      <c r="AH84" s="174"/>
      <c r="AI84" s="175" t="str">
        <f t="shared" si="3"/>
        <v>阿戴</v>
      </c>
      <c r="AJ84" s="176"/>
    </row>
    <row r="85" spans="1:36" ht="18" customHeight="1">
      <c r="A85" s="92" t="s">
        <v>58</v>
      </c>
      <c r="B85" s="92" t="s">
        <v>36</v>
      </c>
      <c r="C85" s="166"/>
      <c r="D85" s="167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73"/>
      <c r="AH85" s="174"/>
      <c r="AI85" s="175" t="str">
        <f t="shared" si="3"/>
        <v>子澔</v>
      </c>
      <c r="AJ85" s="176"/>
    </row>
    <row r="86" spans="1:36" ht="18" customHeight="1">
      <c r="A86" s="92" t="s">
        <v>174</v>
      </c>
      <c r="B86" s="92" t="s">
        <v>37</v>
      </c>
      <c r="C86" s="166"/>
      <c r="D86" s="167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73"/>
      <c r="AH86" s="174"/>
      <c r="AI86" s="175" t="str">
        <f t="shared" si="3"/>
        <v>魚仔</v>
      </c>
      <c r="AJ86" s="176"/>
    </row>
    <row r="87" spans="1:36" ht="18" customHeight="1">
      <c r="A87" s="92" t="s">
        <v>58</v>
      </c>
      <c r="B87" s="92" t="s">
        <v>87</v>
      </c>
      <c r="C87" s="166"/>
      <c r="D87" s="167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73"/>
      <c r="AH87" s="174"/>
      <c r="AI87" s="175" t="str">
        <f t="shared" si="3"/>
        <v>Mango</v>
      </c>
      <c r="AJ87" s="176"/>
    </row>
    <row r="88" spans="1:36" ht="18" customHeight="1">
      <c r="A88" s="92" t="s">
        <v>58</v>
      </c>
      <c r="B88" s="92" t="s">
        <v>38</v>
      </c>
      <c r="C88" s="166"/>
      <c r="D88" s="167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73"/>
      <c r="AH88" s="174"/>
      <c r="AI88" s="175" t="str">
        <f t="shared" si="3"/>
        <v>阿龍</v>
      </c>
      <c r="AJ88" s="176"/>
    </row>
    <row r="89" spans="1:36" ht="18" customHeight="1">
      <c r="A89" s="92" t="s">
        <v>58</v>
      </c>
      <c r="B89" s="92" t="s">
        <v>39</v>
      </c>
      <c r="C89" s="166"/>
      <c r="D89" s="167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73"/>
      <c r="AH89" s="174"/>
      <c r="AI89" s="175" t="s">
        <v>39</v>
      </c>
      <c r="AJ89" s="176"/>
    </row>
    <row r="90" spans="1:36" ht="18" customHeight="1">
      <c r="A90" s="92" t="s">
        <v>58</v>
      </c>
      <c r="B90" s="92" t="s">
        <v>223</v>
      </c>
      <c r="C90" s="166"/>
      <c r="D90" s="167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90"/>
      <c r="W90" s="191"/>
      <c r="X90" s="190"/>
      <c r="Y90" s="191"/>
      <c r="Z90" s="190"/>
      <c r="AA90" s="166"/>
      <c r="AB90" s="166"/>
      <c r="AC90" s="166"/>
      <c r="AD90" s="166"/>
      <c r="AE90" s="166"/>
      <c r="AF90" s="166"/>
      <c r="AG90" s="173"/>
      <c r="AH90" s="174"/>
      <c r="AI90" s="175" t="s">
        <v>223</v>
      </c>
      <c r="AJ90" s="176"/>
    </row>
    <row r="91" spans="1:36" ht="18" customHeight="1">
      <c r="A91" s="92" t="s">
        <v>58</v>
      </c>
      <c r="B91" s="92" t="s">
        <v>40</v>
      </c>
      <c r="C91" s="166"/>
      <c r="D91" s="167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73"/>
      <c r="AH91" s="174"/>
      <c r="AI91" s="175" t="s">
        <v>40</v>
      </c>
      <c r="AJ91" s="176"/>
    </row>
    <row r="92" spans="1:36" ht="18" customHeight="1">
      <c r="A92" s="180" t="s">
        <v>58</v>
      </c>
      <c r="B92" s="180" t="s">
        <v>151</v>
      </c>
      <c r="C92" s="180"/>
      <c r="D92" s="181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73"/>
      <c r="AH92" s="174"/>
      <c r="AI92" s="175" t="str">
        <f t="shared" ref="AI92:AI111" si="4">B92</f>
        <v>宇嬅</v>
      </c>
      <c r="AJ92" s="184"/>
    </row>
    <row r="93" spans="1:36" ht="18" customHeight="1">
      <c r="A93" s="180" t="s">
        <v>58</v>
      </c>
      <c r="B93" s="180" t="s">
        <v>152</v>
      </c>
      <c r="C93" s="180"/>
      <c r="D93" s="181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73"/>
      <c r="AH93" s="174"/>
      <c r="AI93" s="175" t="str">
        <f t="shared" si="4"/>
        <v>阿俗</v>
      </c>
      <c r="AJ93" s="183"/>
    </row>
    <row r="94" spans="1:36" ht="18" customHeight="1">
      <c r="A94" s="180" t="s">
        <v>58</v>
      </c>
      <c r="B94" s="180" t="s">
        <v>153</v>
      </c>
      <c r="C94" s="180"/>
      <c r="D94" s="181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73"/>
      <c r="AH94" s="174"/>
      <c r="AI94" s="175" t="str">
        <f t="shared" si="4"/>
        <v>傻妹</v>
      </c>
      <c r="AJ94" s="183"/>
    </row>
    <row r="95" spans="1:36" ht="18" customHeight="1">
      <c r="A95" s="180" t="s">
        <v>174</v>
      </c>
      <c r="B95" s="180" t="s">
        <v>96</v>
      </c>
      <c r="C95" s="180"/>
      <c r="D95" s="181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73"/>
      <c r="AH95" s="174"/>
      <c r="AI95" s="175" t="str">
        <f t="shared" si="4"/>
        <v>靜婷</v>
      </c>
      <c r="AJ95" s="183"/>
    </row>
    <row r="96" spans="1:36" ht="18" customHeight="1">
      <c r="A96" s="180" t="s">
        <v>58</v>
      </c>
      <c r="B96" s="180" t="s">
        <v>154</v>
      </c>
      <c r="C96" s="180"/>
      <c r="D96" s="181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73"/>
      <c r="AH96" s="174"/>
      <c r="AI96" s="175" t="str">
        <f t="shared" si="4"/>
        <v>筱攸</v>
      </c>
      <c r="AJ96" s="183"/>
    </row>
    <row r="97" spans="1:36" ht="18" customHeight="1">
      <c r="A97" s="180" t="s">
        <v>58</v>
      </c>
      <c r="B97" s="180" t="s">
        <v>155</v>
      </c>
      <c r="C97" s="180"/>
      <c r="D97" s="181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73"/>
      <c r="AH97" s="174"/>
      <c r="AI97" s="175" t="str">
        <f t="shared" si="4"/>
        <v>康康</v>
      </c>
      <c r="AJ97" s="183"/>
    </row>
    <row r="98" spans="1:36" ht="18" customHeight="1">
      <c r="A98" s="180" t="s">
        <v>58</v>
      </c>
      <c r="B98" s="180" t="s">
        <v>156</v>
      </c>
      <c r="C98" s="180"/>
      <c r="D98" s="181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73"/>
      <c r="AH98" s="174"/>
      <c r="AI98" s="175" t="str">
        <f t="shared" si="4"/>
        <v>阿金</v>
      </c>
      <c r="AJ98" s="183"/>
    </row>
    <row r="99" spans="1:36" ht="18" customHeight="1">
      <c r="A99" s="180" t="s">
        <v>58</v>
      </c>
      <c r="B99" s="180" t="s">
        <v>157</v>
      </c>
      <c r="C99" s="180"/>
      <c r="D99" s="181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73"/>
      <c r="AH99" s="174"/>
      <c r="AI99" s="175" t="str">
        <f t="shared" si="4"/>
        <v>派大</v>
      </c>
      <c r="AJ99" s="183"/>
    </row>
    <row r="100" spans="1:36" ht="18" customHeight="1">
      <c r="A100" s="180" t="s">
        <v>58</v>
      </c>
      <c r="B100" s="180" t="s">
        <v>158</v>
      </c>
      <c r="C100" s="180"/>
      <c r="D100" s="181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73"/>
      <c r="AH100" s="174"/>
      <c r="AI100" s="175" t="str">
        <f t="shared" si="4"/>
        <v>吉娃</v>
      </c>
      <c r="AJ100" s="183"/>
    </row>
    <row r="101" spans="1:36" ht="18" customHeight="1">
      <c r="A101" s="180" t="s">
        <v>58</v>
      </c>
      <c r="B101" s="180" t="s">
        <v>159</v>
      </c>
      <c r="C101" s="180"/>
      <c r="D101" s="181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73"/>
      <c r="AH101" s="174"/>
      <c r="AI101" s="175" t="str">
        <f t="shared" si="4"/>
        <v>小寧</v>
      </c>
      <c r="AJ101" s="183"/>
    </row>
    <row r="102" spans="1:36" ht="18" customHeight="1">
      <c r="A102" s="180" t="s">
        <v>58</v>
      </c>
      <c r="B102" s="180" t="s">
        <v>160</v>
      </c>
      <c r="C102" s="180"/>
      <c r="D102" s="181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73"/>
      <c r="AH102" s="174"/>
      <c r="AI102" s="175" t="str">
        <f t="shared" si="4"/>
        <v>小妹</v>
      </c>
      <c r="AJ102" s="183"/>
    </row>
    <row r="103" spans="1:36" ht="18" customHeight="1">
      <c r="A103" s="180" t="s">
        <v>58</v>
      </c>
      <c r="B103" s="180" t="s">
        <v>101</v>
      </c>
      <c r="C103" s="180"/>
      <c r="D103" s="181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73"/>
      <c r="AH103" s="174"/>
      <c r="AI103" s="175" t="str">
        <f t="shared" si="4"/>
        <v>文媛</v>
      </c>
      <c r="AJ103" s="183"/>
    </row>
    <row r="104" spans="1:36" ht="18" customHeight="1">
      <c r="A104" s="180" t="s">
        <v>58</v>
      </c>
      <c r="B104" s="180" t="s">
        <v>161</v>
      </c>
      <c r="C104" s="180"/>
      <c r="D104" s="181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73"/>
      <c r="AH104" s="174"/>
      <c r="AI104" s="175" t="str">
        <f t="shared" si="4"/>
        <v>佩鈺</v>
      </c>
      <c r="AJ104" s="183"/>
    </row>
    <row r="105" spans="1:36" ht="18" customHeight="1">
      <c r="A105" s="180" t="s">
        <v>58</v>
      </c>
      <c r="B105" s="180" t="s">
        <v>162</v>
      </c>
      <c r="C105" s="180"/>
      <c r="D105" s="181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73"/>
      <c r="AH105" s="174"/>
      <c r="AI105" s="175" t="str">
        <f t="shared" si="4"/>
        <v>阿布</v>
      </c>
      <c r="AJ105" s="183"/>
    </row>
    <row r="106" spans="1:36" ht="18" customHeight="1">
      <c r="A106" s="180" t="s">
        <v>58</v>
      </c>
      <c r="B106" s="180" t="s">
        <v>100</v>
      </c>
      <c r="C106" s="180"/>
      <c r="D106" s="181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73"/>
      <c r="AH106" s="174"/>
      <c r="AI106" s="175" t="str">
        <f t="shared" si="4"/>
        <v>餅餅</v>
      </c>
      <c r="AJ106" s="183"/>
    </row>
    <row r="107" spans="1:36" ht="18" customHeight="1">
      <c r="A107" s="180" t="s">
        <v>58</v>
      </c>
      <c r="B107" s="180" t="s">
        <v>163</v>
      </c>
      <c r="C107" s="180"/>
      <c r="D107" s="181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73"/>
      <c r="AH107" s="174"/>
      <c r="AI107" s="175" t="str">
        <f t="shared" si="4"/>
        <v>小個</v>
      </c>
      <c r="AJ107" s="183"/>
    </row>
    <row r="108" spans="1:36" ht="18" customHeight="1">
      <c r="A108" s="180" t="s">
        <v>58</v>
      </c>
      <c r="B108" s="180" t="s">
        <v>164</v>
      </c>
      <c r="C108" s="180"/>
      <c r="D108" s="181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73"/>
      <c r="AH108" s="174"/>
      <c r="AI108" s="175" t="str">
        <f t="shared" si="4"/>
        <v>小菜</v>
      </c>
      <c r="AJ108" s="183"/>
    </row>
    <row r="109" spans="1:36" ht="18" customHeight="1">
      <c r="A109" s="180" t="s">
        <v>58</v>
      </c>
      <c r="B109" s="180" t="s">
        <v>102</v>
      </c>
      <c r="C109" s="180"/>
      <c r="D109" s="181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73"/>
      <c r="AH109" s="174"/>
      <c r="AI109" s="175" t="str">
        <f t="shared" si="4"/>
        <v>妮妮</v>
      </c>
      <c r="AJ109" s="183"/>
    </row>
    <row r="110" spans="1:36" ht="18" customHeight="1">
      <c r="A110" s="180" t="s">
        <v>58</v>
      </c>
      <c r="B110" s="180" t="s">
        <v>165</v>
      </c>
      <c r="C110" s="180"/>
      <c r="D110" s="181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73"/>
      <c r="AH110" s="174"/>
      <c r="AI110" s="175" t="str">
        <f t="shared" si="4"/>
        <v>小貓</v>
      </c>
      <c r="AJ110" s="183"/>
    </row>
    <row r="111" spans="1:36" ht="18" customHeight="1">
      <c r="A111" s="180" t="s">
        <v>58</v>
      </c>
      <c r="B111" s="180" t="s">
        <v>166</v>
      </c>
      <c r="C111" s="180"/>
      <c r="D111" s="181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73"/>
      <c r="AH111" s="174"/>
      <c r="AI111" s="175" t="str">
        <f t="shared" si="4"/>
        <v>哈比</v>
      </c>
      <c r="AJ111" s="183"/>
    </row>
    <row r="112" spans="1:36" ht="18" customHeight="1">
      <c r="A112" s="180" t="s">
        <v>58</v>
      </c>
      <c r="B112" s="180" t="s">
        <v>97</v>
      </c>
      <c r="C112" s="180"/>
      <c r="D112" s="181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73"/>
      <c r="AH112" s="174"/>
      <c r="AI112" s="175" t="s">
        <v>97</v>
      </c>
      <c r="AJ112" s="183"/>
    </row>
    <row r="113" spans="1:36" ht="18" customHeight="1">
      <c r="A113" s="180" t="s">
        <v>58</v>
      </c>
      <c r="B113" s="180" t="s">
        <v>98</v>
      </c>
      <c r="C113" s="180"/>
      <c r="D113" s="181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73"/>
      <c r="AH113" s="174"/>
      <c r="AI113" s="175" t="s">
        <v>98</v>
      </c>
      <c r="AJ113" s="183"/>
    </row>
    <row r="114" spans="1:36" ht="18" customHeight="1">
      <c r="A114" s="180" t="s">
        <v>174</v>
      </c>
      <c r="B114" s="180" t="s">
        <v>99</v>
      </c>
      <c r="C114" s="180"/>
      <c r="D114" s="181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73"/>
      <c r="AH114" s="174"/>
      <c r="AI114" s="175" t="s">
        <v>99</v>
      </c>
      <c r="AJ114" s="183"/>
    </row>
    <row r="115" spans="1:36" ht="18" customHeight="1">
      <c r="A115" s="185" t="s">
        <v>58</v>
      </c>
      <c r="B115" s="185" t="s">
        <v>124</v>
      </c>
      <c r="C115" s="185"/>
      <c r="D115" s="186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  <c r="AF115" s="185"/>
      <c r="AG115" s="173"/>
      <c r="AH115" s="174"/>
      <c r="AI115" s="175" t="str">
        <f t="shared" ref="AI115:AI139" si="5">B115</f>
        <v>玉蕙</v>
      </c>
      <c r="AJ115" s="188"/>
    </row>
    <row r="116" spans="1:36" ht="18" customHeight="1">
      <c r="A116" s="185" t="s">
        <v>58</v>
      </c>
      <c r="B116" s="185" t="s">
        <v>125</v>
      </c>
      <c r="C116" s="185"/>
      <c r="D116" s="186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73"/>
      <c r="AH116" s="174"/>
      <c r="AI116" s="175" t="str">
        <f t="shared" si="5"/>
        <v>沛緁</v>
      </c>
      <c r="AJ116" s="188"/>
    </row>
    <row r="117" spans="1:36" ht="18" customHeight="1">
      <c r="A117" s="185" t="s">
        <v>58</v>
      </c>
      <c r="B117" s="185" t="s">
        <v>126</v>
      </c>
      <c r="C117" s="185"/>
      <c r="D117" s="186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  <c r="AF117" s="185"/>
      <c r="AG117" s="173"/>
      <c r="AH117" s="174"/>
      <c r="AI117" s="175" t="str">
        <f t="shared" si="5"/>
        <v>妹妹</v>
      </c>
      <c r="AJ117" s="188"/>
    </row>
    <row r="118" spans="1:36" ht="18" customHeight="1">
      <c r="A118" s="185" t="s">
        <v>58</v>
      </c>
      <c r="B118" s="185" t="s">
        <v>127</v>
      </c>
      <c r="C118" s="185"/>
      <c r="D118" s="186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G118" s="173"/>
      <c r="AH118" s="174"/>
      <c r="AI118" s="175" t="str">
        <f t="shared" si="5"/>
        <v>小雞</v>
      </c>
      <c r="AJ118" s="188"/>
    </row>
    <row r="119" spans="1:36" ht="18" customHeight="1">
      <c r="A119" s="185" t="s">
        <v>58</v>
      </c>
      <c r="B119" s="185" t="s">
        <v>128</v>
      </c>
      <c r="C119" s="185"/>
      <c r="D119" s="186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73"/>
      <c r="AH119" s="174"/>
      <c r="AI119" s="175" t="str">
        <f t="shared" si="5"/>
        <v>雨昕</v>
      </c>
      <c r="AJ119" s="188"/>
    </row>
    <row r="120" spans="1:36" ht="18" customHeight="1">
      <c r="A120" s="185" t="s">
        <v>58</v>
      </c>
      <c r="B120" s="185" t="s">
        <v>129</v>
      </c>
      <c r="C120" s="185"/>
      <c r="D120" s="186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73"/>
      <c r="AH120" s="174"/>
      <c r="AI120" s="175" t="str">
        <f t="shared" si="5"/>
        <v>矮矮</v>
      </c>
      <c r="AJ120" s="188"/>
    </row>
    <row r="121" spans="1:36" ht="18" customHeight="1">
      <c r="A121" s="185" t="s">
        <v>58</v>
      </c>
      <c r="B121" s="185" t="s">
        <v>130</v>
      </c>
      <c r="C121" s="185"/>
      <c r="D121" s="186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73"/>
      <c r="AH121" s="174"/>
      <c r="AI121" s="175" t="str">
        <f t="shared" si="5"/>
        <v>猛女</v>
      </c>
      <c r="AJ121" s="188"/>
    </row>
    <row r="122" spans="1:36" ht="18" customHeight="1">
      <c r="A122" s="185" t="s">
        <v>58</v>
      </c>
      <c r="B122" s="185" t="s">
        <v>131</v>
      </c>
      <c r="C122" s="185"/>
      <c r="D122" s="186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73"/>
      <c r="AH122" s="174"/>
      <c r="AI122" s="175" t="str">
        <f t="shared" si="5"/>
        <v>欣容</v>
      </c>
      <c r="AJ122" s="188"/>
    </row>
    <row r="123" spans="1:36" ht="18" customHeight="1">
      <c r="A123" s="185" t="s">
        <v>58</v>
      </c>
      <c r="B123" s="185" t="s">
        <v>132</v>
      </c>
      <c r="C123" s="185"/>
      <c r="D123" s="186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G123" s="173"/>
      <c r="AH123" s="174"/>
      <c r="AI123" s="175" t="str">
        <f t="shared" si="5"/>
        <v>萁萁</v>
      </c>
      <c r="AJ123" s="188"/>
    </row>
    <row r="124" spans="1:36" ht="18" customHeight="1">
      <c r="A124" s="185" t="s">
        <v>58</v>
      </c>
      <c r="B124" s="185" t="s">
        <v>133</v>
      </c>
      <c r="C124" s="185"/>
      <c r="D124" s="186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G124" s="173"/>
      <c r="AH124" s="174"/>
      <c r="AI124" s="175" t="str">
        <f t="shared" si="5"/>
        <v>萱</v>
      </c>
      <c r="AJ124" s="192"/>
    </row>
    <row r="125" spans="1:36" ht="18" customHeight="1">
      <c r="A125" s="185" t="s">
        <v>58</v>
      </c>
      <c r="B125" s="185" t="s">
        <v>134</v>
      </c>
      <c r="C125" s="185"/>
      <c r="D125" s="186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  <c r="AF125" s="185"/>
      <c r="AG125" s="173"/>
      <c r="AH125" s="174"/>
      <c r="AI125" s="175" t="str">
        <f t="shared" si="5"/>
        <v>Mei</v>
      </c>
      <c r="AJ125" s="192"/>
    </row>
    <row r="126" spans="1:36" ht="18" customHeight="1">
      <c r="A126" s="185" t="s">
        <v>58</v>
      </c>
      <c r="B126" s="185" t="s">
        <v>135</v>
      </c>
      <c r="C126" s="185"/>
      <c r="D126" s="186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185"/>
      <c r="AF126" s="185"/>
      <c r="AG126" s="173"/>
      <c r="AH126" s="174"/>
      <c r="AI126" s="175" t="str">
        <f t="shared" si="5"/>
        <v>屁屁</v>
      </c>
      <c r="AJ126" s="192"/>
    </row>
    <row r="127" spans="1:36" ht="18" customHeight="1">
      <c r="A127" s="185" t="s">
        <v>58</v>
      </c>
      <c r="B127" s="185" t="s">
        <v>136</v>
      </c>
      <c r="C127" s="185"/>
      <c r="D127" s="186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5"/>
      <c r="AG127" s="173"/>
      <c r="AH127" s="174"/>
      <c r="AI127" s="175" t="str">
        <f t="shared" si="5"/>
        <v>泡泡</v>
      </c>
      <c r="AJ127" s="192"/>
    </row>
    <row r="128" spans="1:36" ht="18" customHeight="1">
      <c r="A128" s="185" t="s">
        <v>58</v>
      </c>
      <c r="B128" s="185" t="s">
        <v>137</v>
      </c>
      <c r="C128" s="185"/>
      <c r="D128" s="186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  <c r="AF128" s="185"/>
      <c r="AG128" s="173"/>
      <c r="AH128" s="174"/>
      <c r="AI128" s="175" t="str">
        <f t="shared" si="5"/>
        <v>姚</v>
      </c>
      <c r="AJ128" s="192"/>
    </row>
    <row r="129" spans="1:36" ht="18" customHeight="1">
      <c r="A129" s="185" t="s">
        <v>58</v>
      </c>
      <c r="B129" s="185" t="s">
        <v>138</v>
      </c>
      <c r="C129" s="185"/>
      <c r="D129" s="186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73"/>
      <c r="AH129" s="174"/>
      <c r="AI129" s="175" t="str">
        <f t="shared" si="5"/>
        <v>奜茜</v>
      </c>
      <c r="AJ129" s="192"/>
    </row>
    <row r="130" spans="1:36" ht="18" customHeight="1">
      <c r="A130" s="185" t="s">
        <v>58</v>
      </c>
      <c r="B130" s="193" t="s">
        <v>139</v>
      </c>
      <c r="C130" s="185"/>
      <c r="D130" s="186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73"/>
      <c r="AH130" s="174"/>
      <c r="AI130" s="175" t="str">
        <f t="shared" si="5"/>
        <v>Tina</v>
      </c>
      <c r="AJ130" s="192"/>
    </row>
    <row r="131" spans="1:36" ht="18" customHeight="1">
      <c r="A131" s="185" t="s">
        <v>58</v>
      </c>
      <c r="B131" s="193" t="s">
        <v>140</v>
      </c>
      <c r="C131" s="185"/>
      <c r="D131" s="186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G131" s="173"/>
      <c r="AH131" s="174"/>
      <c r="AI131" s="175" t="str">
        <f t="shared" si="5"/>
        <v>芷琦</v>
      </c>
      <c r="AJ131" s="192"/>
    </row>
    <row r="132" spans="1:36" ht="18" customHeight="1">
      <c r="A132" s="185" t="s">
        <v>58</v>
      </c>
      <c r="B132" s="193" t="s">
        <v>106</v>
      </c>
      <c r="C132" s="185"/>
      <c r="D132" s="186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73"/>
      <c r="AH132" s="174"/>
      <c r="AI132" s="175" t="str">
        <f t="shared" si="5"/>
        <v>Nina</v>
      </c>
      <c r="AJ132" s="192"/>
    </row>
    <row r="133" spans="1:36" ht="18" customHeight="1">
      <c r="A133" s="185" t="s">
        <v>58</v>
      </c>
      <c r="B133" s="185" t="s">
        <v>141</v>
      </c>
      <c r="C133" s="185"/>
      <c r="D133" s="186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73"/>
      <c r="AH133" s="174"/>
      <c r="AI133" s="175" t="str">
        <f t="shared" si="5"/>
        <v>Cindy</v>
      </c>
      <c r="AJ133" s="192"/>
    </row>
    <row r="134" spans="1:36" ht="18" customHeight="1">
      <c r="A134" s="185" t="s">
        <v>58</v>
      </c>
      <c r="B134" s="185" t="s">
        <v>142</v>
      </c>
      <c r="C134" s="185"/>
      <c r="D134" s="186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73"/>
      <c r="AH134" s="174"/>
      <c r="AI134" s="175" t="str">
        <f t="shared" si="5"/>
        <v>如靜</v>
      </c>
      <c r="AJ134" s="192"/>
    </row>
    <row r="135" spans="1:36" ht="18" customHeight="1">
      <c r="A135" s="185" t="s">
        <v>58</v>
      </c>
      <c r="B135" s="185" t="s">
        <v>143</v>
      </c>
      <c r="C135" s="185"/>
      <c r="D135" s="186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73"/>
      <c r="AH135" s="174"/>
      <c r="AI135" s="175" t="str">
        <f t="shared" si="5"/>
        <v>毓玫</v>
      </c>
      <c r="AJ135" s="192"/>
    </row>
    <row r="136" spans="1:36" ht="18" customHeight="1">
      <c r="A136" s="185" t="s">
        <v>58</v>
      </c>
      <c r="B136" s="185" t="s">
        <v>144</v>
      </c>
      <c r="C136" s="185"/>
      <c r="D136" s="186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  <c r="AF136" s="185"/>
      <c r="AG136" s="173"/>
      <c r="AH136" s="174"/>
      <c r="AI136" s="175" t="str">
        <f t="shared" si="5"/>
        <v>美枝</v>
      </c>
      <c r="AJ136" s="192"/>
    </row>
    <row r="137" spans="1:36" ht="18" customHeight="1">
      <c r="A137" s="185" t="s">
        <v>58</v>
      </c>
      <c r="B137" s="185" t="s">
        <v>145</v>
      </c>
      <c r="C137" s="185"/>
      <c r="D137" s="186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G137" s="173"/>
      <c r="AH137" s="174"/>
      <c r="AI137" s="175" t="str">
        <f t="shared" si="5"/>
        <v>魯魯咪</v>
      </c>
      <c r="AJ137" s="192"/>
    </row>
    <row r="138" spans="1:36" ht="18" customHeight="1">
      <c r="A138" s="166" t="s">
        <v>58</v>
      </c>
      <c r="B138" s="166" t="s">
        <v>41</v>
      </c>
      <c r="C138" s="166"/>
      <c r="D138" s="167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73"/>
      <c r="AH138" s="174"/>
      <c r="AI138" s="175" t="str">
        <f t="shared" si="5"/>
        <v>軟軟</v>
      </c>
      <c r="AJ138" s="194"/>
    </row>
    <row r="139" spans="1:36" ht="18" customHeight="1">
      <c r="A139" s="166" t="s">
        <v>58</v>
      </c>
      <c r="B139" s="166" t="s">
        <v>42</v>
      </c>
      <c r="C139" s="166"/>
      <c r="D139" s="167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73"/>
      <c r="AH139" s="174"/>
      <c r="AI139" s="175" t="str">
        <f t="shared" si="5"/>
        <v>屎蛋</v>
      </c>
      <c r="AJ139" s="194"/>
    </row>
    <row r="140" spans="1:36" ht="18" customHeight="1">
      <c r="A140" s="166"/>
      <c r="B140" s="166" t="s">
        <v>43</v>
      </c>
      <c r="C140" s="166"/>
      <c r="D140" s="167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74"/>
      <c r="AH140" s="174"/>
      <c r="AI140" s="175" t="s">
        <v>43</v>
      </c>
      <c r="AJ140" s="194"/>
    </row>
    <row r="141" spans="1:36" ht="18" customHeight="1">
      <c r="A141" s="166" t="s">
        <v>174</v>
      </c>
      <c r="B141" s="166" t="s">
        <v>229</v>
      </c>
      <c r="C141" s="166"/>
      <c r="D141" s="167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74"/>
      <c r="AH141" s="174"/>
      <c r="AI141" s="175" t="s">
        <v>230</v>
      </c>
      <c r="AJ141" s="194"/>
    </row>
    <row r="142" spans="1:36" ht="18" customHeight="1">
      <c r="A142" s="166" t="s">
        <v>174</v>
      </c>
      <c r="B142" s="166" t="s">
        <v>107</v>
      </c>
      <c r="C142" s="166"/>
      <c r="D142" s="167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74"/>
      <c r="AH142" s="174"/>
      <c r="AI142" s="175" t="s">
        <v>107</v>
      </c>
      <c r="AJ142" s="194"/>
    </row>
    <row r="143" spans="1:36" ht="18" customHeight="1">
      <c r="A143" s="166"/>
      <c r="B143" s="166"/>
      <c r="C143" s="166"/>
      <c r="D143" s="167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74"/>
      <c r="AH143" s="174"/>
      <c r="AI143" s="175"/>
      <c r="AJ143" s="194"/>
    </row>
    <row r="144" spans="1:36" ht="18" customHeight="1">
      <c r="A144" s="166"/>
      <c r="B144" s="166" t="s">
        <v>108</v>
      </c>
      <c r="C144" s="166"/>
      <c r="D144" s="167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74"/>
      <c r="AH144" s="174"/>
      <c r="AI144" s="175" t="s">
        <v>108</v>
      </c>
      <c r="AJ144" s="194"/>
    </row>
    <row r="145" spans="1:36" ht="18" customHeight="1">
      <c r="A145" s="166"/>
      <c r="B145" s="166" t="s">
        <v>109</v>
      </c>
      <c r="C145" s="166"/>
      <c r="D145" s="167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74"/>
      <c r="AH145" s="174"/>
      <c r="AI145" s="175" t="s">
        <v>109</v>
      </c>
      <c r="AJ145" s="194"/>
    </row>
    <row r="146" spans="1:36" ht="18" customHeight="1">
      <c r="A146" s="166"/>
      <c r="B146" s="166"/>
      <c r="C146" s="166"/>
      <c r="D146" s="167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74"/>
      <c r="AH146" s="174"/>
      <c r="AI146" s="175"/>
      <c r="AJ146" s="194"/>
    </row>
    <row r="147" spans="1:36" ht="18" customHeight="1">
      <c r="A147" s="166"/>
      <c r="B147" s="166"/>
      <c r="C147" s="166"/>
      <c r="D147" s="167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73"/>
      <c r="AH147" s="174"/>
      <c r="AI147" s="175"/>
      <c r="AJ147" s="194"/>
    </row>
    <row r="148" spans="1:36" ht="18" customHeight="1">
      <c r="A148" s="166"/>
      <c r="B148" s="166"/>
      <c r="C148" s="166"/>
      <c r="D148" s="167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73"/>
      <c r="AH148" s="174"/>
      <c r="AI148" s="175"/>
      <c r="AJ148" s="194"/>
    </row>
    <row r="149" spans="1:36" ht="18" customHeight="1">
      <c r="A149" s="154"/>
      <c r="B149" s="154"/>
      <c r="C149" s="154"/>
      <c r="D149" s="162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95"/>
      <c r="AH149" s="196"/>
      <c r="AI149" s="197"/>
      <c r="AJ149" s="110"/>
    </row>
    <row r="150" spans="1:36" ht="18" customHeight="1">
      <c r="A150" s="154"/>
      <c r="B150" s="154"/>
      <c r="C150" s="154"/>
      <c r="D150" s="162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95"/>
      <c r="AH150" s="196"/>
      <c r="AI150" s="197"/>
      <c r="AJ150" s="110"/>
    </row>
    <row r="151" spans="1:36" ht="18" customHeight="1">
      <c r="A151" s="154"/>
      <c r="B151" s="154"/>
      <c r="C151" s="154"/>
      <c r="D151" s="162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95"/>
      <c r="AH151" s="196"/>
      <c r="AI151" s="197"/>
      <c r="AJ151" s="110"/>
    </row>
    <row r="152" spans="1:36" ht="18" customHeight="1">
      <c r="A152" s="154"/>
      <c r="B152" s="154"/>
      <c r="C152" s="154"/>
      <c r="D152" s="162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95"/>
      <c r="AH152" s="196"/>
      <c r="AI152" s="197"/>
      <c r="AJ152" s="110"/>
    </row>
    <row r="153" spans="1:36" ht="18" customHeight="1">
      <c r="A153" s="154"/>
      <c r="B153" s="154"/>
      <c r="C153" s="154"/>
      <c r="D153" s="162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95"/>
      <c r="AH153" s="196"/>
      <c r="AI153" s="197"/>
      <c r="AJ153" s="110"/>
    </row>
    <row r="154" spans="1:36" ht="18" customHeight="1">
      <c r="A154" s="154"/>
      <c r="B154" s="154"/>
      <c r="C154" s="154"/>
      <c r="D154" s="162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95"/>
      <c r="AH154" s="196"/>
      <c r="AI154" s="197"/>
      <c r="AJ154" s="110"/>
    </row>
    <row r="155" spans="1:36" ht="18" customHeight="1">
      <c r="A155" s="154"/>
      <c r="B155" s="154"/>
      <c r="C155" s="154"/>
      <c r="D155" s="162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95"/>
      <c r="AH155" s="196"/>
      <c r="AI155" s="197"/>
      <c r="AJ155" s="110"/>
    </row>
    <row r="156" spans="1:36" ht="18" customHeight="1">
      <c r="A156" s="154"/>
      <c r="B156" s="154"/>
      <c r="C156" s="154"/>
      <c r="D156" s="162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95"/>
      <c r="AH156" s="196"/>
      <c r="AI156" s="197"/>
      <c r="AJ156" s="110"/>
    </row>
    <row r="157" spans="1:36" ht="18" customHeight="1">
      <c r="A157" s="154"/>
      <c r="B157" s="154"/>
      <c r="C157" s="154"/>
      <c r="D157" s="162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95"/>
      <c r="AH157" s="196"/>
      <c r="AI157" s="197"/>
      <c r="AJ157" s="110"/>
    </row>
    <row r="158" spans="1:36" ht="18" customHeight="1">
      <c r="A158" s="154"/>
      <c r="B158" s="154"/>
      <c r="C158" s="154"/>
      <c r="D158" s="162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95"/>
      <c r="AH158" s="196"/>
      <c r="AI158" s="197"/>
      <c r="AJ158" s="110"/>
    </row>
    <row r="159" spans="1:36" ht="18" customHeight="1">
      <c r="A159" s="154"/>
      <c r="B159" s="154"/>
      <c r="C159" s="154"/>
      <c r="D159" s="162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95"/>
      <c r="AH159" s="196"/>
      <c r="AI159" s="197"/>
      <c r="AJ159" s="110"/>
    </row>
    <row r="160" spans="1:36" ht="18" customHeight="1">
      <c r="A160" s="154"/>
      <c r="B160" s="154"/>
      <c r="C160" s="154"/>
      <c r="D160" s="162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95"/>
      <c r="AH160" s="196"/>
      <c r="AI160" s="197"/>
      <c r="AJ160" s="110"/>
    </row>
    <row r="161" spans="1:36" ht="18" customHeight="1">
      <c r="A161" s="154"/>
      <c r="B161" s="154"/>
      <c r="C161" s="154"/>
      <c r="D161" s="162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95"/>
      <c r="AH161" s="196"/>
      <c r="AI161" s="197"/>
      <c r="AJ161" s="110"/>
    </row>
    <row r="162" spans="1:36" ht="18" customHeight="1">
      <c r="A162" s="154"/>
      <c r="B162" s="154"/>
      <c r="C162" s="154"/>
      <c r="D162" s="162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95"/>
      <c r="AH162" s="196"/>
      <c r="AI162" s="197"/>
      <c r="AJ162" s="110"/>
    </row>
    <row r="163" spans="1:36" ht="18" customHeight="1">
      <c r="A163" s="154"/>
      <c r="B163" s="154"/>
      <c r="C163" s="154"/>
      <c r="D163" s="162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95"/>
      <c r="AH163" s="196"/>
      <c r="AI163" s="197"/>
      <c r="AJ163" s="110"/>
    </row>
    <row r="164" spans="1:36" ht="18" customHeight="1">
      <c r="A164" s="154"/>
      <c r="B164" s="154"/>
      <c r="C164" s="154"/>
      <c r="D164" s="162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95"/>
      <c r="AH164" s="196"/>
      <c r="AI164" s="197"/>
      <c r="AJ164" s="110"/>
    </row>
    <row r="165" spans="1:36" ht="18" customHeight="1">
      <c r="A165" s="154"/>
      <c r="B165" s="154"/>
      <c r="C165" s="154"/>
      <c r="D165" s="162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95"/>
      <c r="AH165" s="196"/>
      <c r="AI165" s="197"/>
      <c r="AJ165" s="110"/>
    </row>
    <row r="166" spans="1:36" ht="18" customHeight="1">
      <c r="A166" s="154"/>
      <c r="B166" s="154"/>
      <c r="C166" s="154"/>
      <c r="D166" s="162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95"/>
      <c r="AH166" s="196"/>
      <c r="AI166" s="197"/>
      <c r="AJ166" s="110"/>
    </row>
    <row r="167" spans="1:36" ht="18" customHeight="1">
      <c r="A167" s="154"/>
      <c r="B167" s="154"/>
      <c r="C167" s="154"/>
      <c r="D167" s="162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95"/>
      <c r="AH167" s="196"/>
      <c r="AI167" s="197"/>
      <c r="AJ167" s="110"/>
    </row>
    <row r="168" spans="1:36" ht="18" customHeight="1">
      <c r="A168" s="154"/>
      <c r="B168" s="154"/>
      <c r="C168" s="154"/>
      <c r="D168" s="162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95"/>
      <c r="AH168" s="196"/>
      <c r="AI168" s="197"/>
      <c r="AJ168" s="110"/>
    </row>
    <row r="169" spans="1:36" ht="18" customHeight="1">
      <c r="A169" s="154"/>
      <c r="B169" s="154"/>
      <c r="C169" s="154"/>
      <c r="D169" s="162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95"/>
      <c r="AH169" s="196"/>
      <c r="AI169" s="197"/>
      <c r="AJ169" s="110"/>
    </row>
    <row r="170" spans="1:36" ht="18" customHeight="1">
      <c r="A170" s="154"/>
      <c r="B170" s="154"/>
      <c r="C170" s="154"/>
      <c r="D170" s="162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95"/>
      <c r="AH170" s="196"/>
      <c r="AI170" s="197"/>
      <c r="AJ170" s="110"/>
    </row>
    <row r="171" spans="1:36" ht="18" customHeight="1">
      <c r="A171" s="154"/>
      <c r="B171" s="154"/>
      <c r="C171" s="154"/>
      <c r="D171" s="162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95"/>
      <c r="AH171" s="196"/>
      <c r="AI171" s="197"/>
      <c r="AJ171" s="110"/>
    </row>
    <row r="172" spans="1:36" ht="18" customHeight="1">
      <c r="A172" s="154"/>
      <c r="B172" s="154"/>
      <c r="C172" s="154"/>
      <c r="D172" s="162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95"/>
      <c r="AH172" s="196"/>
      <c r="AI172" s="197"/>
      <c r="AJ172" s="110"/>
    </row>
    <row r="173" spans="1:36" ht="18" customHeight="1">
      <c r="A173" s="154"/>
      <c r="B173" s="154"/>
      <c r="C173" s="154"/>
      <c r="D173" s="162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95"/>
      <c r="AH173" s="196"/>
      <c r="AI173" s="197"/>
      <c r="AJ173" s="110"/>
    </row>
    <row r="174" spans="1:36" ht="18" customHeight="1">
      <c r="A174" s="154"/>
      <c r="B174" s="154"/>
      <c r="C174" s="154"/>
      <c r="D174" s="162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95"/>
      <c r="AH174" s="196"/>
      <c r="AI174" s="197"/>
      <c r="AJ174" s="110"/>
    </row>
    <row r="175" spans="1:36" ht="18" customHeight="1">
      <c r="A175" s="154"/>
      <c r="B175" s="154"/>
      <c r="C175" s="154"/>
      <c r="D175" s="162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95"/>
      <c r="AH175" s="196"/>
      <c r="AI175" s="197"/>
      <c r="AJ175" s="110"/>
    </row>
    <row r="176" spans="1:36" ht="18" customHeight="1">
      <c r="A176" s="154"/>
      <c r="B176" s="154"/>
      <c r="C176" s="154"/>
      <c r="D176" s="162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95"/>
      <c r="AH176" s="196"/>
      <c r="AI176" s="197"/>
      <c r="AJ176" s="110"/>
    </row>
    <row r="177" spans="1:36" ht="18" customHeight="1">
      <c r="A177" s="154"/>
      <c r="B177" s="154"/>
      <c r="C177" s="154"/>
      <c r="D177" s="162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95"/>
      <c r="AH177" s="196"/>
      <c r="AI177" s="197"/>
      <c r="AJ177" s="110"/>
    </row>
    <row r="178" spans="1:36" ht="18" customHeight="1">
      <c r="A178" s="154"/>
      <c r="B178" s="154"/>
      <c r="C178" s="154"/>
      <c r="D178" s="162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95"/>
      <c r="AH178" s="196"/>
      <c r="AI178" s="197"/>
      <c r="AJ178" s="110"/>
    </row>
    <row r="179" spans="1:36" ht="18" customHeight="1">
      <c r="A179" s="154"/>
      <c r="B179" s="154"/>
      <c r="C179" s="154"/>
      <c r="D179" s="162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95"/>
      <c r="AH179" s="196"/>
      <c r="AI179" s="197"/>
      <c r="AJ179" s="110"/>
    </row>
    <row r="180" spans="1:36" ht="18" customHeight="1">
      <c r="A180" s="154"/>
      <c r="B180" s="154"/>
      <c r="C180" s="154"/>
      <c r="D180" s="162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95"/>
      <c r="AH180" s="196"/>
      <c r="AI180" s="197"/>
      <c r="AJ180" s="110"/>
    </row>
    <row r="181" spans="1:36" ht="18" customHeight="1">
      <c r="A181" s="154"/>
      <c r="B181" s="154"/>
      <c r="C181" s="154"/>
      <c r="D181" s="162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95"/>
      <c r="AH181" s="196"/>
      <c r="AI181" s="197"/>
      <c r="AJ181" s="110"/>
    </row>
    <row r="182" spans="1:36" ht="18" customHeight="1">
      <c r="A182" s="154"/>
      <c r="B182" s="154"/>
      <c r="C182" s="154"/>
      <c r="D182" s="162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95"/>
      <c r="AH182" s="196"/>
      <c r="AI182" s="197"/>
      <c r="AJ182" s="110"/>
    </row>
    <row r="183" spans="1:36" ht="18" customHeight="1">
      <c r="A183" s="154"/>
      <c r="B183" s="154"/>
      <c r="C183" s="154"/>
      <c r="D183" s="162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95"/>
      <c r="AH183" s="196"/>
      <c r="AI183" s="197"/>
      <c r="AJ183" s="110"/>
    </row>
    <row r="184" spans="1:36" ht="18" customHeight="1">
      <c r="A184" s="154"/>
      <c r="B184" s="154"/>
      <c r="C184" s="154"/>
      <c r="D184" s="162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95"/>
      <c r="AH184" s="196"/>
      <c r="AI184" s="197"/>
      <c r="AJ184" s="110"/>
    </row>
    <row r="185" spans="1:36" ht="18" customHeight="1">
      <c r="A185" s="154"/>
      <c r="B185" s="154"/>
      <c r="C185" s="154"/>
      <c r="D185" s="162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95"/>
      <c r="AH185" s="196"/>
      <c r="AI185" s="197"/>
      <c r="AJ185" s="110"/>
    </row>
    <row r="186" spans="1:36" ht="18" customHeight="1">
      <c r="A186" s="154"/>
      <c r="B186" s="154"/>
      <c r="C186" s="154"/>
      <c r="D186" s="162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95"/>
      <c r="AH186" s="196"/>
      <c r="AI186" s="197"/>
      <c r="AJ186" s="110"/>
    </row>
    <row r="187" spans="1:36" ht="18" customHeight="1">
      <c r="A187" s="154"/>
      <c r="B187" s="154"/>
      <c r="C187" s="154"/>
      <c r="D187" s="162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95"/>
      <c r="AH187" s="196"/>
      <c r="AI187" s="197"/>
      <c r="AJ187" s="110"/>
    </row>
    <row r="188" spans="1:36" ht="18" customHeight="1">
      <c r="A188" s="154"/>
      <c r="B188" s="154"/>
      <c r="C188" s="154"/>
      <c r="D188" s="162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95"/>
      <c r="AH188" s="196"/>
      <c r="AI188" s="197"/>
      <c r="AJ188" s="110"/>
    </row>
    <row r="189" spans="1:36" ht="18" customHeight="1">
      <c r="A189" s="154"/>
      <c r="B189" s="154"/>
      <c r="C189" s="154"/>
      <c r="D189" s="162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95"/>
      <c r="AH189" s="196"/>
      <c r="AI189" s="197"/>
      <c r="AJ189" s="110"/>
    </row>
    <row r="190" spans="1:36" ht="18" customHeight="1">
      <c r="A190" s="154"/>
      <c r="B190" s="154"/>
      <c r="C190" s="154"/>
      <c r="D190" s="162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95"/>
      <c r="AH190" s="196"/>
      <c r="AI190" s="197"/>
      <c r="AJ190" s="110"/>
    </row>
    <row r="191" spans="1:36" ht="18" customHeight="1">
      <c r="A191" s="154"/>
      <c r="B191" s="154"/>
      <c r="C191" s="154"/>
      <c r="D191" s="162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95"/>
      <c r="AH191" s="196"/>
      <c r="AI191" s="197"/>
      <c r="AJ191" s="110"/>
    </row>
    <row r="192" spans="1:36" ht="18" customHeight="1">
      <c r="A192" s="154"/>
      <c r="B192" s="154"/>
      <c r="C192" s="154"/>
      <c r="D192" s="162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95"/>
      <c r="AH192" s="196"/>
      <c r="AI192" s="197"/>
      <c r="AJ192" s="110"/>
    </row>
    <row r="193" spans="1:36" ht="18" customHeight="1">
      <c r="A193" s="154"/>
      <c r="B193" s="154"/>
      <c r="C193" s="154"/>
      <c r="D193" s="162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95"/>
      <c r="AH193" s="196"/>
      <c r="AI193" s="197"/>
      <c r="AJ193" s="110"/>
    </row>
    <row r="194" spans="1:36" ht="18" customHeight="1">
      <c r="A194" s="154"/>
      <c r="B194" s="154"/>
      <c r="C194" s="154"/>
      <c r="D194" s="162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95"/>
      <c r="AH194" s="196"/>
      <c r="AI194" s="197"/>
      <c r="AJ194" s="110"/>
    </row>
    <row r="195" spans="1:36" ht="18" customHeight="1">
      <c r="A195" s="154"/>
      <c r="B195" s="154"/>
      <c r="C195" s="154"/>
      <c r="D195" s="162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95"/>
      <c r="AH195" s="196"/>
      <c r="AI195" s="197"/>
      <c r="AJ195" s="110"/>
    </row>
    <row r="196" spans="1:36" ht="18" customHeight="1">
      <c r="A196" s="154"/>
      <c r="B196" s="154"/>
      <c r="C196" s="154"/>
      <c r="D196" s="162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95"/>
      <c r="AH196" s="196"/>
      <c r="AI196" s="197"/>
      <c r="AJ196" s="110"/>
    </row>
    <row r="197" spans="1:36" ht="18" customHeight="1">
      <c r="A197" s="154"/>
      <c r="B197" s="154"/>
      <c r="C197" s="154"/>
      <c r="D197" s="162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95"/>
      <c r="AH197" s="196"/>
      <c r="AI197" s="197"/>
      <c r="AJ197" s="110"/>
    </row>
    <row r="198" spans="1:36" ht="18" customHeight="1">
      <c r="A198" s="154"/>
      <c r="B198" s="154"/>
      <c r="C198" s="154"/>
      <c r="D198" s="162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95"/>
      <c r="AH198" s="196"/>
      <c r="AI198" s="197"/>
      <c r="AJ198" s="110"/>
    </row>
    <row r="199" spans="1:36" ht="18" customHeight="1">
      <c r="A199" s="154"/>
      <c r="B199" s="154"/>
      <c r="C199" s="154"/>
      <c r="D199" s="162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95"/>
      <c r="AH199" s="196"/>
      <c r="AI199" s="197"/>
      <c r="AJ199" s="110"/>
    </row>
    <row r="200" spans="1:36" ht="18" customHeight="1">
      <c r="A200" s="154"/>
      <c r="B200" s="154"/>
      <c r="C200" s="154"/>
      <c r="D200" s="162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95"/>
      <c r="AH200" s="196"/>
      <c r="AI200" s="197"/>
      <c r="AJ200" s="110"/>
    </row>
    <row r="201" spans="1:36" ht="18" customHeight="1">
      <c r="A201" s="154"/>
      <c r="B201" s="154"/>
      <c r="C201" s="154"/>
      <c r="D201" s="162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95"/>
      <c r="AH201" s="196"/>
      <c r="AI201" s="197"/>
      <c r="AJ201" s="110"/>
    </row>
    <row r="202" spans="1:36" ht="18" customHeight="1">
      <c r="A202" s="154"/>
      <c r="B202" s="154"/>
      <c r="C202" s="154"/>
      <c r="D202" s="162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95"/>
      <c r="AH202" s="196"/>
      <c r="AI202" s="197"/>
      <c r="AJ202" s="110"/>
    </row>
    <row r="203" spans="1:36" ht="18" customHeight="1">
      <c r="A203" s="154"/>
      <c r="B203" s="154"/>
      <c r="C203" s="154"/>
      <c r="D203" s="162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95"/>
      <c r="AH203" s="196"/>
      <c r="AI203" s="197"/>
      <c r="AJ203" s="110"/>
    </row>
    <row r="204" spans="1:36" ht="18" customHeight="1">
      <c r="A204" s="154"/>
      <c r="B204" s="154"/>
      <c r="C204" s="154"/>
      <c r="D204" s="162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95"/>
      <c r="AH204" s="196"/>
      <c r="AI204" s="197"/>
      <c r="AJ204" s="110"/>
    </row>
    <row r="205" spans="1:36" ht="18" customHeight="1">
      <c r="A205" s="154"/>
      <c r="B205" s="154"/>
      <c r="C205" s="154"/>
      <c r="D205" s="162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95"/>
      <c r="AH205" s="196"/>
      <c r="AI205" s="197"/>
      <c r="AJ205" s="110"/>
    </row>
    <row r="206" spans="1:36" ht="18" customHeight="1">
      <c r="A206" s="154"/>
      <c r="B206" s="154"/>
      <c r="C206" s="154"/>
      <c r="D206" s="162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95"/>
      <c r="AH206" s="196"/>
      <c r="AI206" s="197"/>
      <c r="AJ206" s="110"/>
    </row>
    <row r="207" spans="1:36" ht="18" customHeight="1">
      <c r="A207" s="154"/>
      <c r="B207" s="154"/>
      <c r="C207" s="154"/>
      <c r="D207" s="162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95"/>
      <c r="AH207" s="196"/>
      <c r="AI207" s="197"/>
      <c r="AJ207" s="110"/>
    </row>
    <row r="208" spans="1:36" ht="18" customHeight="1">
      <c r="A208" s="154"/>
      <c r="B208" s="154"/>
      <c r="C208" s="154"/>
      <c r="D208" s="162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95"/>
      <c r="AH208" s="196"/>
      <c r="AI208" s="197"/>
      <c r="AJ208" s="110"/>
    </row>
    <row r="209" spans="1:36" ht="18" customHeight="1">
      <c r="A209" s="154"/>
      <c r="B209" s="154"/>
      <c r="C209" s="154"/>
      <c r="D209" s="162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95"/>
      <c r="AH209" s="196"/>
      <c r="AI209" s="197"/>
      <c r="AJ209" s="110"/>
    </row>
    <row r="210" spans="1:36" ht="18" customHeight="1">
      <c r="A210" s="154"/>
      <c r="B210" s="154"/>
      <c r="C210" s="154"/>
      <c r="D210" s="162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95"/>
      <c r="AH210" s="196"/>
      <c r="AI210" s="197"/>
      <c r="AJ210" s="110"/>
    </row>
    <row r="211" spans="1:36" ht="18" customHeight="1">
      <c r="A211" s="154"/>
      <c r="B211" s="154"/>
      <c r="C211" s="154"/>
      <c r="D211" s="162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95"/>
      <c r="AH211" s="196"/>
      <c r="AI211" s="197"/>
      <c r="AJ211" s="110"/>
    </row>
    <row r="212" spans="1:36" ht="18" customHeight="1">
      <c r="A212" s="154"/>
      <c r="B212" s="154"/>
      <c r="C212" s="154"/>
      <c r="D212" s="162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95"/>
      <c r="AH212" s="196"/>
      <c r="AI212" s="197"/>
      <c r="AJ212" s="110"/>
    </row>
    <row r="213" spans="1:36" ht="18" customHeight="1">
      <c r="A213" s="154"/>
      <c r="B213" s="154"/>
      <c r="C213" s="154"/>
      <c r="D213" s="162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95"/>
      <c r="AH213" s="196"/>
      <c r="AI213" s="197"/>
      <c r="AJ213" s="110"/>
    </row>
    <row r="214" spans="1:36" ht="18" customHeight="1">
      <c r="A214" s="154"/>
      <c r="B214" s="154"/>
      <c r="C214" s="154"/>
      <c r="D214" s="162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95"/>
      <c r="AH214" s="196"/>
      <c r="AI214" s="197"/>
      <c r="AJ214" s="110"/>
    </row>
    <row r="215" spans="1:36" ht="18" customHeight="1">
      <c r="A215" s="154"/>
      <c r="B215" s="154"/>
      <c r="C215" s="154"/>
      <c r="D215" s="162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95"/>
      <c r="AH215" s="196"/>
      <c r="AI215" s="197"/>
      <c r="AJ215" s="110"/>
    </row>
    <row r="216" spans="1:36" ht="18" customHeight="1">
      <c r="A216" s="154"/>
      <c r="B216" s="154"/>
      <c r="C216" s="154"/>
      <c r="D216" s="162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95"/>
      <c r="AH216" s="196"/>
      <c r="AI216" s="197"/>
      <c r="AJ216" s="110"/>
    </row>
    <row r="217" spans="1:36" ht="18" customHeight="1">
      <c r="A217" s="154"/>
      <c r="B217" s="154"/>
      <c r="C217" s="154"/>
      <c r="D217" s="162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95"/>
      <c r="AH217" s="196"/>
      <c r="AI217" s="197"/>
      <c r="AJ217" s="110"/>
    </row>
    <row r="218" spans="1:36" ht="18" customHeight="1">
      <c r="A218" s="154"/>
      <c r="B218" s="154"/>
      <c r="C218" s="154"/>
      <c r="D218" s="162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95"/>
      <c r="AH218" s="196"/>
      <c r="AI218" s="197"/>
      <c r="AJ218" s="110"/>
    </row>
    <row r="219" spans="1:36" ht="18" customHeight="1">
      <c r="A219" s="154"/>
      <c r="B219" s="154"/>
      <c r="C219" s="154"/>
      <c r="D219" s="162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95"/>
      <c r="AH219" s="196"/>
      <c r="AI219" s="197"/>
      <c r="AJ219" s="110"/>
    </row>
    <row r="220" spans="1:36" ht="18" customHeight="1">
      <c r="A220" s="154"/>
      <c r="B220" s="154"/>
      <c r="C220" s="154"/>
      <c r="D220" s="162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95"/>
      <c r="AH220" s="196"/>
      <c r="AI220" s="197"/>
      <c r="AJ220" s="110"/>
    </row>
    <row r="221" spans="1:36" ht="18" customHeight="1">
      <c r="A221" s="154"/>
      <c r="B221" s="154"/>
      <c r="C221" s="154"/>
      <c r="D221" s="162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95"/>
      <c r="AH221" s="196"/>
      <c r="AI221" s="197"/>
      <c r="AJ221" s="110"/>
    </row>
    <row r="222" spans="1:36" ht="18" customHeight="1">
      <c r="A222" s="154"/>
      <c r="B222" s="154"/>
      <c r="C222" s="154"/>
      <c r="D222" s="162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95"/>
      <c r="AH222" s="196"/>
      <c r="AI222" s="197"/>
      <c r="AJ222" s="110"/>
    </row>
    <row r="223" spans="1:36" ht="18" customHeight="1">
      <c r="A223" s="154"/>
      <c r="B223" s="154"/>
      <c r="C223" s="154"/>
      <c r="D223" s="162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95"/>
      <c r="AH223" s="196"/>
      <c r="AI223" s="197"/>
      <c r="AJ223" s="110"/>
    </row>
    <row r="224" spans="1:36" ht="18" customHeight="1">
      <c r="A224" s="154"/>
      <c r="B224" s="154"/>
      <c r="C224" s="154"/>
      <c r="D224" s="162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95"/>
      <c r="AH224" s="196"/>
      <c r="AI224" s="197"/>
      <c r="AJ224" s="110"/>
    </row>
    <row r="225" spans="1:36" ht="18" customHeight="1">
      <c r="A225" s="154"/>
      <c r="B225" s="154"/>
      <c r="C225" s="154"/>
      <c r="D225" s="162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95"/>
      <c r="AH225" s="196"/>
      <c r="AI225" s="197"/>
      <c r="AJ225" s="110"/>
    </row>
    <row r="226" spans="1:36" ht="18" customHeight="1">
      <c r="A226" s="154"/>
      <c r="B226" s="154"/>
      <c r="C226" s="154"/>
      <c r="D226" s="162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95"/>
      <c r="AH226" s="196"/>
      <c r="AI226" s="197"/>
      <c r="AJ226" s="110"/>
    </row>
    <row r="227" spans="1:36" ht="18" customHeight="1">
      <c r="A227" s="154"/>
      <c r="B227" s="154"/>
      <c r="C227" s="154"/>
      <c r="D227" s="162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95"/>
      <c r="AH227" s="196"/>
      <c r="AI227" s="197"/>
      <c r="AJ227" s="110"/>
    </row>
    <row r="228" spans="1:36" ht="18" customHeight="1">
      <c r="A228" s="154"/>
      <c r="B228" s="154"/>
      <c r="C228" s="154"/>
      <c r="D228" s="162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95"/>
      <c r="AH228" s="196"/>
      <c r="AI228" s="197"/>
      <c r="AJ228" s="110"/>
    </row>
    <row r="229" spans="1:36" ht="18" customHeight="1">
      <c r="A229" s="154"/>
      <c r="B229" s="154"/>
      <c r="C229" s="154"/>
      <c r="D229" s="162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95"/>
      <c r="AH229" s="196"/>
      <c r="AI229" s="197"/>
      <c r="AJ229" s="110"/>
    </row>
    <row r="230" spans="1:36" ht="18" customHeight="1">
      <c r="A230" s="154"/>
      <c r="B230" s="154"/>
      <c r="C230" s="154"/>
      <c r="D230" s="162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95"/>
      <c r="AH230" s="196"/>
      <c r="AI230" s="197"/>
      <c r="AJ230" s="110"/>
    </row>
    <row r="231" spans="1:36" ht="18" customHeight="1">
      <c r="A231" s="154"/>
      <c r="B231" s="154"/>
      <c r="C231" s="154"/>
      <c r="D231" s="162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95"/>
      <c r="AH231" s="196"/>
      <c r="AI231" s="197"/>
      <c r="AJ231" s="110"/>
    </row>
    <row r="232" spans="1:36" ht="18" customHeight="1">
      <c r="A232" s="154"/>
      <c r="B232" s="154"/>
      <c r="C232" s="154"/>
      <c r="D232" s="162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95"/>
      <c r="AH232" s="196"/>
      <c r="AI232" s="197"/>
      <c r="AJ232" s="110"/>
    </row>
    <row r="233" spans="1:36" ht="18" customHeight="1">
      <c r="A233" s="154"/>
      <c r="B233" s="154"/>
      <c r="C233" s="154"/>
      <c r="D233" s="162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95"/>
      <c r="AH233" s="196"/>
      <c r="AI233" s="197"/>
      <c r="AJ233" s="110"/>
    </row>
    <row r="234" spans="1:36" ht="18" customHeight="1">
      <c r="A234" s="154"/>
      <c r="B234" s="154"/>
      <c r="C234" s="154"/>
      <c r="D234" s="162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95"/>
      <c r="AH234" s="196"/>
      <c r="AI234" s="197"/>
      <c r="AJ234" s="110"/>
    </row>
    <row r="235" spans="1:36" ht="18" customHeight="1">
      <c r="A235" s="154"/>
      <c r="B235" s="154"/>
      <c r="C235" s="154"/>
      <c r="D235" s="162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95"/>
      <c r="AH235" s="196"/>
      <c r="AI235" s="197"/>
      <c r="AJ235" s="110"/>
    </row>
    <row r="236" spans="1:36" ht="18" customHeight="1">
      <c r="A236" s="154"/>
      <c r="B236" s="154"/>
      <c r="C236" s="154"/>
      <c r="D236" s="162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95"/>
      <c r="AH236" s="196"/>
      <c r="AI236" s="197"/>
      <c r="AJ236" s="110"/>
    </row>
    <row r="237" spans="1:36" ht="18" customHeight="1">
      <c r="A237" s="154"/>
      <c r="B237" s="154"/>
      <c r="C237" s="154"/>
      <c r="D237" s="162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95"/>
      <c r="AH237" s="196"/>
      <c r="AI237" s="197"/>
      <c r="AJ237" s="110"/>
    </row>
    <row r="238" spans="1:36" ht="18" customHeight="1">
      <c r="A238" s="154"/>
      <c r="B238" s="154"/>
      <c r="C238" s="154"/>
      <c r="D238" s="162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95"/>
      <c r="AH238" s="196"/>
      <c r="AI238" s="197"/>
      <c r="AJ238" s="110"/>
    </row>
    <row r="239" spans="1:36" ht="18" customHeight="1">
      <c r="A239" s="154"/>
      <c r="B239" s="154"/>
      <c r="C239" s="154"/>
      <c r="D239" s="162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95"/>
      <c r="AH239" s="196"/>
      <c r="AI239" s="197"/>
      <c r="AJ239" s="110"/>
    </row>
    <row r="240" spans="1:36" ht="18" customHeight="1">
      <c r="A240" s="154"/>
      <c r="B240" s="154"/>
      <c r="C240" s="154"/>
      <c r="D240" s="162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95"/>
      <c r="AH240" s="196"/>
      <c r="AI240" s="197"/>
      <c r="AJ240" s="110"/>
    </row>
    <row r="241" spans="1:36" ht="18" customHeight="1">
      <c r="A241" s="154"/>
      <c r="B241" s="154"/>
      <c r="C241" s="154"/>
      <c r="D241" s="162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95"/>
      <c r="AH241" s="196"/>
      <c r="AI241" s="197"/>
      <c r="AJ241" s="110"/>
    </row>
    <row r="242" spans="1:36" ht="18" customHeight="1">
      <c r="A242" s="154"/>
      <c r="B242" s="154"/>
      <c r="C242" s="154"/>
      <c r="D242" s="162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95"/>
      <c r="AH242" s="196"/>
      <c r="AI242" s="197"/>
      <c r="AJ242" s="110"/>
    </row>
    <row r="243" spans="1:36" ht="18" customHeight="1">
      <c r="A243" s="154"/>
      <c r="B243" s="154"/>
      <c r="C243" s="154"/>
      <c r="D243" s="162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95"/>
      <c r="AH243" s="196"/>
      <c r="AI243" s="197"/>
      <c r="AJ243" s="110"/>
    </row>
    <row r="244" spans="1:36" ht="18" customHeight="1">
      <c r="A244" s="154"/>
      <c r="B244" s="154"/>
      <c r="C244" s="154"/>
      <c r="D244" s="162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95"/>
      <c r="AH244" s="196"/>
      <c r="AI244" s="197"/>
      <c r="AJ244" s="110"/>
    </row>
    <row r="245" spans="1:36" ht="18" customHeight="1">
      <c r="A245" s="154"/>
      <c r="B245" s="154"/>
      <c r="C245" s="154"/>
      <c r="D245" s="162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95"/>
      <c r="AH245" s="196"/>
      <c r="AI245" s="197"/>
      <c r="AJ245" s="110"/>
    </row>
    <row r="246" spans="1:36" ht="18" customHeight="1">
      <c r="A246" s="154"/>
      <c r="B246" s="154"/>
      <c r="C246" s="154"/>
      <c r="D246" s="162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95"/>
      <c r="AH246" s="196"/>
      <c r="AI246" s="197"/>
      <c r="AJ246" s="110"/>
    </row>
    <row r="247" spans="1:36" ht="18" customHeight="1">
      <c r="A247" s="154"/>
      <c r="B247" s="154"/>
      <c r="C247" s="154"/>
      <c r="D247" s="162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95"/>
      <c r="AH247" s="196"/>
      <c r="AI247" s="197"/>
      <c r="AJ247" s="110"/>
    </row>
    <row r="248" spans="1:36" ht="18" customHeight="1">
      <c r="A248" s="154"/>
      <c r="B248" s="154"/>
      <c r="C248" s="154"/>
      <c r="D248" s="162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95"/>
      <c r="AH248" s="196"/>
      <c r="AI248" s="197"/>
      <c r="AJ248" s="110"/>
    </row>
    <row r="249" spans="1:36" ht="18" customHeight="1">
      <c r="A249" s="154"/>
      <c r="B249" s="154"/>
      <c r="C249" s="154"/>
      <c r="D249" s="162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95"/>
      <c r="AH249" s="196"/>
      <c r="AI249" s="197"/>
      <c r="AJ249" s="110"/>
    </row>
    <row r="250" spans="1:36" ht="18" customHeight="1">
      <c r="A250" s="154"/>
      <c r="B250" s="154"/>
      <c r="C250" s="154"/>
      <c r="D250" s="162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95"/>
      <c r="AH250" s="196"/>
      <c r="AI250" s="197"/>
      <c r="AJ250" s="110"/>
    </row>
    <row r="251" spans="1:36" ht="18" customHeight="1">
      <c r="A251" s="154"/>
      <c r="B251" s="154"/>
      <c r="C251" s="154"/>
      <c r="D251" s="162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95"/>
      <c r="AH251" s="196"/>
      <c r="AI251" s="197"/>
      <c r="AJ251" s="110"/>
    </row>
    <row r="252" spans="1:36" ht="18" customHeight="1">
      <c r="A252" s="154"/>
      <c r="B252" s="154"/>
      <c r="C252" s="154"/>
      <c r="D252" s="162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95"/>
      <c r="AH252" s="196"/>
      <c r="AI252" s="197"/>
      <c r="AJ252" s="110"/>
    </row>
    <row r="253" spans="1:36" ht="18" customHeight="1">
      <c r="A253" s="154"/>
      <c r="B253" s="154"/>
      <c r="C253" s="154"/>
      <c r="D253" s="162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95"/>
      <c r="AH253" s="196"/>
      <c r="AI253" s="197"/>
      <c r="AJ253" s="110"/>
    </row>
    <row r="254" spans="1:36" ht="18" customHeight="1">
      <c r="A254" s="154"/>
      <c r="B254" s="154"/>
      <c r="C254" s="154"/>
      <c r="D254" s="162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95"/>
      <c r="AH254" s="196"/>
      <c r="AI254" s="197"/>
      <c r="AJ254" s="110"/>
    </row>
    <row r="255" spans="1:36" ht="18" customHeight="1">
      <c r="A255" s="154"/>
      <c r="B255" s="154"/>
      <c r="C255" s="154"/>
      <c r="D255" s="162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95"/>
      <c r="AH255" s="196"/>
      <c r="AI255" s="197"/>
      <c r="AJ255" s="110"/>
    </row>
    <row r="256" spans="1:36" ht="18" customHeight="1">
      <c r="A256" s="154"/>
      <c r="B256" s="154"/>
      <c r="C256" s="154"/>
      <c r="D256" s="162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95"/>
      <c r="AH256" s="196"/>
      <c r="AI256" s="197"/>
      <c r="AJ256" s="110"/>
    </row>
    <row r="257" spans="1:36" ht="18" customHeight="1">
      <c r="A257" s="154"/>
      <c r="B257" s="154"/>
      <c r="C257" s="154"/>
      <c r="D257" s="162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95"/>
      <c r="AH257" s="196"/>
      <c r="AI257" s="197"/>
      <c r="AJ257" s="110"/>
    </row>
    <row r="258" spans="1:36" ht="18" customHeight="1">
      <c r="A258" s="154"/>
      <c r="B258" s="154"/>
      <c r="C258" s="154"/>
      <c r="D258" s="162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95"/>
      <c r="AH258" s="196"/>
      <c r="AI258" s="197"/>
      <c r="AJ258" s="110"/>
    </row>
    <row r="259" spans="1:36" ht="18" customHeight="1">
      <c r="A259" s="154"/>
      <c r="B259" s="154"/>
      <c r="C259" s="154"/>
      <c r="D259" s="162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95"/>
      <c r="AH259" s="196"/>
      <c r="AI259" s="197"/>
      <c r="AJ259" s="110"/>
    </row>
    <row r="260" spans="1:36" ht="18" customHeight="1">
      <c r="A260" s="154"/>
      <c r="B260" s="154"/>
      <c r="C260" s="154"/>
      <c r="D260" s="162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95"/>
      <c r="AH260" s="196"/>
      <c r="AI260" s="197"/>
      <c r="AJ260" s="110"/>
    </row>
    <row r="261" spans="1:36" ht="18" customHeight="1">
      <c r="A261" s="154"/>
      <c r="B261" s="154"/>
      <c r="C261" s="154"/>
      <c r="D261" s="162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95"/>
      <c r="AH261" s="196"/>
      <c r="AI261" s="197"/>
      <c r="AJ261" s="110"/>
    </row>
    <row r="262" spans="1:36" ht="18" customHeight="1">
      <c r="A262" s="154"/>
      <c r="B262" s="154"/>
      <c r="C262" s="154"/>
      <c r="D262" s="162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95"/>
      <c r="AH262" s="196"/>
      <c r="AI262" s="197"/>
      <c r="AJ262" s="110"/>
    </row>
    <row r="263" spans="1:36" ht="18" customHeight="1">
      <c r="A263" s="154"/>
      <c r="B263" s="154"/>
      <c r="C263" s="154"/>
      <c r="D263" s="162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95"/>
      <c r="AH263" s="196"/>
      <c r="AI263" s="197"/>
      <c r="AJ263" s="110"/>
    </row>
    <row r="264" spans="1:36" ht="18" customHeight="1">
      <c r="A264" s="154"/>
      <c r="B264" s="154"/>
      <c r="C264" s="154"/>
      <c r="D264" s="162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95"/>
      <c r="AH264" s="196"/>
      <c r="AI264" s="197"/>
      <c r="AJ264" s="110"/>
    </row>
    <row r="265" spans="1:36" ht="18" customHeight="1">
      <c r="A265" s="154"/>
      <c r="B265" s="154"/>
      <c r="C265" s="154"/>
      <c r="D265" s="162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95"/>
      <c r="AH265" s="196"/>
      <c r="AI265" s="197"/>
      <c r="AJ265" s="110"/>
    </row>
    <row r="266" spans="1:36" ht="18" customHeight="1">
      <c r="A266" s="154"/>
      <c r="B266" s="154"/>
      <c r="C266" s="154"/>
      <c r="D266" s="162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95"/>
      <c r="AH266" s="196"/>
      <c r="AI266" s="197"/>
      <c r="AJ266" s="110"/>
    </row>
    <row r="267" spans="1:36" ht="18" customHeight="1">
      <c r="A267" s="154"/>
      <c r="B267" s="154"/>
      <c r="C267" s="154"/>
      <c r="D267" s="162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95"/>
      <c r="AH267" s="196"/>
      <c r="AI267" s="197"/>
      <c r="AJ267" s="110"/>
    </row>
    <row r="268" spans="1:36" ht="18" customHeight="1">
      <c r="A268" s="154"/>
      <c r="B268" s="154"/>
      <c r="C268" s="154"/>
      <c r="D268" s="162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95"/>
      <c r="AH268" s="196"/>
      <c r="AI268" s="197"/>
      <c r="AJ268" s="110"/>
    </row>
    <row r="269" spans="1:36" ht="18" customHeight="1">
      <c r="A269" s="154"/>
      <c r="B269" s="154"/>
      <c r="C269" s="154"/>
      <c r="D269" s="162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95"/>
      <c r="AH269" s="196"/>
      <c r="AI269" s="197"/>
      <c r="AJ269" s="110"/>
    </row>
    <row r="270" spans="1:36" ht="18" customHeight="1">
      <c r="A270" s="154"/>
      <c r="B270" s="154"/>
      <c r="C270" s="154"/>
      <c r="D270" s="162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95"/>
      <c r="AH270" s="196"/>
      <c r="AI270" s="197"/>
      <c r="AJ270" s="110"/>
    </row>
    <row r="271" spans="1:36" ht="18" customHeight="1">
      <c r="A271" s="154"/>
      <c r="B271" s="154"/>
      <c r="C271" s="154"/>
      <c r="D271" s="162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95"/>
      <c r="AH271" s="196"/>
      <c r="AI271" s="197"/>
      <c r="AJ271" s="110"/>
    </row>
    <row r="272" spans="1:36" ht="18" customHeight="1">
      <c r="A272" s="154"/>
      <c r="B272" s="154"/>
      <c r="C272" s="154"/>
      <c r="D272" s="162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95"/>
      <c r="AH272" s="196"/>
      <c r="AI272" s="197"/>
      <c r="AJ272" s="110"/>
    </row>
    <row r="273" spans="1:36" ht="18" customHeight="1">
      <c r="A273" s="154"/>
      <c r="B273" s="154"/>
      <c r="C273" s="154"/>
      <c r="D273" s="162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95"/>
      <c r="AH273" s="196"/>
      <c r="AI273" s="197"/>
      <c r="AJ273" s="110"/>
    </row>
    <row r="274" spans="1:36" ht="18" customHeight="1">
      <c r="A274" s="154"/>
      <c r="B274" s="154"/>
      <c r="C274" s="154"/>
      <c r="D274" s="162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95"/>
      <c r="AH274" s="196"/>
      <c r="AI274" s="197"/>
      <c r="AJ274" s="110"/>
    </row>
    <row r="275" spans="1:36" ht="18" customHeight="1">
      <c r="A275" s="154"/>
      <c r="B275" s="154"/>
      <c r="C275" s="154"/>
      <c r="D275" s="162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95"/>
      <c r="AH275" s="196"/>
      <c r="AI275" s="197"/>
      <c r="AJ275" s="110"/>
    </row>
    <row r="276" spans="1:36" ht="18" customHeight="1">
      <c r="A276" s="154"/>
      <c r="B276" s="154"/>
      <c r="C276" s="154"/>
      <c r="D276" s="162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95"/>
      <c r="AH276" s="196"/>
      <c r="AI276" s="197"/>
      <c r="AJ276" s="110"/>
    </row>
    <row r="277" spans="1:36" ht="18" customHeight="1">
      <c r="A277" s="154"/>
      <c r="B277" s="154"/>
      <c r="C277" s="154"/>
      <c r="D277" s="162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95"/>
      <c r="AH277" s="196"/>
      <c r="AI277" s="197"/>
      <c r="AJ277" s="110"/>
    </row>
    <row r="278" spans="1:36" ht="18" customHeight="1">
      <c r="A278" s="154"/>
      <c r="B278" s="154"/>
      <c r="C278" s="154"/>
      <c r="D278" s="162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95"/>
      <c r="AH278" s="196"/>
      <c r="AI278" s="197"/>
      <c r="AJ278" s="110"/>
    </row>
    <row r="279" spans="1:36" ht="18" customHeight="1">
      <c r="A279" s="154"/>
      <c r="B279" s="154"/>
      <c r="C279" s="154"/>
      <c r="D279" s="162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95"/>
      <c r="AH279" s="196"/>
      <c r="AI279" s="197"/>
      <c r="AJ279" s="110"/>
    </row>
    <row r="280" spans="1:36" ht="18" customHeight="1">
      <c r="A280" s="154"/>
      <c r="B280" s="154"/>
      <c r="C280" s="154"/>
      <c r="D280" s="162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95"/>
      <c r="AH280" s="196"/>
      <c r="AI280" s="197"/>
      <c r="AJ280" s="110"/>
    </row>
    <row r="281" spans="1:36" ht="18" customHeight="1">
      <c r="A281" s="154"/>
      <c r="B281" s="154"/>
      <c r="C281" s="154"/>
      <c r="D281" s="162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95"/>
      <c r="AH281" s="196"/>
      <c r="AI281" s="197"/>
      <c r="AJ281" s="110"/>
    </row>
    <row r="282" spans="1:36" ht="18" customHeight="1">
      <c r="A282" s="154"/>
      <c r="B282" s="154"/>
      <c r="C282" s="154"/>
      <c r="D282" s="162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95"/>
      <c r="AH282" s="196"/>
      <c r="AI282" s="197"/>
      <c r="AJ282" s="110"/>
    </row>
    <row r="283" spans="1:36" ht="18" customHeight="1">
      <c r="A283" s="154"/>
      <c r="B283" s="154"/>
      <c r="C283" s="154"/>
      <c r="D283" s="162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95"/>
      <c r="AH283" s="196"/>
      <c r="AI283" s="197"/>
      <c r="AJ283" s="110"/>
    </row>
    <row r="284" spans="1:36" ht="18" customHeight="1">
      <c r="A284" s="154"/>
      <c r="B284" s="154"/>
      <c r="C284" s="154"/>
      <c r="D284" s="162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95"/>
      <c r="AH284" s="196"/>
      <c r="AI284" s="197"/>
      <c r="AJ284" s="110"/>
    </row>
    <row r="285" spans="1:36" ht="18" customHeight="1">
      <c r="A285" s="154"/>
      <c r="B285" s="154"/>
      <c r="C285" s="154"/>
      <c r="D285" s="162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95"/>
      <c r="AH285" s="196"/>
      <c r="AI285" s="197"/>
      <c r="AJ285" s="110"/>
    </row>
    <row r="286" spans="1:36" ht="18" customHeight="1">
      <c r="A286" s="154"/>
      <c r="B286" s="154"/>
      <c r="C286" s="154"/>
      <c r="D286" s="162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95"/>
      <c r="AH286" s="196"/>
      <c r="AI286" s="197"/>
      <c r="AJ286" s="110"/>
    </row>
    <row r="287" spans="1:36" ht="18" customHeight="1">
      <c r="A287" s="154"/>
      <c r="B287" s="154"/>
      <c r="C287" s="154"/>
      <c r="D287" s="162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95"/>
      <c r="AH287" s="196"/>
      <c r="AI287" s="197"/>
      <c r="AJ287" s="110"/>
    </row>
    <row r="288" spans="1:36" ht="18" customHeight="1">
      <c r="A288" s="154"/>
      <c r="B288" s="154"/>
      <c r="C288" s="154"/>
      <c r="D288" s="162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95"/>
      <c r="AH288" s="196"/>
      <c r="AI288" s="197"/>
      <c r="AJ288" s="110"/>
    </row>
    <row r="289" spans="1:36" ht="18" customHeight="1">
      <c r="A289" s="154"/>
      <c r="B289" s="154"/>
      <c r="C289" s="154"/>
      <c r="D289" s="162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95"/>
      <c r="AH289" s="196"/>
      <c r="AI289" s="197"/>
      <c r="AJ289" s="110"/>
    </row>
    <row r="290" spans="1:36" ht="18" customHeight="1">
      <c r="A290" s="154"/>
      <c r="B290" s="154"/>
      <c r="C290" s="154"/>
      <c r="D290" s="162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95"/>
      <c r="AH290" s="196"/>
      <c r="AI290" s="197"/>
      <c r="AJ290" s="110"/>
    </row>
    <row r="291" spans="1:36" ht="18" customHeight="1">
      <c r="A291" s="154"/>
      <c r="B291" s="154"/>
      <c r="C291" s="154"/>
      <c r="D291" s="162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95"/>
      <c r="AH291" s="196"/>
      <c r="AI291" s="197"/>
      <c r="AJ291" s="110"/>
    </row>
    <row r="292" spans="1:36" ht="18" customHeight="1">
      <c r="A292" s="154"/>
      <c r="B292" s="154"/>
      <c r="C292" s="154"/>
      <c r="D292" s="162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95"/>
      <c r="AH292" s="196"/>
      <c r="AI292" s="197"/>
      <c r="AJ292" s="110"/>
    </row>
    <row r="293" spans="1:36" ht="18" customHeight="1">
      <c r="A293" s="154"/>
      <c r="B293" s="154"/>
      <c r="C293" s="154"/>
      <c r="D293" s="162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95"/>
      <c r="AH293" s="196"/>
      <c r="AI293" s="197"/>
      <c r="AJ293" s="110"/>
    </row>
    <row r="294" spans="1:36" ht="18" customHeight="1">
      <c r="A294" s="154"/>
      <c r="B294" s="154"/>
      <c r="C294" s="154"/>
      <c r="D294" s="162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95"/>
      <c r="AH294" s="196"/>
      <c r="AI294" s="197"/>
      <c r="AJ294" s="110"/>
    </row>
    <row r="295" spans="1:36" ht="18" customHeight="1">
      <c r="A295" s="154"/>
      <c r="B295" s="154"/>
      <c r="C295" s="154"/>
      <c r="D295" s="162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95"/>
      <c r="AH295" s="196"/>
      <c r="AI295" s="197"/>
      <c r="AJ295" s="110"/>
    </row>
    <row r="296" spans="1:36" ht="18" customHeight="1">
      <c r="A296" s="154"/>
      <c r="B296" s="154"/>
      <c r="C296" s="154"/>
      <c r="D296" s="162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95"/>
      <c r="AH296" s="196"/>
      <c r="AI296" s="197"/>
      <c r="AJ296" s="110"/>
    </row>
    <row r="297" spans="1:36" ht="18" customHeight="1">
      <c r="A297" s="154"/>
      <c r="B297" s="154"/>
      <c r="C297" s="154"/>
      <c r="D297" s="162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95"/>
      <c r="AH297" s="196"/>
      <c r="AI297" s="197"/>
      <c r="AJ297" s="110"/>
    </row>
    <row r="298" spans="1:36" ht="18" customHeight="1">
      <c r="A298" s="154"/>
      <c r="B298" s="154"/>
      <c r="C298" s="154"/>
      <c r="D298" s="162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95"/>
      <c r="AH298" s="196"/>
      <c r="AI298" s="197"/>
      <c r="AJ298" s="110"/>
    </row>
    <row r="299" spans="1:36" ht="18" customHeight="1">
      <c r="A299" s="154"/>
      <c r="B299" s="154"/>
      <c r="C299" s="154"/>
      <c r="D299" s="162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95"/>
      <c r="AH299" s="196"/>
      <c r="AI299" s="197"/>
      <c r="AJ299" s="110"/>
    </row>
    <row r="300" spans="1:36" ht="18" customHeight="1">
      <c r="A300" s="154"/>
      <c r="B300" s="154"/>
      <c r="C300" s="154"/>
      <c r="D300" s="162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95"/>
      <c r="AH300" s="196"/>
      <c r="AI300" s="197"/>
      <c r="AJ300" s="110"/>
    </row>
    <row r="301" spans="1:36" ht="18" customHeight="1">
      <c r="A301" s="154"/>
      <c r="B301" s="154"/>
      <c r="C301" s="154"/>
      <c r="D301" s="162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95"/>
      <c r="AH301" s="196"/>
      <c r="AI301" s="197"/>
      <c r="AJ301" s="110"/>
    </row>
    <row r="302" spans="1:36" ht="18" customHeight="1">
      <c r="A302" s="154"/>
      <c r="B302" s="154"/>
      <c r="C302" s="154"/>
      <c r="D302" s="162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95"/>
      <c r="AH302" s="196"/>
      <c r="AI302" s="197"/>
      <c r="AJ302" s="110"/>
    </row>
    <row r="303" spans="1:36" ht="18" customHeight="1">
      <c r="A303" s="154"/>
      <c r="B303" s="154"/>
      <c r="C303" s="154"/>
      <c r="D303" s="162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95"/>
      <c r="AH303" s="196"/>
      <c r="AI303" s="197"/>
      <c r="AJ303" s="110"/>
    </row>
    <row r="304" spans="1:36" ht="18" customHeight="1">
      <c r="A304" s="154"/>
      <c r="B304" s="154"/>
      <c r="C304" s="154"/>
      <c r="D304" s="162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95"/>
      <c r="AH304" s="196"/>
      <c r="AI304" s="197"/>
      <c r="AJ304" s="110"/>
    </row>
    <row r="305" spans="1:36" ht="18" customHeight="1">
      <c r="A305" s="154"/>
      <c r="B305" s="154"/>
      <c r="C305" s="154"/>
      <c r="D305" s="162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95"/>
      <c r="AH305" s="196"/>
      <c r="AI305" s="197"/>
      <c r="AJ305" s="110"/>
    </row>
    <row r="306" spans="1:36" ht="18" customHeight="1">
      <c r="A306" s="154"/>
      <c r="B306" s="154"/>
      <c r="C306" s="154"/>
      <c r="D306" s="162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95"/>
      <c r="AH306" s="196"/>
      <c r="AI306" s="197"/>
      <c r="AJ306" s="110"/>
    </row>
    <row r="307" spans="1:36" ht="18" customHeight="1">
      <c r="A307" s="154"/>
      <c r="B307" s="154"/>
      <c r="C307" s="154"/>
      <c r="D307" s="162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95"/>
      <c r="AH307" s="196"/>
      <c r="AI307" s="197"/>
      <c r="AJ307" s="110"/>
    </row>
    <row r="308" spans="1:36" ht="18" customHeight="1">
      <c r="A308" s="154"/>
      <c r="B308" s="154"/>
      <c r="C308" s="154"/>
      <c r="D308" s="162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95"/>
      <c r="AH308" s="196"/>
      <c r="AI308" s="197"/>
      <c r="AJ308" s="110"/>
    </row>
    <row r="309" spans="1:36" ht="18" customHeight="1">
      <c r="A309" s="154"/>
      <c r="B309" s="154"/>
      <c r="C309" s="154"/>
      <c r="D309" s="162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95"/>
      <c r="AH309" s="196"/>
      <c r="AI309" s="197"/>
      <c r="AJ309" s="110"/>
    </row>
    <row r="310" spans="1:36" ht="18" customHeight="1">
      <c r="A310" s="154"/>
      <c r="B310" s="154"/>
      <c r="C310" s="154"/>
      <c r="D310" s="162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95"/>
      <c r="AH310" s="196"/>
      <c r="AI310" s="197"/>
      <c r="AJ310" s="110"/>
    </row>
    <row r="311" spans="1:36" ht="18" customHeight="1">
      <c r="A311" s="154"/>
      <c r="B311" s="154"/>
      <c r="C311" s="154"/>
      <c r="D311" s="162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95"/>
      <c r="AH311" s="196"/>
      <c r="AI311" s="197"/>
      <c r="AJ311" s="110"/>
    </row>
    <row r="312" spans="1:36" ht="18" customHeight="1">
      <c r="A312" s="154"/>
      <c r="B312" s="154"/>
      <c r="C312" s="154"/>
      <c r="D312" s="162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95"/>
      <c r="AH312" s="196"/>
      <c r="AI312" s="197"/>
      <c r="AJ312" s="110"/>
    </row>
    <row r="313" spans="1:36" ht="18" customHeight="1">
      <c r="A313" s="154"/>
      <c r="B313" s="154"/>
      <c r="C313" s="154"/>
      <c r="D313" s="162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95"/>
      <c r="AH313" s="196"/>
      <c r="AI313" s="197"/>
      <c r="AJ313" s="110"/>
    </row>
    <row r="314" spans="1:36" ht="18" customHeight="1">
      <c r="A314" s="154"/>
      <c r="B314" s="154"/>
      <c r="C314" s="154"/>
      <c r="D314" s="162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95"/>
      <c r="AH314" s="196"/>
      <c r="AI314" s="197"/>
      <c r="AJ314" s="110"/>
    </row>
    <row r="315" spans="1:36" ht="18" customHeight="1">
      <c r="A315" s="154"/>
      <c r="B315" s="154"/>
      <c r="C315" s="154"/>
      <c r="D315" s="162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95"/>
      <c r="AH315" s="196"/>
      <c r="AI315" s="197"/>
      <c r="AJ315" s="110"/>
    </row>
    <row r="316" spans="1:36" ht="18" customHeight="1">
      <c r="A316" s="154"/>
      <c r="B316" s="154"/>
      <c r="C316" s="154"/>
      <c r="D316" s="162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95"/>
      <c r="AH316" s="196"/>
      <c r="AI316" s="197"/>
      <c r="AJ316" s="110"/>
    </row>
    <row r="317" spans="1:36" ht="18" customHeight="1">
      <c r="A317" s="154"/>
      <c r="B317" s="154"/>
      <c r="C317" s="154"/>
      <c r="D317" s="162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95"/>
      <c r="AH317" s="196"/>
      <c r="AI317" s="197"/>
      <c r="AJ317" s="110"/>
    </row>
    <row r="318" spans="1:36" ht="18" customHeight="1">
      <c r="A318" s="154"/>
      <c r="B318" s="154"/>
      <c r="C318" s="154"/>
      <c r="D318" s="162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95"/>
      <c r="AH318" s="196"/>
      <c r="AI318" s="197"/>
      <c r="AJ318" s="110"/>
    </row>
    <row r="319" spans="1:36" ht="18" customHeight="1">
      <c r="A319" s="154"/>
      <c r="B319" s="154"/>
      <c r="C319" s="154"/>
      <c r="D319" s="162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95"/>
      <c r="AH319" s="196"/>
      <c r="AI319" s="197"/>
      <c r="AJ319" s="110"/>
    </row>
    <row r="320" spans="1:36" ht="18" customHeight="1">
      <c r="A320" s="154"/>
      <c r="B320" s="154"/>
      <c r="C320" s="154"/>
      <c r="D320" s="162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95"/>
      <c r="AH320" s="196"/>
      <c r="AI320" s="197"/>
      <c r="AJ320" s="110"/>
    </row>
    <row r="321" spans="1:36" ht="18" customHeight="1">
      <c r="A321" s="154"/>
      <c r="B321" s="154"/>
      <c r="C321" s="154"/>
      <c r="D321" s="162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95"/>
      <c r="AH321" s="196"/>
      <c r="AI321" s="197"/>
      <c r="AJ321" s="110"/>
    </row>
    <row r="322" spans="1:36" ht="18" customHeight="1">
      <c r="A322" s="154"/>
      <c r="B322" s="154"/>
      <c r="C322" s="154"/>
      <c r="D322" s="162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95"/>
      <c r="AH322" s="196"/>
      <c r="AI322" s="197"/>
      <c r="AJ322" s="110"/>
    </row>
    <row r="323" spans="1:36" ht="18" customHeight="1">
      <c r="A323" s="154"/>
      <c r="B323" s="154"/>
      <c r="C323" s="154"/>
      <c r="D323" s="162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95"/>
      <c r="AH323" s="196"/>
      <c r="AI323" s="197"/>
      <c r="AJ323" s="110"/>
    </row>
    <row r="324" spans="1:36" ht="18" customHeight="1">
      <c r="A324" s="154"/>
      <c r="B324" s="154"/>
      <c r="C324" s="154"/>
      <c r="D324" s="162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95"/>
      <c r="AH324" s="196"/>
      <c r="AI324" s="197"/>
      <c r="AJ324" s="110"/>
    </row>
    <row r="325" spans="1:36" ht="18" customHeight="1">
      <c r="A325" s="154"/>
      <c r="B325" s="154"/>
      <c r="C325" s="154"/>
      <c r="D325" s="162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95"/>
      <c r="AH325" s="196"/>
      <c r="AI325" s="197"/>
      <c r="AJ325" s="110"/>
    </row>
    <row r="326" spans="1:36" ht="18" customHeight="1">
      <c r="A326" s="154"/>
      <c r="B326" s="154"/>
      <c r="C326" s="154"/>
      <c r="D326" s="162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95"/>
      <c r="AH326" s="196"/>
      <c r="AI326" s="197"/>
      <c r="AJ326" s="110"/>
    </row>
    <row r="327" spans="1:36" ht="18" customHeight="1">
      <c r="A327" s="154"/>
      <c r="B327" s="154"/>
      <c r="C327" s="154"/>
      <c r="D327" s="162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95"/>
      <c r="AH327" s="196"/>
      <c r="AI327" s="197"/>
      <c r="AJ327" s="110"/>
    </row>
    <row r="328" spans="1:36" ht="18" customHeight="1">
      <c r="A328" s="154"/>
      <c r="B328" s="154"/>
      <c r="C328" s="154"/>
      <c r="D328" s="162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95"/>
      <c r="AH328" s="196"/>
      <c r="AI328" s="197"/>
      <c r="AJ328" s="110"/>
    </row>
    <row r="329" spans="1:36" ht="18" customHeight="1">
      <c r="A329" s="154"/>
      <c r="B329" s="154"/>
      <c r="C329" s="154"/>
      <c r="D329" s="162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95"/>
      <c r="AH329" s="196"/>
      <c r="AI329" s="197"/>
      <c r="AJ329" s="110"/>
    </row>
    <row r="330" spans="1:36" ht="18" customHeight="1">
      <c r="A330" s="154"/>
      <c r="B330" s="154"/>
      <c r="C330" s="154"/>
      <c r="D330" s="162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95"/>
      <c r="AH330" s="196"/>
      <c r="AI330" s="197"/>
      <c r="AJ330" s="110"/>
    </row>
    <row r="331" spans="1:36" ht="18" customHeight="1">
      <c r="A331" s="154"/>
      <c r="B331" s="154"/>
      <c r="C331" s="154"/>
      <c r="D331" s="162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95"/>
      <c r="AH331" s="196"/>
      <c r="AI331" s="197"/>
      <c r="AJ331" s="110"/>
    </row>
    <row r="332" spans="1:36" ht="18" customHeight="1">
      <c r="A332" s="154"/>
      <c r="B332" s="154"/>
      <c r="C332" s="154"/>
      <c r="D332" s="162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95"/>
      <c r="AH332" s="196"/>
      <c r="AI332" s="197"/>
      <c r="AJ332" s="110"/>
    </row>
    <row r="333" spans="1:36" ht="18" customHeight="1">
      <c r="A333" s="154"/>
      <c r="B333" s="154"/>
      <c r="C333" s="154"/>
      <c r="D333" s="162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95"/>
      <c r="AH333" s="196"/>
      <c r="AI333" s="197"/>
      <c r="AJ333" s="110"/>
    </row>
    <row r="334" spans="1:36" ht="18" customHeight="1">
      <c r="A334" s="154"/>
      <c r="B334" s="154"/>
      <c r="C334" s="154"/>
      <c r="D334" s="162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95"/>
      <c r="AH334" s="196"/>
      <c r="AI334" s="197"/>
      <c r="AJ334" s="110"/>
    </row>
    <row r="335" spans="1:36" ht="18" customHeight="1">
      <c r="A335" s="154"/>
      <c r="B335" s="154"/>
      <c r="C335" s="154"/>
      <c r="D335" s="162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95"/>
      <c r="AH335" s="196"/>
      <c r="AI335" s="197"/>
      <c r="AJ335" s="110"/>
    </row>
    <row r="336" spans="1:36" ht="18" customHeight="1">
      <c r="A336" s="154"/>
      <c r="B336" s="154"/>
      <c r="C336" s="154"/>
      <c r="D336" s="162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95"/>
      <c r="AH336" s="196"/>
      <c r="AI336" s="197"/>
      <c r="AJ336" s="110"/>
    </row>
    <row r="337" spans="1:36" ht="18" customHeight="1">
      <c r="A337" s="154"/>
      <c r="B337" s="154"/>
      <c r="C337" s="154"/>
      <c r="D337" s="162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95"/>
      <c r="AH337" s="196"/>
      <c r="AI337" s="197"/>
      <c r="AJ337" s="110"/>
    </row>
    <row r="338" spans="1:36" ht="18" customHeight="1">
      <c r="A338" s="154"/>
      <c r="B338" s="154"/>
      <c r="C338" s="154"/>
      <c r="D338" s="162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95"/>
      <c r="AH338" s="196"/>
      <c r="AI338" s="197"/>
      <c r="AJ338" s="110"/>
    </row>
    <row r="339" spans="1:36" ht="18" customHeight="1">
      <c r="A339" s="154"/>
      <c r="B339" s="154"/>
      <c r="C339" s="154"/>
      <c r="D339" s="162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95"/>
      <c r="AH339" s="196"/>
      <c r="AI339" s="197"/>
      <c r="AJ339" s="110"/>
    </row>
    <row r="340" spans="1:36" ht="18" customHeight="1">
      <c r="A340" s="154"/>
      <c r="B340" s="154"/>
      <c r="C340" s="154"/>
      <c r="D340" s="162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95"/>
      <c r="AH340" s="196"/>
      <c r="AI340" s="197"/>
      <c r="AJ340" s="110"/>
    </row>
    <row r="341" spans="1:36" ht="18" customHeight="1">
      <c r="A341" s="154"/>
      <c r="B341" s="154"/>
      <c r="C341" s="154"/>
      <c r="D341" s="162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95"/>
      <c r="AH341" s="196"/>
      <c r="AI341" s="197"/>
      <c r="AJ341" s="110"/>
    </row>
    <row r="342" spans="1:36" ht="18" customHeight="1">
      <c r="A342" s="154"/>
      <c r="B342" s="154"/>
      <c r="C342" s="154"/>
      <c r="D342" s="162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95"/>
      <c r="AH342" s="196"/>
      <c r="AI342" s="197"/>
      <c r="AJ342" s="110"/>
    </row>
    <row r="343" spans="1:36" ht="18" customHeight="1">
      <c r="A343" s="154"/>
      <c r="B343" s="154"/>
      <c r="C343" s="154"/>
      <c r="D343" s="162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95"/>
      <c r="AH343" s="196"/>
      <c r="AI343" s="197"/>
      <c r="AJ343" s="110"/>
    </row>
    <row r="344" spans="1:36" ht="18" customHeight="1">
      <c r="A344" s="154"/>
      <c r="B344" s="154"/>
      <c r="C344" s="154"/>
      <c r="D344" s="162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95"/>
      <c r="AH344" s="196"/>
      <c r="AI344" s="197"/>
      <c r="AJ344" s="110"/>
    </row>
    <row r="345" spans="1:36" ht="18" customHeight="1">
      <c r="A345" s="154"/>
      <c r="B345" s="154"/>
      <c r="C345" s="154"/>
      <c r="D345" s="162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95"/>
      <c r="AH345" s="196"/>
      <c r="AI345" s="197"/>
      <c r="AJ345" s="110"/>
    </row>
    <row r="346" spans="1:36" ht="18" customHeight="1">
      <c r="A346" s="154"/>
      <c r="B346" s="154"/>
      <c r="C346" s="154"/>
      <c r="D346" s="162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95"/>
      <c r="AH346" s="196"/>
      <c r="AI346" s="197"/>
      <c r="AJ346" s="110"/>
    </row>
    <row r="347" spans="1:36" ht="18" customHeight="1">
      <c r="A347" s="154"/>
      <c r="B347" s="154"/>
      <c r="C347" s="154"/>
      <c r="D347" s="162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95"/>
      <c r="AH347" s="196"/>
      <c r="AI347" s="197"/>
      <c r="AJ347" s="110"/>
    </row>
    <row r="348" spans="1:36" ht="18" customHeight="1">
      <c r="A348" s="154"/>
      <c r="B348" s="154"/>
      <c r="C348" s="154"/>
      <c r="D348" s="162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95"/>
      <c r="AH348" s="196"/>
      <c r="AI348" s="197"/>
      <c r="AJ348" s="110"/>
    </row>
    <row r="349" spans="1:36" ht="18" customHeight="1">
      <c r="A349" s="154"/>
      <c r="B349" s="154"/>
      <c r="C349" s="154"/>
      <c r="D349" s="162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95"/>
      <c r="AH349" s="196"/>
      <c r="AI349" s="197"/>
      <c r="AJ349" s="110"/>
    </row>
    <row r="350" spans="1:36" ht="18" customHeight="1">
      <c r="A350" s="154"/>
      <c r="B350" s="154"/>
      <c r="C350" s="154"/>
      <c r="D350" s="162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95"/>
      <c r="AH350" s="196"/>
      <c r="AI350" s="197"/>
      <c r="AJ350" s="110"/>
    </row>
    <row r="351" spans="1:36" ht="18" customHeight="1">
      <c r="A351" s="154"/>
      <c r="B351" s="154"/>
      <c r="C351" s="154"/>
      <c r="D351" s="162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95"/>
      <c r="AH351" s="196"/>
      <c r="AI351" s="197"/>
      <c r="AJ351" s="110"/>
    </row>
    <row r="352" spans="1:36" ht="18" customHeight="1">
      <c r="A352" s="154"/>
      <c r="B352" s="154"/>
      <c r="C352" s="154"/>
      <c r="D352" s="162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95"/>
      <c r="AH352" s="196"/>
      <c r="AI352" s="197"/>
      <c r="AJ352" s="110"/>
    </row>
    <row r="353" spans="1:36" ht="18" customHeight="1">
      <c r="A353" s="154"/>
      <c r="B353" s="154"/>
      <c r="C353" s="154"/>
      <c r="D353" s="162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95"/>
      <c r="AH353" s="196"/>
      <c r="AI353" s="197"/>
      <c r="AJ353" s="110"/>
    </row>
    <row r="354" spans="1:36" ht="18" customHeight="1">
      <c r="A354" s="154"/>
      <c r="B354" s="154"/>
      <c r="C354" s="154"/>
      <c r="D354" s="162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95"/>
      <c r="AH354" s="196"/>
      <c r="AI354" s="197"/>
      <c r="AJ354" s="110"/>
    </row>
    <row r="355" spans="1:36" ht="18" customHeight="1">
      <c r="A355" s="154"/>
      <c r="B355" s="154"/>
      <c r="C355" s="154"/>
      <c r="D355" s="162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95"/>
      <c r="AH355" s="196"/>
      <c r="AI355" s="197"/>
      <c r="AJ355" s="110"/>
    </row>
    <row r="356" spans="1:36" ht="18" customHeight="1">
      <c r="A356" s="154"/>
      <c r="B356" s="154"/>
      <c r="C356" s="154"/>
      <c r="D356" s="162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95"/>
      <c r="AH356" s="196"/>
      <c r="AI356" s="197"/>
      <c r="AJ356" s="110"/>
    </row>
    <row r="357" spans="1:36" ht="18" customHeight="1">
      <c r="A357" s="154"/>
      <c r="B357" s="154"/>
      <c r="C357" s="154"/>
      <c r="D357" s="162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95"/>
      <c r="AH357" s="196"/>
      <c r="AI357" s="197"/>
      <c r="AJ357" s="110"/>
    </row>
    <row r="358" spans="1:36" ht="18" customHeight="1">
      <c r="A358" s="154"/>
      <c r="B358" s="154"/>
      <c r="C358" s="154"/>
      <c r="D358" s="162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95"/>
      <c r="AH358" s="196"/>
      <c r="AI358" s="197"/>
      <c r="AJ358" s="110"/>
    </row>
    <row r="359" spans="1:36" ht="18" customHeight="1">
      <c r="A359" s="154"/>
      <c r="B359" s="154"/>
      <c r="C359" s="154"/>
      <c r="D359" s="162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95"/>
      <c r="AH359" s="196"/>
      <c r="AI359" s="197"/>
      <c r="AJ359" s="110"/>
    </row>
    <row r="360" spans="1:36" ht="18" customHeight="1">
      <c r="A360" s="154"/>
      <c r="B360" s="154"/>
      <c r="C360" s="154"/>
      <c r="D360" s="162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95"/>
      <c r="AH360" s="196"/>
      <c r="AI360" s="197"/>
      <c r="AJ360" s="110"/>
    </row>
    <row r="361" spans="1:36" ht="18" customHeight="1">
      <c r="A361" s="154"/>
      <c r="B361" s="154"/>
      <c r="C361" s="154"/>
      <c r="D361" s="162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95"/>
      <c r="AH361" s="196"/>
      <c r="AI361" s="197"/>
      <c r="AJ361" s="110"/>
    </row>
    <row r="362" spans="1:36" ht="18" customHeight="1">
      <c r="A362" s="154"/>
      <c r="B362" s="154"/>
      <c r="C362" s="154"/>
      <c r="D362" s="162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95"/>
      <c r="AH362" s="196"/>
      <c r="AI362" s="197"/>
      <c r="AJ362" s="110"/>
    </row>
    <row r="363" spans="1:36" ht="18" customHeight="1">
      <c r="A363" s="154"/>
      <c r="B363" s="154"/>
      <c r="C363" s="154"/>
      <c r="D363" s="162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95"/>
      <c r="AH363" s="196"/>
      <c r="AI363" s="197"/>
      <c r="AJ363" s="110"/>
    </row>
    <row r="364" spans="1:36" ht="18" customHeight="1">
      <c r="A364" s="154"/>
      <c r="B364" s="154"/>
      <c r="C364" s="154"/>
      <c r="D364" s="162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95"/>
      <c r="AH364" s="196"/>
      <c r="AI364" s="197"/>
      <c r="AJ364" s="110"/>
    </row>
    <row r="365" spans="1:36" ht="18" customHeight="1">
      <c r="A365" s="154"/>
      <c r="B365" s="154"/>
      <c r="C365" s="154"/>
      <c r="D365" s="162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95"/>
      <c r="AH365" s="196"/>
      <c r="AI365" s="197"/>
      <c r="AJ365" s="110"/>
    </row>
    <row r="366" spans="1:36" ht="18" customHeight="1">
      <c r="A366" s="154"/>
      <c r="B366" s="154"/>
      <c r="C366" s="154"/>
      <c r="D366" s="162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95"/>
      <c r="AH366" s="196"/>
      <c r="AI366" s="197"/>
      <c r="AJ366" s="110"/>
    </row>
    <row r="367" spans="1:36" ht="18" customHeight="1">
      <c r="A367" s="154"/>
      <c r="B367" s="154"/>
      <c r="C367" s="154"/>
      <c r="D367" s="162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95"/>
      <c r="AH367" s="196"/>
      <c r="AI367" s="197"/>
      <c r="AJ367" s="110"/>
    </row>
    <row r="368" spans="1:36" ht="18" customHeight="1">
      <c r="A368" s="154"/>
      <c r="B368" s="154"/>
      <c r="C368" s="154"/>
      <c r="D368" s="162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95"/>
      <c r="AH368" s="196"/>
      <c r="AI368" s="197"/>
      <c r="AJ368" s="110"/>
    </row>
    <row r="369" spans="1:36" ht="18" customHeight="1">
      <c r="A369" s="154"/>
      <c r="B369" s="154"/>
      <c r="C369" s="154"/>
      <c r="D369" s="162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95"/>
      <c r="AH369" s="196"/>
      <c r="AI369" s="197"/>
      <c r="AJ369" s="110"/>
    </row>
    <row r="370" spans="1:36" ht="18" customHeight="1">
      <c r="A370" s="154"/>
      <c r="B370" s="154"/>
      <c r="C370" s="154"/>
      <c r="D370" s="162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95"/>
      <c r="AH370" s="196"/>
      <c r="AI370" s="197"/>
      <c r="AJ370" s="110"/>
    </row>
    <row r="371" spans="1:36" ht="18" customHeight="1">
      <c r="A371" s="154"/>
      <c r="B371" s="154"/>
      <c r="C371" s="154"/>
      <c r="D371" s="162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95"/>
      <c r="AH371" s="196"/>
      <c r="AI371" s="197"/>
      <c r="AJ371" s="110"/>
    </row>
    <row r="372" spans="1:36" ht="18" customHeight="1">
      <c r="A372" s="154"/>
      <c r="B372" s="154"/>
      <c r="C372" s="154"/>
      <c r="D372" s="162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95"/>
      <c r="AH372" s="196"/>
      <c r="AI372" s="197"/>
      <c r="AJ372" s="110"/>
    </row>
    <row r="373" spans="1:36" ht="18" customHeight="1">
      <c r="A373" s="154"/>
      <c r="B373" s="154"/>
      <c r="C373" s="154"/>
      <c r="D373" s="162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95"/>
      <c r="AH373" s="196"/>
      <c r="AI373" s="197"/>
      <c r="AJ373" s="110"/>
    </row>
    <row r="374" spans="1:36" ht="18" customHeight="1">
      <c r="A374" s="154"/>
      <c r="B374" s="154"/>
      <c r="C374" s="154"/>
      <c r="D374" s="162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95"/>
      <c r="AH374" s="196"/>
      <c r="AI374" s="197"/>
      <c r="AJ374" s="110"/>
    </row>
    <row r="375" spans="1:36" ht="18" customHeight="1">
      <c r="A375" s="154"/>
      <c r="B375" s="154"/>
      <c r="C375" s="154"/>
      <c r="D375" s="162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95"/>
      <c r="AH375" s="196"/>
      <c r="AI375" s="197"/>
      <c r="AJ375" s="110"/>
    </row>
    <row r="376" spans="1:36" ht="18" customHeight="1">
      <c r="A376" s="154"/>
      <c r="B376" s="154"/>
      <c r="C376" s="154"/>
      <c r="D376" s="162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95"/>
      <c r="AH376" s="196"/>
      <c r="AI376" s="197"/>
      <c r="AJ376" s="110"/>
    </row>
    <row r="377" spans="1:36" ht="18" customHeight="1">
      <c r="A377" s="154"/>
      <c r="B377" s="154"/>
      <c r="C377" s="154"/>
      <c r="D377" s="162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95"/>
      <c r="AH377" s="196"/>
      <c r="AI377" s="197"/>
      <c r="AJ377" s="110"/>
    </row>
    <row r="378" spans="1:36" ht="18" customHeight="1">
      <c r="A378" s="154"/>
      <c r="B378" s="154"/>
      <c r="C378" s="154"/>
      <c r="D378" s="162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95"/>
      <c r="AH378" s="196"/>
      <c r="AI378" s="197"/>
      <c r="AJ378" s="110"/>
    </row>
    <row r="379" spans="1:36" ht="18" customHeight="1">
      <c r="A379" s="154"/>
      <c r="B379" s="154"/>
      <c r="C379" s="154"/>
      <c r="D379" s="162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95"/>
      <c r="AH379" s="196"/>
      <c r="AI379" s="197"/>
      <c r="AJ379" s="110"/>
    </row>
    <row r="380" spans="1:36" ht="18" customHeight="1">
      <c r="A380" s="154"/>
      <c r="B380" s="154"/>
      <c r="C380" s="154"/>
      <c r="D380" s="162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95"/>
      <c r="AH380" s="196"/>
      <c r="AI380" s="197"/>
      <c r="AJ380" s="110"/>
    </row>
    <row r="381" spans="1:36" ht="18" customHeight="1">
      <c r="A381" s="154"/>
      <c r="B381" s="154"/>
      <c r="C381" s="154"/>
      <c r="D381" s="162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95"/>
      <c r="AH381" s="196"/>
      <c r="AI381" s="197"/>
      <c r="AJ381" s="110"/>
    </row>
    <row r="382" spans="1:36" ht="18" customHeight="1">
      <c r="A382" s="154"/>
      <c r="B382" s="154"/>
      <c r="C382" s="154"/>
      <c r="D382" s="162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95"/>
      <c r="AH382" s="196"/>
      <c r="AI382" s="197"/>
      <c r="AJ382" s="110"/>
    </row>
    <row r="383" spans="1:36" ht="18" customHeight="1">
      <c r="A383" s="154"/>
      <c r="B383" s="154"/>
      <c r="C383" s="154"/>
      <c r="D383" s="162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95"/>
      <c r="AH383" s="196"/>
      <c r="AI383" s="197"/>
      <c r="AJ383" s="110"/>
    </row>
    <row r="384" spans="1:36" ht="18" customHeight="1">
      <c r="A384" s="154"/>
      <c r="B384" s="154"/>
      <c r="C384" s="154"/>
      <c r="D384" s="162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95"/>
      <c r="AH384" s="196"/>
      <c r="AI384" s="197"/>
      <c r="AJ384" s="110"/>
    </row>
    <row r="385" spans="1:36" ht="18" customHeight="1">
      <c r="A385" s="154"/>
      <c r="B385" s="154"/>
      <c r="C385" s="154"/>
      <c r="D385" s="162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95"/>
      <c r="AH385" s="196"/>
      <c r="AI385" s="197"/>
      <c r="AJ385" s="110"/>
    </row>
    <row r="386" spans="1:36" ht="18" customHeight="1">
      <c r="A386" s="154"/>
      <c r="B386" s="154"/>
      <c r="C386" s="154"/>
      <c r="D386" s="162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95"/>
      <c r="AH386" s="196"/>
      <c r="AI386" s="197"/>
      <c r="AJ386" s="110"/>
    </row>
    <row r="387" spans="1:36" ht="18" customHeight="1">
      <c r="A387" s="154"/>
      <c r="B387" s="154"/>
      <c r="C387" s="154"/>
      <c r="D387" s="162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95"/>
      <c r="AH387" s="196"/>
      <c r="AI387" s="197"/>
      <c r="AJ387" s="110"/>
    </row>
    <row r="388" spans="1:36" ht="18" customHeight="1">
      <c r="A388" s="154"/>
      <c r="B388" s="154"/>
      <c r="C388" s="154"/>
      <c r="D388" s="162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95"/>
      <c r="AH388" s="196"/>
      <c r="AI388" s="197"/>
      <c r="AJ388" s="110"/>
    </row>
    <row r="389" spans="1:36" ht="18" customHeight="1">
      <c r="A389" s="154"/>
      <c r="B389" s="154"/>
      <c r="C389" s="154"/>
      <c r="D389" s="162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95"/>
      <c r="AH389" s="196"/>
      <c r="AI389" s="197"/>
      <c r="AJ389" s="110"/>
    </row>
    <row r="390" spans="1:36" ht="18" customHeight="1">
      <c r="A390" s="154"/>
      <c r="B390" s="154"/>
      <c r="C390" s="154"/>
      <c r="D390" s="162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95"/>
      <c r="AH390" s="196"/>
      <c r="AI390" s="197"/>
      <c r="AJ390" s="110"/>
    </row>
    <row r="391" spans="1:36" ht="18" customHeight="1">
      <c r="A391" s="154"/>
      <c r="B391" s="154"/>
      <c r="C391" s="154"/>
      <c r="D391" s="162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95"/>
      <c r="AH391" s="196"/>
      <c r="AI391" s="197"/>
      <c r="AJ391" s="110"/>
    </row>
    <row r="392" spans="1:36" ht="18" customHeight="1">
      <c r="A392" s="154"/>
      <c r="B392" s="154"/>
      <c r="C392" s="154"/>
      <c r="D392" s="162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95"/>
      <c r="AH392" s="196"/>
      <c r="AI392" s="197"/>
      <c r="AJ392" s="110"/>
    </row>
    <row r="393" spans="1:36" ht="18" customHeight="1">
      <c r="A393" s="154"/>
      <c r="B393" s="154"/>
      <c r="C393" s="154"/>
      <c r="D393" s="162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95"/>
      <c r="AH393" s="196"/>
      <c r="AI393" s="197"/>
      <c r="AJ393" s="110"/>
    </row>
    <row r="394" spans="1:36" ht="18" customHeight="1">
      <c r="A394" s="154"/>
      <c r="B394" s="154"/>
      <c r="C394" s="154"/>
      <c r="D394" s="162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95"/>
      <c r="AH394" s="196"/>
      <c r="AI394" s="197"/>
      <c r="AJ394" s="110"/>
    </row>
    <row r="395" spans="1:36" ht="18" customHeight="1">
      <c r="A395" s="154"/>
      <c r="B395" s="154"/>
      <c r="C395" s="154"/>
      <c r="D395" s="162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95"/>
      <c r="AH395" s="196"/>
      <c r="AI395" s="197"/>
      <c r="AJ395" s="110"/>
    </row>
    <row r="396" spans="1:36" ht="18" customHeight="1">
      <c r="A396" s="154"/>
      <c r="B396" s="154"/>
      <c r="C396" s="154"/>
      <c r="D396" s="162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95"/>
      <c r="AH396" s="196"/>
      <c r="AI396" s="197"/>
      <c r="AJ396" s="110"/>
    </row>
    <row r="397" spans="1:36" ht="18" customHeight="1">
      <c r="A397" s="154"/>
      <c r="B397" s="154"/>
      <c r="C397" s="154"/>
      <c r="D397" s="162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95"/>
      <c r="AH397" s="196"/>
      <c r="AI397" s="197"/>
      <c r="AJ397" s="110"/>
    </row>
    <row r="398" spans="1:36" ht="18" customHeight="1">
      <c r="A398" s="154"/>
      <c r="B398" s="154"/>
      <c r="C398" s="154"/>
      <c r="D398" s="162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95"/>
      <c r="AH398" s="196"/>
      <c r="AI398" s="197"/>
      <c r="AJ398" s="110"/>
    </row>
    <row r="399" spans="1:36" ht="18" customHeight="1">
      <c r="A399" s="154"/>
      <c r="B399" s="154"/>
      <c r="C399" s="154"/>
      <c r="D399" s="162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95"/>
      <c r="AH399" s="196"/>
      <c r="AI399" s="197"/>
      <c r="AJ399" s="110"/>
    </row>
    <row r="400" spans="1:36" ht="18" customHeight="1">
      <c r="A400" s="154"/>
      <c r="B400" s="154"/>
      <c r="C400" s="154"/>
      <c r="D400" s="162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95"/>
      <c r="AH400" s="196"/>
      <c r="AI400" s="197"/>
      <c r="AJ400" s="110"/>
    </row>
    <row r="401" spans="1:36" ht="18" customHeight="1">
      <c r="A401" s="154"/>
      <c r="B401" s="154"/>
      <c r="C401" s="154"/>
      <c r="D401" s="162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95"/>
      <c r="AH401" s="196"/>
      <c r="AI401" s="197"/>
      <c r="AJ401" s="110"/>
    </row>
    <row r="402" spans="1:36" ht="18" customHeight="1">
      <c r="A402" s="154"/>
      <c r="B402" s="154"/>
      <c r="C402" s="154"/>
      <c r="D402" s="162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95"/>
      <c r="AH402" s="196"/>
      <c r="AI402" s="197"/>
      <c r="AJ402" s="110"/>
    </row>
    <row r="403" spans="1:36" ht="18" customHeight="1">
      <c r="A403" s="154"/>
      <c r="B403" s="154"/>
      <c r="C403" s="154"/>
      <c r="D403" s="162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95"/>
      <c r="AH403" s="196"/>
      <c r="AI403" s="197"/>
      <c r="AJ403" s="110"/>
    </row>
    <row r="404" spans="1:36" ht="18" customHeight="1">
      <c r="A404" s="154"/>
      <c r="B404" s="154"/>
      <c r="C404" s="154"/>
      <c r="D404" s="162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95"/>
      <c r="AH404" s="196"/>
      <c r="AI404" s="197"/>
      <c r="AJ404" s="110"/>
    </row>
    <row r="405" spans="1:36" ht="18" customHeight="1">
      <c r="A405" s="154"/>
      <c r="B405" s="154"/>
      <c r="C405" s="154"/>
      <c r="D405" s="162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95"/>
      <c r="AH405" s="196"/>
      <c r="AI405" s="197"/>
      <c r="AJ405" s="110"/>
    </row>
    <row r="406" spans="1:36" ht="18" customHeight="1">
      <c r="A406" s="154"/>
      <c r="B406" s="154"/>
      <c r="C406" s="154"/>
      <c r="D406" s="162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95"/>
      <c r="AH406" s="196"/>
      <c r="AI406" s="197"/>
      <c r="AJ406" s="110"/>
    </row>
    <row r="407" spans="1:36" ht="18" customHeight="1">
      <c r="A407" s="154"/>
      <c r="B407" s="154"/>
      <c r="C407" s="154"/>
      <c r="D407" s="162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95"/>
      <c r="AH407" s="196"/>
      <c r="AI407" s="197"/>
      <c r="AJ407" s="110"/>
    </row>
    <row r="408" spans="1:36" ht="18" customHeight="1">
      <c r="A408" s="154"/>
      <c r="B408" s="154"/>
      <c r="C408" s="154"/>
      <c r="D408" s="162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95"/>
      <c r="AH408" s="196"/>
      <c r="AI408" s="197"/>
      <c r="AJ408" s="110"/>
    </row>
    <row r="409" spans="1:36" ht="18" customHeight="1">
      <c r="A409" s="154"/>
      <c r="B409" s="154"/>
      <c r="C409" s="154"/>
      <c r="D409" s="162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95"/>
      <c r="AH409" s="196"/>
      <c r="AI409" s="197"/>
      <c r="AJ409" s="110"/>
    </row>
    <row r="410" spans="1:36" ht="18" customHeight="1">
      <c r="A410" s="154"/>
      <c r="B410" s="154"/>
      <c r="C410" s="154"/>
      <c r="D410" s="162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95"/>
      <c r="AH410" s="196"/>
      <c r="AI410" s="197"/>
      <c r="AJ410" s="110"/>
    </row>
    <row r="411" spans="1:36" ht="18" customHeight="1">
      <c r="A411" s="154"/>
      <c r="B411" s="154"/>
      <c r="C411" s="154"/>
      <c r="D411" s="162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95"/>
      <c r="AH411" s="196"/>
      <c r="AI411" s="197"/>
      <c r="AJ411" s="110"/>
    </row>
    <row r="412" spans="1:36" ht="18" customHeight="1">
      <c r="A412" s="154"/>
      <c r="B412" s="154"/>
      <c r="C412" s="154"/>
      <c r="D412" s="162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95"/>
      <c r="AH412" s="196"/>
      <c r="AI412" s="197"/>
      <c r="AJ412" s="110"/>
    </row>
    <row r="413" spans="1:36" ht="18" customHeight="1">
      <c r="A413" s="154"/>
      <c r="B413" s="154"/>
      <c r="C413" s="154"/>
      <c r="D413" s="162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95"/>
      <c r="AH413" s="196"/>
      <c r="AI413" s="197"/>
      <c r="AJ413" s="110"/>
    </row>
    <row r="414" spans="1:36" ht="18" customHeight="1">
      <c r="A414" s="154"/>
      <c r="B414" s="154"/>
      <c r="C414" s="154"/>
      <c r="D414" s="162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95"/>
      <c r="AH414" s="196"/>
      <c r="AI414" s="197"/>
      <c r="AJ414" s="110"/>
    </row>
    <row r="415" spans="1:36" ht="18" customHeight="1">
      <c r="A415" s="154"/>
      <c r="B415" s="154"/>
      <c r="C415" s="154"/>
      <c r="D415" s="162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95"/>
      <c r="AH415" s="196"/>
      <c r="AI415" s="197"/>
      <c r="AJ415" s="110"/>
    </row>
    <row r="416" spans="1:36" ht="18" customHeight="1">
      <c r="A416" s="154"/>
      <c r="B416" s="154"/>
      <c r="C416" s="154"/>
      <c r="D416" s="162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95"/>
      <c r="AH416" s="196"/>
      <c r="AI416" s="197"/>
      <c r="AJ416" s="110"/>
    </row>
    <row r="417" spans="1:36" ht="18" customHeight="1">
      <c r="A417" s="154"/>
      <c r="B417" s="154"/>
      <c r="C417" s="154"/>
      <c r="D417" s="162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95"/>
      <c r="AH417" s="196"/>
      <c r="AI417" s="197"/>
      <c r="AJ417" s="110"/>
    </row>
    <row r="418" spans="1:36" ht="18" customHeight="1">
      <c r="A418" s="154"/>
      <c r="B418" s="154"/>
      <c r="C418" s="154"/>
      <c r="D418" s="162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95"/>
      <c r="AH418" s="196"/>
      <c r="AI418" s="197"/>
      <c r="AJ418" s="110"/>
    </row>
    <row r="419" spans="1:36" ht="18" customHeight="1">
      <c r="A419" s="154"/>
      <c r="B419" s="154"/>
      <c r="C419" s="154"/>
      <c r="D419" s="162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95"/>
      <c r="AH419" s="196"/>
      <c r="AI419" s="197"/>
      <c r="AJ419" s="110"/>
    </row>
    <row r="420" spans="1:36" ht="18" customHeight="1">
      <c r="A420" s="154"/>
      <c r="B420" s="154"/>
      <c r="C420" s="154"/>
      <c r="D420" s="162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95"/>
      <c r="AH420" s="196"/>
      <c r="AI420" s="197"/>
      <c r="AJ420" s="110"/>
    </row>
    <row r="421" spans="1:36" ht="18" customHeight="1">
      <c r="A421" s="154"/>
      <c r="B421" s="154"/>
      <c r="C421" s="154"/>
      <c r="D421" s="162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95"/>
      <c r="AH421" s="196"/>
      <c r="AI421" s="197"/>
      <c r="AJ421" s="110"/>
    </row>
    <row r="422" spans="1:36" ht="18" customHeight="1">
      <c r="A422" s="154"/>
      <c r="B422" s="154"/>
      <c r="C422" s="154"/>
      <c r="D422" s="162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95"/>
      <c r="AH422" s="196"/>
      <c r="AI422" s="197"/>
      <c r="AJ422" s="110"/>
    </row>
    <row r="423" spans="1:36" ht="18" customHeight="1">
      <c r="A423" s="154"/>
      <c r="B423" s="154"/>
      <c r="C423" s="154"/>
      <c r="D423" s="162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95"/>
      <c r="AH423" s="196"/>
      <c r="AI423" s="197"/>
      <c r="AJ423" s="110"/>
    </row>
    <row r="424" spans="1:36" ht="18" customHeight="1">
      <c r="A424" s="154"/>
      <c r="B424" s="154"/>
      <c r="C424" s="154"/>
      <c r="D424" s="162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95"/>
      <c r="AH424" s="196"/>
      <c r="AI424" s="197"/>
      <c r="AJ424" s="110"/>
    </row>
    <row r="425" spans="1:36" ht="18" customHeight="1">
      <c r="A425" s="154"/>
      <c r="B425" s="154"/>
      <c r="C425" s="154"/>
      <c r="D425" s="162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95"/>
      <c r="AH425" s="196"/>
      <c r="AI425" s="197"/>
      <c r="AJ425" s="110"/>
    </row>
    <row r="426" spans="1:36" ht="18" customHeight="1">
      <c r="A426" s="154"/>
      <c r="B426" s="154"/>
      <c r="C426" s="154"/>
      <c r="D426" s="162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95"/>
      <c r="AH426" s="196"/>
      <c r="AI426" s="197"/>
      <c r="AJ426" s="110"/>
    </row>
    <row r="427" spans="1:36" ht="18" customHeight="1">
      <c r="A427" s="154"/>
      <c r="B427" s="154"/>
      <c r="C427" s="154"/>
      <c r="D427" s="162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95"/>
      <c r="AH427" s="196"/>
      <c r="AI427" s="197"/>
      <c r="AJ427" s="110"/>
    </row>
    <row r="428" spans="1:36" ht="18" customHeight="1">
      <c r="A428" s="154"/>
      <c r="B428" s="154"/>
      <c r="C428" s="154"/>
      <c r="D428" s="162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95"/>
      <c r="AH428" s="196"/>
      <c r="AI428" s="197"/>
      <c r="AJ428" s="110"/>
    </row>
    <row r="429" spans="1:36" ht="18" customHeight="1">
      <c r="A429" s="154"/>
      <c r="B429" s="154"/>
      <c r="C429" s="154"/>
      <c r="D429" s="162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95"/>
      <c r="AH429" s="196"/>
      <c r="AI429" s="197"/>
      <c r="AJ429" s="110"/>
    </row>
    <row r="430" spans="1:36" ht="18" customHeight="1">
      <c r="A430" s="154"/>
      <c r="B430" s="154"/>
      <c r="C430" s="154"/>
      <c r="D430" s="162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95"/>
      <c r="AH430" s="196"/>
      <c r="AI430" s="197"/>
      <c r="AJ430" s="110"/>
    </row>
    <row r="431" spans="1:36" ht="18" customHeight="1">
      <c r="A431" s="154"/>
      <c r="B431" s="154"/>
      <c r="C431" s="154"/>
      <c r="D431" s="162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95"/>
      <c r="AH431" s="196"/>
      <c r="AI431" s="197"/>
      <c r="AJ431" s="110"/>
    </row>
    <row r="432" spans="1:36" ht="18" customHeight="1">
      <c r="A432" s="154"/>
      <c r="B432" s="154"/>
      <c r="C432" s="154"/>
      <c r="D432" s="162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95"/>
      <c r="AH432" s="196"/>
      <c r="AI432" s="197"/>
      <c r="AJ432" s="110"/>
    </row>
    <row r="433" spans="1:36" ht="18" customHeight="1">
      <c r="A433" s="154"/>
      <c r="B433" s="154"/>
      <c r="C433" s="154"/>
      <c r="D433" s="162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95"/>
      <c r="AH433" s="196"/>
      <c r="AI433" s="197"/>
      <c r="AJ433" s="110"/>
    </row>
    <row r="434" spans="1:36" ht="18" customHeight="1">
      <c r="A434" s="154"/>
      <c r="B434" s="154"/>
      <c r="C434" s="154"/>
      <c r="D434" s="162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95"/>
      <c r="AH434" s="196"/>
      <c r="AI434" s="197"/>
      <c r="AJ434" s="110"/>
    </row>
    <row r="435" spans="1:36" ht="18" customHeight="1">
      <c r="A435" s="154"/>
      <c r="B435" s="154"/>
      <c r="C435" s="154"/>
      <c r="D435" s="162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95"/>
      <c r="AH435" s="196"/>
      <c r="AI435" s="197"/>
      <c r="AJ435" s="110"/>
    </row>
    <row r="436" spans="1:36" ht="18" customHeight="1">
      <c r="A436" s="154"/>
      <c r="B436" s="154"/>
      <c r="C436" s="154"/>
      <c r="D436" s="162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95"/>
      <c r="AH436" s="196"/>
      <c r="AI436" s="197"/>
      <c r="AJ436" s="110"/>
    </row>
    <row r="437" spans="1:36" ht="18" customHeight="1">
      <c r="A437" s="154"/>
      <c r="B437" s="154"/>
      <c r="C437" s="154"/>
      <c r="D437" s="162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95"/>
      <c r="AH437" s="196"/>
      <c r="AI437" s="197"/>
      <c r="AJ437" s="110"/>
    </row>
    <row r="438" spans="1:36" ht="18" customHeight="1">
      <c r="A438" s="154"/>
      <c r="B438" s="154"/>
      <c r="C438" s="154"/>
      <c r="D438" s="162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95"/>
      <c r="AH438" s="196"/>
      <c r="AI438" s="197"/>
      <c r="AJ438" s="110"/>
    </row>
    <row r="439" spans="1:36" ht="18" customHeight="1">
      <c r="A439" s="154"/>
      <c r="B439" s="154"/>
      <c r="C439" s="154"/>
      <c r="D439" s="162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95"/>
      <c r="AH439" s="196"/>
      <c r="AI439" s="197"/>
      <c r="AJ439" s="110"/>
    </row>
    <row r="440" spans="1:36" ht="18" customHeight="1">
      <c r="A440" s="154"/>
      <c r="B440" s="154"/>
      <c r="C440" s="154"/>
      <c r="D440" s="162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95"/>
      <c r="AH440" s="196"/>
      <c r="AI440" s="197"/>
      <c r="AJ440" s="110"/>
    </row>
    <row r="441" spans="1:36" ht="18" customHeight="1">
      <c r="A441" s="154"/>
      <c r="B441" s="154"/>
      <c r="C441" s="154"/>
      <c r="D441" s="162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95"/>
      <c r="AH441" s="196"/>
      <c r="AI441" s="197"/>
      <c r="AJ441" s="110"/>
    </row>
    <row r="442" spans="1:36" ht="18" customHeight="1">
      <c r="A442" s="154"/>
      <c r="B442" s="154"/>
      <c r="C442" s="154"/>
      <c r="D442" s="162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95"/>
      <c r="AH442" s="196"/>
      <c r="AI442" s="197"/>
      <c r="AJ442" s="110"/>
    </row>
    <row r="443" spans="1:36" ht="18" customHeight="1">
      <c r="A443" s="154"/>
      <c r="B443" s="154"/>
      <c r="C443" s="154"/>
      <c r="D443" s="162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95"/>
      <c r="AH443" s="196"/>
      <c r="AI443" s="197"/>
      <c r="AJ443" s="110"/>
    </row>
    <row r="444" spans="1:36" ht="18" customHeight="1">
      <c r="A444" s="154"/>
      <c r="B444" s="154"/>
      <c r="C444" s="154"/>
      <c r="D444" s="162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95"/>
      <c r="AH444" s="196"/>
      <c r="AI444" s="197"/>
      <c r="AJ444" s="110"/>
    </row>
    <row r="445" spans="1:36" ht="18" customHeight="1">
      <c r="A445" s="154"/>
      <c r="B445" s="154"/>
      <c r="C445" s="154"/>
      <c r="D445" s="162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95"/>
      <c r="AH445" s="196"/>
      <c r="AI445" s="197"/>
      <c r="AJ445" s="110"/>
    </row>
    <row r="446" spans="1:36" ht="18" customHeight="1">
      <c r="A446" s="154"/>
      <c r="B446" s="154"/>
      <c r="C446" s="154"/>
      <c r="D446" s="162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95"/>
      <c r="AH446" s="196"/>
      <c r="AI446" s="197"/>
      <c r="AJ446" s="110"/>
    </row>
    <row r="447" spans="1:36" ht="18" customHeight="1">
      <c r="A447" s="154"/>
      <c r="B447" s="154"/>
      <c r="C447" s="154"/>
      <c r="D447" s="162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95"/>
      <c r="AH447" s="196"/>
      <c r="AI447" s="197"/>
      <c r="AJ447" s="110"/>
    </row>
    <row r="448" spans="1:36" ht="18" customHeight="1">
      <c r="A448" s="154"/>
      <c r="B448" s="154"/>
      <c r="C448" s="154"/>
      <c r="D448" s="162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95"/>
      <c r="AH448" s="196"/>
      <c r="AI448" s="197"/>
      <c r="AJ448" s="110"/>
    </row>
    <row r="449" spans="1:36" ht="18" customHeight="1">
      <c r="A449" s="154"/>
      <c r="B449" s="154"/>
      <c r="C449" s="154"/>
      <c r="D449" s="162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95"/>
      <c r="AH449" s="196"/>
      <c r="AI449" s="197"/>
      <c r="AJ449" s="110"/>
    </row>
    <row r="450" spans="1:36" ht="18" customHeight="1">
      <c r="A450" s="154"/>
      <c r="B450" s="154"/>
      <c r="C450" s="154"/>
      <c r="D450" s="162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95"/>
      <c r="AH450" s="196"/>
      <c r="AI450" s="197"/>
      <c r="AJ450" s="110"/>
    </row>
    <row r="451" spans="1:36" ht="18" customHeight="1">
      <c r="A451" s="154"/>
      <c r="B451" s="154"/>
      <c r="C451" s="154"/>
      <c r="D451" s="162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95"/>
      <c r="AH451" s="196"/>
      <c r="AI451" s="197"/>
      <c r="AJ451" s="110"/>
    </row>
    <row r="452" spans="1:36" ht="18" customHeight="1">
      <c r="A452" s="154"/>
      <c r="B452" s="154"/>
      <c r="C452" s="154"/>
      <c r="D452" s="162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95"/>
      <c r="AH452" s="196"/>
      <c r="AI452" s="197"/>
      <c r="AJ452" s="110"/>
    </row>
    <row r="453" spans="1:36" ht="18" customHeight="1">
      <c r="A453" s="154"/>
      <c r="B453" s="154"/>
      <c r="C453" s="154"/>
      <c r="D453" s="162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95"/>
      <c r="AH453" s="196"/>
      <c r="AI453" s="197"/>
      <c r="AJ453" s="110"/>
    </row>
    <row r="454" spans="1:36" ht="18" customHeight="1">
      <c r="A454" s="154"/>
      <c r="B454" s="154"/>
      <c r="C454" s="154"/>
      <c r="D454" s="162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95"/>
      <c r="AH454" s="196"/>
      <c r="AI454" s="197"/>
      <c r="AJ454" s="110"/>
    </row>
    <row r="455" spans="1:36" ht="18" customHeight="1">
      <c r="A455" s="154"/>
      <c r="B455" s="154"/>
      <c r="C455" s="154"/>
      <c r="D455" s="162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95"/>
      <c r="AH455" s="196"/>
      <c r="AI455" s="197"/>
      <c r="AJ455" s="110"/>
    </row>
    <row r="456" spans="1:36" ht="18" customHeight="1">
      <c r="A456" s="154"/>
      <c r="B456" s="154"/>
      <c r="C456" s="154"/>
      <c r="D456" s="162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95"/>
      <c r="AH456" s="196"/>
      <c r="AI456" s="197"/>
      <c r="AJ456" s="110"/>
    </row>
    <row r="457" spans="1:36" ht="18" customHeight="1">
      <c r="A457" s="154"/>
      <c r="B457" s="154"/>
      <c r="C457" s="154"/>
      <c r="D457" s="162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95"/>
      <c r="AH457" s="196"/>
      <c r="AI457" s="197"/>
      <c r="AJ457" s="110"/>
    </row>
    <row r="458" spans="1:36" ht="18" customHeight="1">
      <c r="A458" s="154"/>
      <c r="B458" s="154"/>
      <c r="C458" s="154"/>
      <c r="D458" s="162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95"/>
      <c r="AH458" s="196"/>
      <c r="AI458" s="197"/>
      <c r="AJ458" s="110"/>
    </row>
    <row r="459" spans="1:36" ht="18" customHeight="1">
      <c r="A459" s="154"/>
      <c r="B459" s="154"/>
      <c r="C459" s="154"/>
      <c r="D459" s="162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95"/>
      <c r="AH459" s="196"/>
      <c r="AI459" s="197"/>
      <c r="AJ459" s="110"/>
    </row>
    <row r="460" spans="1:36" ht="18" customHeight="1">
      <c r="A460" s="154"/>
      <c r="B460" s="154"/>
      <c r="C460" s="154"/>
      <c r="D460" s="162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95"/>
      <c r="AH460" s="196"/>
      <c r="AI460" s="197"/>
      <c r="AJ460" s="110"/>
    </row>
    <row r="461" spans="1:36" ht="18" customHeight="1">
      <c r="A461" s="154"/>
      <c r="B461" s="154"/>
      <c r="C461" s="154"/>
      <c r="D461" s="162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95"/>
      <c r="AH461" s="196"/>
      <c r="AI461" s="197"/>
      <c r="AJ461" s="110"/>
    </row>
    <row r="462" spans="1:36" ht="18" customHeight="1">
      <c r="A462" s="154"/>
      <c r="B462" s="154"/>
      <c r="C462" s="154"/>
      <c r="D462" s="162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95"/>
      <c r="AH462" s="196"/>
      <c r="AI462" s="197"/>
      <c r="AJ462" s="110"/>
    </row>
    <row r="463" spans="1:36" ht="18" customHeight="1">
      <c r="A463" s="154"/>
      <c r="B463" s="154"/>
      <c r="C463" s="154"/>
      <c r="D463" s="162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95"/>
      <c r="AH463" s="196"/>
      <c r="AI463" s="197"/>
      <c r="AJ463" s="110"/>
    </row>
    <row r="464" spans="1:36" ht="18" customHeight="1">
      <c r="A464" s="154"/>
      <c r="B464" s="154"/>
      <c r="C464" s="154"/>
      <c r="D464" s="162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95"/>
      <c r="AH464" s="196"/>
      <c r="AI464" s="197"/>
      <c r="AJ464" s="110"/>
    </row>
    <row r="465" spans="1:36" ht="18" customHeight="1">
      <c r="A465" s="154"/>
      <c r="B465" s="154"/>
      <c r="C465" s="154"/>
      <c r="D465" s="162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95"/>
      <c r="AH465" s="196"/>
      <c r="AI465" s="197"/>
      <c r="AJ465" s="110"/>
    </row>
    <row r="466" spans="1:36" ht="18" customHeight="1">
      <c r="A466" s="154"/>
      <c r="B466" s="154"/>
      <c r="C466" s="154"/>
      <c r="D466" s="162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95"/>
      <c r="AH466" s="196"/>
      <c r="AI466" s="197"/>
      <c r="AJ466" s="110"/>
    </row>
    <row r="467" spans="1:36" ht="18" customHeight="1">
      <c r="A467" s="154"/>
      <c r="B467" s="154"/>
      <c r="C467" s="154"/>
      <c r="D467" s="162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95"/>
      <c r="AH467" s="196"/>
      <c r="AI467" s="197"/>
      <c r="AJ467" s="110"/>
    </row>
    <row r="468" spans="1:36" ht="18" customHeight="1">
      <c r="A468" s="154"/>
      <c r="B468" s="154"/>
      <c r="C468" s="154"/>
      <c r="D468" s="162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95"/>
      <c r="AH468" s="196"/>
      <c r="AI468" s="197"/>
      <c r="AJ468" s="110"/>
    </row>
    <row r="469" spans="1:36" ht="18" customHeight="1">
      <c r="A469" s="154"/>
      <c r="B469" s="154"/>
      <c r="C469" s="154"/>
      <c r="D469" s="162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95"/>
      <c r="AH469" s="196"/>
      <c r="AI469" s="197"/>
      <c r="AJ469" s="110"/>
    </row>
    <row r="470" spans="1:36" ht="18" customHeight="1">
      <c r="A470" s="154"/>
      <c r="B470" s="154"/>
      <c r="C470" s="154"/>
      <c r="D470" s="162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95"/>
      <c r="AH470" s="196"/>
      <c r="AI470" s="197"/>
      <c r="AJ470" s="110"/>
    </row>
    <row r="471" spans="1:36" ht="18" customHeight="1">
      <c r="A471" s="154"/>
      <c r="B471" s="154"/>
      <c r="C471" s="154"/>
      <c r="D471" s="162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95"/>
      <c r="AH471" s="196"/>
      <c r="AI471" s="197"/>
      <c r="AJ471" s="110"/>
    </row>
    <row r="472" spans="1:36" ht="18" customHeight="1">
      <c r="A472" s="154"/>
      <c r="B472" s="154"/>
      <c r="C472" s="154"/>
      <c r="D472" s="162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95"/>
      <c r="AH472" s="196"/>
      <c r="AI472" s="197"/>
      <c r="AJ472" s="110"/>
    </row>
    <row r="473" spans="1:36" ht="18" customHeight="1">
      <c r="A473" s="154"/>
      <c r="B473" s="154"/>
      <c r="C473" s="154"/>
      <c r="D473" s="162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95"/>
      <c r="AH473" s="196"/>
      <c r="AI473" s="197"/>
      <c r="AJ473" s="110"/>
    </row>
    <row r="474" spans="1:36" ht="18" customHeight="1">
      <c r="A474" s="154"/>
      <c r="B474" s="154"/>
      <c r="C474" s="154"/>
      <c r="D474" s="162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95"/>
      <c r="AH474" s="196"/>
      <c r="AI474" s="197"/>
      <c r="AJ474" s="110"/>
    </row>
    <row r="475" spans="1:36" ht="18" customHeight="1">
      <c r="A475" s="154"/>
      <c r="B475" s="154"/>
      <c r="C475" s="154"/>
      <c r="D475" s="162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95"/>
      <c r="AH475" s="196"/>
      <c r="AI475" s="197"/>
      <c r="AJ475" s="110"/>
    </row>
    <row r="476" spans="1:36" ht="18" customHeight="1">
      <c r="A476" s="154"/>
      <c r="B476" s="154"/>
      <c r="C476" s="154"/>
      <c r="D476" s="162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95"/>
      <c r="AH476" s="196"/>
      <c r="AI476" s="197"/>
      <c r="AJ476" s="110"/>
    </row>
    <row r="477" spans="1:36" ht="18" customHeight="1">
      <c r="A477" s="154"/>
      <c r="B477" s="154"/>
      <c r="C477" s="154"/>
      <c r="D477" s="162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95"/>
      <c r="AH477" s="196"/>
      <c r="AI477" s="197"/>
      <c r="AJ477" s="110"/>
    </row>
    <row r="478" spans="1:36" ht="18" customHeight="1">
      <c r="A478" s="154"/>
      <c r="B478" s="154"/>
      <c r="C478" s="154"/>
      <c r="D478" s="162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95"/>
      <c r="AH478" s="196"/>
      <c r="AI478" s="197"/>
      <c r="AJ478" s="110"/>
    </row>
    <row r="479" spans="1:36" ht="18" customHeight="1">
      <c r="A479" s="154"/>
      <c r="B479" s="154"/>
      <c r="C479" s="154"/>
      <c r="D479" s="162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95"/>
      <c r="AH479" s="196"/>
      <c r="AI479" s="197"/>
      <c r="AJ479" s="110"/>
    </row>
    <row r="480" spans="1:36" ht="18" customHeight="1">
      <c r="A480" s="154"/>
      <c r="B480" s="154"/>
      <c r="C480" s="154"/>
      <c r="D480" s="162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95"/>
      <c r="AH480" s="196"/>
      <c r="AI480" s="197"/>
      <c r="AJ480" s="110"/>
    </row>
    <row r="481" spans="1:36" ht="18" customHeight="1">
      <c r="A481" s="154"/>
      <c r="B481" s="154"/>
      <c r="C481" s="154"/>
      <c r="D481" s="162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95"/>
      <c r="AH481" s="196"/>
      <c r="AI481" s="197"/>
      <c r="AJ481" s="110"/>
    </row>
    <row r="482" spans="1:36" ht="18" customHeight="1">
      <c r="A482" s="154"/>
      <c r="B482" s="154"/>
      <c r="C482" s="154"/>
      <c r="D482" s="162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95"/>
      <c r="AH482" s="196"/>
      <c r="AI482" s="197"/>
      <c r="AJ482" s="110"/>
    </row>
    <row r="483" spans="1:36" ht="18" customHeight="1">
      <c r="A483" s="154"/>
      <c r="B483" s="154"/>
      <c r="C483" s="154"/>
      <c r="D483" s="162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95"/>
      <c r="AH483" s="196"/>
      <c r="AI483" s="197"/>
      <c r="AJ483" s="110"/>
    </row>
    <row r="484" spans="1:36" ht="18" customHeight="1">
      <c r="A484" s="154"/>
      <c r="B484" s="154"/>
      <c r="C484" s="154"/>
      <c r="D484" s="162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95"/>
      <c r="AH484" s="196"/>
      <c r="AI484" s="197"/>
      <c r="AJ484" s="110"/>
    </row>
    <row r="485" spans="1:36" ht="18" customHeight="1">
      <c r="A485" s="154"/>
      <c r="B485" s="154"/>
      <c r="C485" s="154"/>
      <c r="D485" s="162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95"/>
      <c r="AH485" s="196"/>
      <c r="AI485" s="197"/>
      <c r="AJ485" s="110"/>
    </row>
    <row r="486" spans="1:36" ht="18" customHeight="1">
      <c r="A486" s="154"/>
      <c r="B486" s="154"/>
      <c r="C486" s="154"/>
      <c r="D486" s="162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95"/>
      <c r="AH486" s="196"/>
      <c r="AI486" s="197"/>
      <c r="AJ486" s="110"/>
    </row>
    <row r="487" spans="1:36" ht="18" customHeight="1">
      <c r="A487" s="154"/>
      <c r="B487" s="154"/>
      <c r="C487" s="154"/>
      <c r="D487" s="162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95"/>
      <c r="AH487" s="196"/>
      <c r="AI487" s="197"/>
      <c r="AJ487" s="110"/>
    </row>
    <row r="488" spans="1:36" ht="18" customHeight="1">
      <c r="A488" s="154"/>
      <c r="B488" s="154"/>
      <c r="C488" s="154"/>
      <c r="D488" s="162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95"/>
      <c r="AH488" s="196"/>
      <c r="AI488" s="197"/>
      <c r="AJ488" s="110"/>
    </row>
    <row r="489" spans="1:36" ht="18" customHeight="1">
      <c r="A489" s="154"/>
      <c r="B489" s="154"/>
      <c r="C489" s="154"/>
      <c r="D489" s="162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95"/>
      <c r="AH489" s="196"/>
      <c r="AI489" s="197"/>
      <c r="AJ489" s="110"/>
    </row>
    <row r="490" spans="1:36" ht="18" customHeight="1">
      <c r="A490" s="154"/>
      <c r="B490" s="154"/>
      <c r="C490" s="154"/>
      <c r="D490" s="162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95"/>
      <c r="AH490" s="196"/>
      <c r="AI490" s="197"/>
      <c r="AJ490" s="110"/>
    </row>
    <row r="491" spans="1:36" ht="18" customHeight="1">
      <c r="A491" s="154"/>
      <c r="B491" s="154"/>
      <c r="C491" s="154"/>
      <c r="D491" s="162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95"/>
      <c r="AH491" s="196"/>
      <c r="AI491" s="197"/>
      <c r="AJ491" s="110"/>
    </row>
    <row r="492" spans="1:36" ht="18" customHeight="1">
      <c r="A492" s="154"/>
      <c r="B492" s="154"/>
      <c r="C492" s="154"/>
      <c r="D492" s="162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95"/>
      <c r="AH492" s="196"/>
      <c r="AI492" s="197"/>
      <c r="AJ492" s="110"/>
    </row>
    <row r="493" spans="1:36" ht="18" customHeight="1">
      <c r="A493" s="154"/>
      <c r="B493" s="154"/>
      <c r="C493" s="154"/>
      <c r="D493" s="162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95"/>
      <c r="AH493" s="196"/>
      <c r="AI493" s="197"/>
      <c r="AJ493" s="110"/>
    </row>
    <row r="494" spans="1:36" ht="18" customHeight="1">
      <c r="A494" s="154"/>
      <c r="B494" s="154"/>
      <c r="C494" s="154"/>
      <c r="D494" s="162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95"/>
      <c r="AH494" s="196"/>
      <c r="AI494" s="197"/>
      <c r="AJ494" s="110"/>
    </row>
    <row r="495" spans="1:36" ht="18" customHeight="1">
      <c r="A495" s="154"/>
      <c r="B495" s="154"/>
      <c r="C495" s="154"/>
      <c r="D495" s="162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95"/>
      <c r="AH495" s="196"/>
      <c r="AI495" s="197"/>
      <c r="AJ495" s="110"/>
    </row>
    <row r="496" spans="1:36" ht="18" customHeight="1">
      <c r="A496" s="154"/>
      <c r="B496" s="154"/>
      <c r="C496" s="154"/>
      <c r="D496" s="162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95"/>
      <c r="AH496" s="196"/>
      <c r="AI496" s="197"/>
      <c r="AJ496" s="110"/>
    </row>
    <row r="497" spans="1:36" ht="18" customHeight="1">
      <c r="A497" s="154"/>
      <c r="B497" s="154"/>
      <c r="C497" s="154"/>
      <c r="D497" s="162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95"/>
      <c r="AH497" s="196"/>
      <c r="AI497" s="197"/>
      <c r="AJ497" s="110"/>
    </row>
    <row r="498" spans="1:36" ht="18" customHeight="1">
      <c r="A498" s="154"/>
      <c r="B498" s="154"/>
      <c r="C498" s="154"/>
      <c r="D498" s="162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95"/>
      <c r="AH498" s="196"/>
      <c r="AI498" s="197"/>
      <c r="AJ498" s="110"/>
    </row>
    <row r="499" spans="1:36" ht="18" customHeight="1">
      <c r="A499" s="154"/>
      <c r="B499" s="154"/>
      <c r="C499" s="154"/>
      <c r="D499" s="162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95"/>
      <c r="AH499" s="196"/>
      <c r="AI499" s="197"/>
      <c r="AJ499" s="110"/>
    </row>
    <row r="500" spans="1:36" ht="18" customHeight="1">
      <c r="A500" s="154"/>
      <c r="B500" s="154"/>
      <c r="C500" s="154"/>
      <c r="D500" s="162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95"/>
      <c r="AH500" s="196"/>
      <c r="AI500" s="197"/>
      <c r="AJ500" s="110"/>
    </row>
    <row r="501" spans="1:36" ht="18" customHeight="1">
      <c r="A501" s="154"/>
      <c r="B501" s="154"/>
      <c r="C501" s="154"/>
      <c r="D501" s="162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95"/>
      <c r="AH501" s="196"/>
      <c r="AI501" s="197"/>
      <c r="AJ501" s="110"/>
    </row>
    <row r="502" spans="1:36" ht="18" customHeight="1">
      <c r="A502" s="154"/>
      <c r="B502" s="154"/>
      <c r="C502" s="154"/>
      <c r="D502" s="162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95"/>
      <c r="AH502" s="196"/>
      <c r="AI502" s="197"/>
      <c r="AJ502" s="110"/>
    </row>
    <row r="503" spans="1:36" ht="18" customHeight="1">
      <c r="A503" s="154"/>
      <c r="B503" s="154"/>
      <c r="C503" s="154"/>
      <c r="D503" s="162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95"/>
      <c r="AH503" s="196"/>
      <c r="AI503" s="197"/>
      <c r="AJ503" s="110"/>
    </row>
    <row r="504" spans="1:36" ht="18" customHeight="1">
      <c r="A504" s="154"/>
      <c r="B504" s="154"/>
      <c r="C504" s="154"/>
      <c r="D504" s="162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95"/>
      <c r="AH504" s="196"/>
      <c r="AI504" s="197"/>
      <c r="AJ504" s="110"/>
    </row>
    <row r="505" spans="1:36" ht="18" customHeight="1">
      <c r="A505" s="154"/>
      <c r="B505" s="154"/>
      <c r="C505" s="154"/>
      <c r="D505" s="162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95"/>
      <c r="AH505" s="196"/>
      <c r="AI505" s="197"/>
      <c r="AJ505" s="110"/>
    </row>
    <row r="506" spans="1:36" ht="18" customHeight="1">
      <c r="A506" s="154"/>
      <c r="B506" s="154"/>
      <c r="C506" s="154"/>
      <c r="D506" s="162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95"/>
      <c r="AH506" s="196"/>
      <c r="AI506" s="197"/>
      <c r="AJ506" s="110"/>
    </row>
    <row r="507" spans="1:36" ht="18" customHeight="1">
      <c r="A507" s="154"/>
      <c r="B507" s="154"/>
      <c r="C507" s="154"/>
      <c r="D507" s="162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95"/>
      <c r="AH507" s="196"/>
      <c r="AI507" s="197"/>
      <c r="AJ507" s="110"/>
    </row>
    <row r="508" spans="1:36" ht="18" customHeight="1">
      <c r="A508" s="154"/>
      <c r="B508" s="154"/>
      <c r="C508" s="154"/>
      <c r="D508" s="162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95"/>
      <c r="AH508" s="196"/>
      <c r="AI508" s="197"/>
      <c r="AJ508" s="110"/>
    </row>
    <row r="509" spans="1:36" ht="18" customHeight="1">
      <c r="A509" s="154"/>
      <c r="B509" s="154"/>
      <c r="C509" s="154"/>
      <c r="D509" s="162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95"/>
      <c r="AH509" s="196"/>
      <c r="AI509" s="197"/>
      <c r="AJ509" s="110"/>
    </row>
    <row r="510" spans="1:36" ht="18" customHeight="1">
      <c r="A510" s="154"/>
      <c r="B510" s="154"/>
      <c r="C510" s="154"/>
      <c r="D510" s="162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95"/>
      <c r="AH510" s="196"/>
      <c r="AI510" s="197"/>
      <c r="AJ510" s="110"/>
    </row>
    <row r="511" spans="1:36" ht="18" customHeight="1">
      <c r="A511" s="154"/>
      <c r="B511" s="154"/>
      <c r="C511" s="154"/>
      <c r="D511" s="162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95"/>
      <c r="AH511" s="196"/>
      <c r="AI511" s="197"/>
      <c r="AJ511" s="110"/>
    </row>
    <row r="512" spans="1:36" ht="18" customHeight="1">
      <c r="A512" s="154"/>
      <c r="B512" s="154"/>
      <c r="C512" s="154"/>
      <c r="D512" s="162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95"/>
      <c r="AH512" s="196"/>
      <c r="AI512" s="197"/>
      <c r="AJ512" s="110"/>
    </row>
    <row r="513" spans="1:36" ht="18" customHeight="1">
      <c r="A513" s="154"/>
      <c r="B513" s="154"/>
      <c r="C513" s="154"/>
      <c r="D513" s="162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95"/>
      <c r="AH513" s="196"/>
      <c r="AI513" s="197"/>
      <c r="AJ513" s="110"/>
    </row>
    <row r="514" spans="1:36" ht="18" customHeight="1">
      <c r="A514" s="154"/>
      <c r="B514" s="154"/>
      <c r="C514" s="154"/>
      <c r="D514" s="162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95"/>
      <c r="AH514" s="196"/>
      <c r="AI514" s="197"/>
      <c r="AJ514" s="110"/>
    </row>
    <row r="515" spans="1:36" ht="18" customHeight="1">
      <c r="A515" s="154"/>
      <c r="B515" s="154"/>
      <c r="C515" s="154"/>
      <c r="D515" s="162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95"/>
      <c r="AH515" s="196"/>
      <c r="AI515" s="197"/>
      <c r="AJ515" s="110"/>
    </row>
    <row r="516" spans="1:36" ht="18" customHeight="1">
      <c r="A516" s="154"/>
      <c r="B516" s="154"/>
      <c r="C516" s="154"/>
      <c r="D516" s="162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95"/>
      <c r="AH516" s="196"/>
      <c r="AI516" s="197"/>
      <c r="AJ516" s="110"/>
    </row>
    <row r="517" spans="1:36" ht="18" customHeight="1">
      <c r="A517" s="154"/>
      <c r="B517" s="154"/>
      <c r="C517" s="154"/>
      <c r="D517" s="162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95"/>
      <c r="AH517" s="196"/>
      <c r="AI517" s="197"/>
      <c r="AJ517" s="110"/>
    </row>
    <row r="518" spans="1:36" ht="18" customHeight="1">
      <c r="A518" s="154"/>
      <c r="B518" s="154"/>
      <c r="C518" s="154"/>
      <c r="D518" s="162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95"/>
      <c r="AH518" s="196"/>
      <c r="AI518" s="197"/>
      <c r="AJ518" s="110"/>
    </row>
    <row r="519" spans="1:36" ht="18" customHeight="1">
      <c r="A519" s="154"/>
      <c r="B519" s="154"/>
      <c r="C519" s="154"/>
      <c r="D519" s="162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95"/>
      <c r="AH519" s="196"/>
      <c r="AI519" s="197"/>
      <c r="AJ519" s="110"/>
    </row>
    <row r="520" spans="1:36" ht="18" customHeight="1">
      <c r="A520" s="154"/>
      <c r="B520" s="154"/>
      <c r="C520" s="154"/>
      <c r="D520" s="162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95"/>
      <c r="AH520" s="196"/>
      <c r="AI520" s="197"/>
      <c r="AJ520" s="110"/>
    </row>
    <row r="521" spans="1:36" ht="18" customHeight="1">
      <c r="A521" s="154"/>
      <c r="B521" s="154"/>
      <c r="C521" s="154"/>
      <c r="D521" s="162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95"/>
      <c r="AH521" s="196"/>
      <c r="AI521" s="197"/>
      <c r="AJ521" s="110"/>
    </row>
    <row r="522" spans="1:36" ht="18" customHeight="1">
      <c r="A522" s="154"/>
      <c r="B522" s="154"/>
      <c r="C522" s="154"/>
      <c r="D522" s="162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95"/>
      <c r="AH522" s="196"/>
      <c r="AI522" s="197"/>
      <c r="AJ522" s="110"/>
    </row>
    <row r="523" spans="1:36" ht="18" customHeight="1">
      <c r="A523" s="154"/>
      <c r="B523" s="154"/>
      <c r="C523" s="154"/>
      <c r="D523" s="162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95"/>
      <c r="AH523" s="196"/>
      <c r="AI523" s="197"/>
      <c r="AJ523" s="110"/>
    </row>
    <row r="524" spans="1:36" ht="18" customHeight="1">
      <c r="A524" s="154"/>
      <c r="B524" s="154"/>
      <c r="C524" s="154"/>
      <c r="D524" s="162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95"/>
      <c r="AH524" s="196"/>
      <c r="AI524" s="197"/>
      <c r="AJ524" s="110"/>
    </row>
    <row r="525" spans="1:36" ht="18" customHeight="1">
      <c r="A525" s="154"/>
      <c r="B525" s="154"/>
      <c r="C525" s="154"/>
      <c r="D525" s="162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95"/>
      <c r="AH525" s="196"/>
      <c r="AI525" s="197"/>
      <c r="AJ525" s="110"/>
    </row>
    <row r="526" spans="1:36" ht="18" customHeight="1">
      <c r="A526" s="154"/>
      <c r="B526" s="154"/>
      <c r="C526" s="154"/>
      <c r="D526" s="162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95"/>
      <c r="AH526" s="196"/>
      <c r="AI526" s="197"/>
      <c r="AJ526" s="110"/>
    </row>
    <row r="527" spans="1:36" ht="18" customHeight="1">
      <c r="A527" s="154"/>
      <c r="B527" s="154"/>
      <c r="C527" s="154"/>
      <c r="D527" s="162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95"/>
      <c r="AH527" s="196"/>
      <c r="AI527" s="197"/>
      <c r="AJ527" s="110"/>
    </row>
    <row r="528" spans="1:36" ht="18" customHeight="1">
      <c r="A528" s="154"/>
      <c r="B528" s="154"/>
      <c r="C528" s="154"/>
      <c r="D528" s="162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95"/>
      <c r="AH528" s="196"/>
      <c r="AI528" s="197"/>
      <c r="AJ528" s="110"/>
    </row>
    <row r="529" spans="1:36" ht="18" customHeight="1">
      <c r="A529" s="154"/>
      <c r="B529" s="154"/>
      <c r="C529" s="154"/>
      <c r="D529" s="162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95"/>
      <c r="AH529" s="196"/>
      <c r="AI529" s="197"/>
      <c r="AJ529" s="110"/>
    </row>
    <row r="530" spans="1:36" ht="18" customHeight="1">
      <c r="A530" s="154"/>
      <c r="B530" s="154"/>
      <c r="C530" s="154"/>
      <c r="D530" s="162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95"/>
      <c r="AH530" s="196"/>
      <c r="AI530" s="197"/>
      <c r="AJ530" s="110"/>
    </row>
    <row r="531" spans="1:36" ht="18" customHeight="1">
      <c r="A531" s="154"/>
      <c r="B531" s="154"/>
      <c r="C531" s="154"/>
      <c r="D531" s="162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95"/>
      <c r="AH531" s="196"/>
      <c r="AI531" s="197"/>
      <c r="AJ531" s="110"/>
    </row>
    <row r="532" spans="1:36" ht="18" customHeight="1">
      <c r="A532" s="154"/>
      <c r="B532" s="154"/>
      <c r="C532" s="154"/>
      <c r="D532" s="162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95"/>
      <c r="AH532" s="196"/>
      <c r="AI532" s="197"/>
      <c r="AJ532" s="110"/>
    </row>
    <row r="533" spans="1:36" ht="18" customHeight="1">
      <c r="A533" s="154"/>
      <c r="B533" s="154"/>
      <c r="C533" s="154"/>
      <c r="D533" s="162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95"/>
      <c r="AH533" s="196"/>
      <c r="AI533" s="197"/>
      <c r="AJ533" s="110"/>
    </row>
    <row r="534" spans="1:36" ht="18" customHeight="1">
      <c r="A534" s="154"/>
      <c r="B534" s="154"/>
      <c r="C534" s="154"/>
      <c r="D534" s="162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95"/>
      <c r="AH534" s="196"/>
      <c r="AI534" s="197"/>
      <c r="AJ534" s="110"/>
    </row>
    <row r="535" spans="1:36" ht="18" customHeight="1">
      <c r="A535" s="154"/>
      <c r="B535" s="154"/>
      <c r="C535" s="154"/>
      <c r="D535" s="162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95"/>
      <c r="AH535" s="196"/>
      <c r="AI535" s="197"/>
      <c r="AJ535" s="110"/>
    </row>
    <row r="536" spans="1:36" ht="18" customHeight="1">
      <c r="A536" s="154"/>
      <c r="B536" s="154"/>
      <c r="C536" s="154"/>
      <c r="D536" s="162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95"/>
      <c r="AH536" s="196"/>
      <c r="AI536" s="197"/>
      <c r="AJ536" s="110"/>
    </row>
    <row r="537" spans="1:36" ht="18" customHeight="1">
      <c r="A537" s="154"/>
      <c r="B537" s="154"/>
      <c r="C537" s="154"/>
      <c r="D537" s="162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95"/>
      <c r="AH537" s="196"/>
      <c r="AI537" s="197"/>
      <c r="AJ537" s="110"/>
    </row>
    <row r="538" spans="1:36" ht="18" customHeight="1">
      <c r="A538" s="154"/>
      <c r="B538" s="154"/>
      <c r="C538" s="154"/>
      <c r="D538" s="162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95"/>
      <c r="AH538" s="196"/>
      <c r="AI538" s="197"/>
      <c r="AJ538" s="110"/>
    </row>
    <row r="539" spans="1:36" ht="18" customHeight="1">
      <c r="A539" s="154"/>
      <c r="B539" s="154"/>
      <c r="C539" s="154"/>
      <c r="D539" s="162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95"/>
      <c r="AH539" s="196"/>
      <c r="AI539" s="197"/>
      <c r="AJ539" s="110"/>
    </row>
    <row r="540" spans="1:36" ht="18" customHeight="1">
      <c r="A540" s="154"/>
      <c r="B540" s="154"/>
      <c r="C540" s="154"/>
      <c r="D540" s="162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95"/>
      <c r="AH540" s="196"/>
      <c r="AI540" s="197"/>
      <c r="AJ540" s="110"/>
    </row>
    <row r="541" spans="1:36" ht="18" customHeight="1">
      <c r="A541" s="154"/>
      <c r="B541" s="154"/>
      <c r="C541" s="154"/>
      <c r="D541" s="162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95"/>
      <c r="AH541" s="196"/>
      <c r="AI541" s="197"/>
      <c r="AJ541" s="110"/>
    </row>
    <row r="542" spans="1:36" ht="18" customHeight="1">
      <c r="A542" s="154"/>
      <c r="B542" s="154"/>
      <c r="C542" s="154"/>
      <c r="D542" s="162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95"/>
      <c r="AH542" s="196"/>
      <c r="AI542" s="197"/>
      <c r="AJ542" s="110"/>
    </row>
    <row r="543" spans="1:36" ht="18" customHeight="1">
      <c r="A543" s="154"/>
      <c r="B543" s="154"/>
      <c r="C543" s="154"/>
      <c r="D543" s="162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95"/>
      <c r="AH543" s="196"/>
      <c r="AI543" s="197"/>
      <c r="AJ543" s="110"/>
    </row>
    <row r="544" spans="1:36" ht="18" customHeight="1">
      <c r="A544" s="154"/>
      <c r="B544" s="154"/>
      <c r="C544" s="154"/>
      <c r="D544" s="162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95"/>
      <c r="AH544" s="196"/>
      <c r="AI544" s="197"/>
      <c r="AJ544" s="110"/>
    </row>
    <row r="545" spans="1:36" ht="18" customHeight="1">
      <c r="A545" s="154"/>
      <c r="B545" s="154"/>
      <c r="C545" s="154"/>
      <c r="D545" s="162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95"/>
      <c r="AH545" s="196"/>
      <c r="AI545" s="197"/>
      <c r="AJ545" s="110"/>
    </row>
    <row r="546" spans="1:36" ht="18" customHeight="1">
      <c r="A546" s="154"/>
      <c r="B546" s="154"/>
      <c r="C546" s="154"/>
      <c r="D546" s="162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95"/>
      <c r="AH546" s="196"/>
      <c r="AI546" s="197"/>
      <c r="AJ546" s="110"/>
    </row>
    <row r="547" spans="1:36" ht="18" customHeight="1">
      <c r="A547" s="154"/>
      <c r="B547" s="154"/>
      <c r="C547" s="154"/>
      <c r="D547" s="162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95"/>
      <c r="AH547" s="196"/>
      <c r="AI547" s="197"/>
      <c r="AJ547" s="110"/>
    </row>
    <row r="548" spans="1:36" ht="18" customHeight="1">
      <c r="A548" s="154"/>
      <c r="B548" s="154"/>
      <c r="C548" s="154"/>
      <c r="D548" s="162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95"/>
      <c r="AH548" s="196"/>
      <c r="AI548" s="197"/>
      <c r="AJ548" s="110"/>
    </row>
    <row r="549" spans="1:36" ht="18" customHeight="1">
      <c r="A549" s="154"/>
      <c r="B549" s="154"/>
      <c r="C549" s="154"/>
      <c r="D549" s="162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95"/>
      <c r="AH549" s="196"/>
      <c r="AI549" s="197"/>
      <c r="AJ549" s="110"/>
    </row>
    <row r="550" spans="1:36" ht="18" customHeight="1">
      <c r="A550" s="154"/>
      <c r="B550" s="154"/>
      <c r="C550" s="154"/>
      <c r="D550" s="162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95"/>
      <c r="AH550" s="196"/>
      <c r="AI550" s="197"/>
      <c r="AJ550" s="110"/>
    </row>
    <row r="551" spans="1:36" ht="18" customHeight="1">
      <c r="A551" s="154"/>
      <c r="B551" s="154"/>
      <c r="C551" s="154"/>
      <c r="D551" s="162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95"/>
      <c r="AH551" s="196"/>
      <c r="AI551" s="197"/>
      <c r="AJ551" s="110"/>
    </row>
    <row r="552" spans="1:36" ht="18" customHeight="1">
      <c r="A552" s="154"/>
      <c r="B552" s="154"/>
      <c r="C552" s="154"/>
      <c r="D552" s="162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95"/>
      <c r="AH552" s="196"/>
      <c r="AI552" s="197"/>
      <c r="AJ552" s="110"/>
    </row>
    <row r="553" spans="1:36" ht="18" customHeight="1">
      <c r="A553" s="154"/>
      <c r="B553" s="154"/>
      <c r="C553" s="154"/>
      <c r="D553" s="162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95"/>
      <c r="AH553" s="196"/>
      <c r="AI553" s="197"/>
      <c r="AJ553" s="110"/>
    </row>
    <row r="554" spans="1:36" ht="18" customHeight="1">
      <c r="A554" s="154"/>
      <c r="B554" s="154"/>
      <c r="C554" s="154"/>
      <c r="D554" s="162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95"/>
      <c r="AH554" s="196"/>
      <c r="AI554" s="197"/>
      <c r="AJ554" s="110"/>
    </row>
    <row r="555" spans="1:36" ht="18" customHeight="1">
      <c r="A555" s="154"/>
      <c r="B555" s="154"/>
      <c r="C555" s="154"/>
      <c r="D555" s="162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95"/>
      <c r="AH555" s="196"/>
      <c r="AI555" s="197"/>
      <c r="AJ555" s="110"/>
    </row>
    <row r="556" spans="1:36" ht="18" customHeight="1">
      <c r="A556" s="154"/>
      <c r="B556" s="154"/>
      <c r="C556" s="154"/>
      <c r="D556" s="162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95"/>
      <c r="AH556" s="196"/>
      <c r="AI556" s="197"/>
      <c r="AJ556" s="110"/>
    </row>
    <row r="557" spans="1:36" ht="18" customHeight="1">
      <c r="A557" s="154"/>
      <c r="B557" s="154"/>
      <c r="C557" s="154"/>
      <c r="D557" s="162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95"/>
      <c r="AH557" s="196"/>
      <c r="AI557" s="197"/>
      <c r="AJ557" s="110"/>
    </row>
    <row r="558" spans="1:36" ht="18" customHeight="1">
      <c r="A558" s="154"/>
      <c r="B558" s="154"/>
      <c r="C558" s="154"/>
      <c r="D558" s="162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95"/>
      <c r="AH558" s="196"/>
      <c r="AI558" s="197"/>
      <c r="AJ558" s="110"/>
    </row>
    <row r="559" spans="1:36" ht="18" customHeight="1">
      <c r="A559" s="154"/>
      <c r="B559" s="154"/>
      <c r="C559" s="154"/>
      <c r="D559" s="162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95"/>
      <c r="AH559" s="196"/>
      <c r="AI559" s="197"/>
      <c r="AJ559" s="110"/>
    </row>
    <row r="560" spans="1:36" ht="18" customHeight="1">
      <c r="A560" s="154"/>
      <c r="B560" s="154"/>
      <c r="C560" s="154"/>
      <c r="D560" s="162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95"/>
      <c r="AH560" s="196"/>
      <c r="AI560" s="197"/>
      <c r="AJ560" s="110"/>
    </row>
    <row r="561" spans="1:36" ht="18" customHeight="1">
      <c r="A561" s="154"/>
      <c r="B561" s="154"/>
      <c r="C561" s="154"/>
      <c r="D561" s="162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95"/>
      <c r="AH561" s="196"/>
      <c r="AI561" s="197"/>
      <c r="AJ561" s="110"/>
    </row>
    <row r="562" spans="1:36" ht="18" customHeight="1">
      <c r="A562" s="154"/>
      <c r="B562" s="154"/>
      <c r="C562" s="154"/>
      <c r="D562" s="162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95"/>
      <c r="AH562" s="196"/>
      <c r="AI562" s="197"/>
      <c r="AJ562" s="110"/>
    </row>
    <row r="563" spans="1:36" ht="18" customHeight="1">
      <c r="A563" s="154"/>
      <c r="B563" s="154"/>
      <c r="C563" s="154"/>
      <c r="D563" s="162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95"/>
      <c r="AH563" s="196"/>
      <c r="AI563" s="197"/>
      <c r="AJ563" s="110"/>
    </row>
    <row r="564" spans="1:36" ht="18" customHeight="1">
      <c r="A564" s="154"/>
      <c r="B564" s="154"/>
      <c r="C564" s="154"/>
      <c r="D564" s="162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95"/>
      <c r="AH564" s="196"/>
      <c r="AI564" s="197"/>
      <c r="AJ564" s="110"/>
    </row>
    <row r="565" spans="1:36" ht="18" customHeight="1">
      <c r="A565" s="154"/>
      <c r="B565" s="154"/>
      <c r="C565" s="154"/>
      <c r="D565" s="162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95"/>
      <c r="AH565" s="196"/>
      <c r="AI565" s="197"/>
      <c r="AJ565" s="110"/>
    </row>
    <row r="566" spans="1:36" ht="18" customHeight="1">
      <c r="A566" s="154"/>
      <c r="B566" s="154"/>
      <c r="C566" s="154"/>
      <c r="D566" s="162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95"/>
      <c r="AH566" s="196"/>
      <c r="AI566" s="197"/>
      <c r="AJ566" s="110"/>
    </row>
    <row r="567" spans="1:36" ht="18" customHeight="1">
      <c r="A567" s="154"/>
      <c r="B567" s="154"/>
      <c r="C567" s="154"/>
      <c r="D567" s="162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95"/>
      <c r="AH567" s="196"/>
      <c r="AI567" s="197"/>
      <c r="AJ567" s="110"/>
    </row>
    <row r="568" spans="1:36" ht="18" customHeight="1">
      <c r="A568" s="154"/>
      <c r="B568" s="154"/>
      <c r="C568" s="154"/>
      <c r="D568" s="162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95"/>
      <c r="AH568" s="196"/>
      <c r="AI568" s="197"/>
      <c r="AJ568" s="110"/>
    </row>
    <row r="569" spans="1:36" ht="18" customHeight="1">
      <c r="A569" s="154"/>
      <c r="B569" s="154"/>
      <c r="C569" s="154"/>
      <c r="D569" s="162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95"/>
      <c r="AH569" s="196"/>
      <c r="AI569" s="197"/>
      <c r="AJ569" s="110"/>
    </row>
    <row r="570" spans="1:36" ht="18" customHeight="1">
      <c r="A570" s="154"/>
      <c r="B570" s="154"/>
      <c r="C570" s="154"/>
      <c r="D570" s="162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95"/>
      <c r="AH570" s="196"/>
      <c r="AI570" s="197"/>
      <c r="AJ570" s="110"/>
    </row>
    <row r="571" spans="1:36" ht="18" customHeight="1">
      <c r="A571" s="154"/>
      <c r="B571" s="154"/>
      <c r="C571" s="154"/>
      <c r="D571" s="162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95"/>
      <c r="AH571" s="196"/>
      <c r="AI571" s="197"/>
      <c r="AJ571" s="110"/>
    </row>
    <row r="572" spans="1:36" ht="18" customHeight="1">
      <c r="A572" s="154"/>
      <c r="B572" s="154"/>
      <c r="C572" s="154"/>
      <c r="D572" s="162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95"/>
      <c r="AH572" s="196"/>
      <c r="AI572" s="197"/>
      <c r="AJ572" s="110"/>
    </row>
    <row r="573" spans="1:36" ht="18" customHeight="1">
      <c r="A573" s="154"/>
      <c r="B573" s="154"/>
      <c r="C573" s="154"/>
      <c r="D573" s="162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95"/>
      <c r="AH573" s="196"/>
      <c r="AI573" s="197"/>
      <c r="AJ573" s="110"/>
    </row>
    <row r="574" spans="1:36" ht="18" customHeight="1">
      <c r="A574" s="154"/>
      <c r="B574" s="154"/>
      <c r="C574" s="154"/>
      <c r="D574" s="162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95"/>
      <c r="AH574" s="196"/>
      <c r="AI574" s="197"/>
      <c r="AJ574" s="110"/>
    </row>
    <row r="575" spans="1:36" ht="18" customHeight="1">
      <c r="A575" s="154"/>
      <c r="B575" s="154"/>
      <c r="C575" s="154"/>
      <c r="D575" s="162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95"/>
      <c r="AH575" s="196"/>
      <c r="AI575" s="197"/>
      <c r="AJ575" s="110"/>
    </row>
    <row r="576" spans="1:36" ht="18" customHeight="1">
      <c r="A576" s="154"/>
      <c r="B576" s="154"/>
      <c r="C576" s="154"/>
      <c r="D576" s="162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95"/>
      <c r="AH576" s="196"/>
      <c r="AI576" s="197"/>
      <c r="AJ576" s="110"/>
    </row>
    <row r="577" spans="1:36" ht="18" customHeight="1">
      <c r="A577" s="154"/>
      <c r="B577" s="154"/>
      <c r="C577" s="154"/>
      <c r="D577" s="162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95"/>
      <c r="AH577" s="196"/>
      <c r="AI577" s="197"/>
      <c r="AJ577" s="110"/>
    </row>
    <row r="578" spans="1:36" ht="18" customHeight="1">
      <c r="A578" s="154"/>
      <c r="B578" s="154"/>
      <c r="C578" s="154"/>
      <c r="D578" s="162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95"/>
      <c r="AH578" s="196"/>
      <c r="AI578" s="197"/>
      <c r="AJ578" s="110"/>
    </row>
    <row r="579" spans="1:36" ht="18" customHeight="1">
      <c r="A579" s="154"/>
      <c r="B579" s="154"/>
      <c r="C579" s="154"/>
      <c r="D579" s="162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95"/>
      <c r="AH579" s="196"/>
      <c r="AI579" s="197"/>
      <c r="AJ579" s="110"/>
    </row>
    <row r="580" spans="1:36" ht="18" customHeight="1">
      <c r="A580" s="154"/>
      <c r="B580" s="154"/>
      <c r="C580" s="154"/>
      <c r="D580" s="162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95"/>
      <c r="AH580" s="196"/>
      <c r="AI580" s="197"/>
      <c r="AJ580" s="110"/>
    </row>
    <row r="581" spans="1:36" ht="18" customHeight="1">
      <c r="A581" s="154"/>
      <c r="B581" s="154"/>
      <c r="C581" s="154"/>
      <c r="D581" s="162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95"/>
      <c r="AH581" s="196"/>
      <c r="AI581" s="197"/>
      <c r="AJ581" s="110"/>
    </row>
    <row r="582" spans="1:36" ht="18" customHeight="1">
      <c r="A582" s="154"/>
      <c r="B582" s="154"/>
      <c r="C582" s="154"/>
      <c r="D582" s="162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95"/>
      <c r="AH582" s="196"/>
      <c r="AI582" s="197"/>
      <c r="AJ582" s="110"/>
    </row>
    <row r="583" spans="1:36" ht="18" customHeight="1">
      <c r="A583" s="154"/>
      <c r="B583" s="154"/>
      <c r="C583" s="154"/>
      <c r="D583" s="162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95"/>
      <c r="AH583" s="196"/>
      <c r="AI583" s="197"/>
      <c r="AJ583" s="110"/>
    </row>
    <row r="584" spans="1:36" ht="18" customHeight="1">
      <c r="A584" s="154"/>
      <c r="B584" s="154"/>
      <c r="C584" s="154"/>
      <c r="D584" s="162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95"/>
      <c r="AH584" s="196"/>
      <c r="AI584" s="197"/>
      <c r="AJ584" s="110"/>
    </row>
    <row r="585" spans="1:36" ht="18" customHeight="1">
      <c r="A585" s="154"/>
      <c r="B585" s="154"/>
      <c r="C585" s="154"/>
      <c r="D585" s="162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95"/>
      <c r="AH585" s="196"/>
      <c r="AI585" s="197"/>
      <c r="AJ585" s="110"/>
    </row>
    <row r="586" spans="1:36" ht="18" customHeight="1">
      <c r="A586" s="154"/>
      <c r="B586" s="154"/>
      <c r="C586" s="154"/>
      <c r="D586" s="162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95"/>
      <c r="AH586" s="196"/>
      <c r="AI586" s="197"/>
      <c r="AJ586" s="110"/>
    </row>
    <row r="587" spans="1:36" ht="18" customHeight="1">
      <c r="A587" s="154"/>
      <c r="B587" s="154"/>
      <c r="C587" s="154"/>
      <c r="D587" s="162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95"/>
      <c r="AH587" s="196"/>
      <c r="AI587" s="197"/>
      <c r="AJ587" s="110"/>
    </row>
    <row r="588" spans="1:36" ht="18" customHeight="1">
      <c r="A588" s="154"/>
      <c r="B588" s="154"/>
      <c r="C588" s="154"/>
      <c r="D588" s="162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95"/>
      <c r="AH588" s="196"/>
      <c r="AI588" s="197"/>
      <c r="AJ588" s="110"/>
    </row>
    <row r="589" spans="1:36" ht="18" customHeight="1">
      <c r="A589" s="154"/>
      <c r="B589" s="154"/>
      <c r="C589" s="154"/>
      <c r="D589" s="162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95"/>
      <c r="AH589" s="196"/>
      <c r="AI589" s="197"/>
      <c r="AJ589" s="110"/>
    </row>
    <row r="590" spans="1:36" ht="18" customHeight="1">
      <c r="A590" s="154"/>
      <c r="B590" s="154"/>
      <c r="C590" s="154"/>
      <c r="D590" s="162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95"/>
      <c r="AH590" s="196"/>
      <c r="AI590" s="197"/>
      <c r="AJ590" s="110"/>
    </row>
    <row r="591" spans="1:36" ht="18" customHeight="1">
      <c r="A591" s="154"/>
      <c r="B591" s="154"/>
      <c r="C591" s="154"/>
      <c r="D591" s="162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95"/>
      <c r="AH591" s="196"/>
      <c r="AI591" s="197"/>
      <c r="AJ591" s="110"/>
    </row>
    <row r="592" spans="1:36" ht="18" customHeight="1">
      <c r="A592" s="154"/>
      <c r="B592" s="154"/>
      <c r="C592" s="154"/>
      <c r="D592" s="162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95"/>
      <c r="AH592" s="196"/>
      <c r="AI592" s="197"/>
      <c r="AJ592" s="110"/>
    </row>
    <row r="593" spans="1:36" ht="18" customHeight="1">
      <c r="A593" s="154"/>
      <c r="B593" s="154"/>
      <c r="C593" s="154"/>
      <c r="D593" s="162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95"/>
      <c r="AH593" s="196"/>
      <c r="AI593" s="197"/>
      <c r="AJ593" s="110"/>
    </row>
    <row r="594" spans="1:36" ht="18" customHeight="1">
      <c r="A594" s="154"/>
      <c r="B594" s="154"/>
      <c r="C594" s="154"/>
      <c r="D594" s="162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95"/>
      <c r="AH594" s="196"/>
      <c r="AI594" s="197"/>
      <c r="AJ594" s="110"/>
    </row>
    <row r="595" spans="1:36" ht="18" customHeight="1">
      <c r="A595" s="154"/>
      <c r="B595" s="154"/>
      <c r="C595" s="154"/>
      <c r="D595" s="162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95"/>
      <c r="AH595" s="196"/>
      <c r="AI595" s="197"/>
      <c r="AJ595" s="110"/>
    </row>
    <row r="596" spans="1:36" ht="18" customHeight="1">
      <c r="A596" s="154"/>
      <c r="B596" s="154"/>
      <c r="C596" s="154"/>
      <c r="D596" s="162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95"/>
      <c r="AH596" s="196"/>
      <c r="AI596" s="197"/>
      <c r="AJ596" s="110"/>
    </row>
    <row r="597" spans="1:36" ht="18" customHeight="1">
      <c r="A597" s="154"/>
      <c r="B597" s="154"/>
      <c r="C597" s="154"/>
      <c r="D597" s="162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95"/>
      <c r="AH597" s="196"/>
      <c r="AI597" s="197"/>
      <c r="AJ597" s="110"/>
    </row>
    <row r="598" spans="1:36" ht="18" customHeight="1">
      <c r="A598" s="154"/>
      <c r="B598" s="154"/>
      <c r="C598" s="154"/>
      <c r="D598" s="162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95"/>
      <c r="AH598" s="196"/>
      <c r="AI598" s="197"/>
      <c r="AJ598" s="110"/>
    </row>
    <row r="599" spans="1:36" ht="18" customHeight="1">
      <c r="A599" s="154"/>
      <c r="B599" s="154"/>
      <c r="C599" s="154"/>
      <c r="D599" s="162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95"/>
      <c r="AH599" s="196"/>
      <c r="AI599" s="197"/>
      <c r="AJ599" s="110"/>
    </row>
    <row r="600" spans="1:36" ht="18" customHeight="1">
      <c r="A600" s="154"/>
      <c r="B600" s="154"/>
      <c r="C600" s="154"/>
      <c r="D600" s="162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95"/>
      <c r="AH600" s="196"/>
      <c r="AI600" s="197"/>
      <c r="AJ600" s="110"/>
    </row>
    <row r="601" spans="1:36" ht="18" customHeight="1">
      <c r="A601" s="154"/>
      <c r="B601" s="154"/>
      <c r="C601" s="154"/>
      <c r="D601" s="162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95"/>
      <c r="AH601" s="196"/>
      <c r="AI601" s="197"/>
      <c r="AJ601" s="110"/>
    </row>
    <row r="602" spans="1:36" ht="18" customHeight="1">
      <c r="A602" s="154"/>
      <c r="B602" s="154"/>
      <c r="C602" s="154"/>
      <c r="D602" s="162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95"/>
      <c r="AH602" s="196"/>
      <c r="AI602" s="197"/>
      <c r="AJ602" s="110"/>
    </row>
    <row r="603" spans="1:36" ht="18" customHeight="1">
      <c r="A603" s="154"/>
      <c r="B603" s="154"/>
      <c r="C603" s="154"/>
      <c r="D603" s="162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95"/>
      <c r="AH603" s="196"/>
      <c r="AI603" s="197"/>
      <c r="AJ603" s="110"/>
    </row>
    <row r="604" spans="1:36" ht="18" customHeight="1">
      <c r="A604" s="154"/>
      <c r="B604" s="154"/>
      <c r="C604" s="154"/>
      <c r="D604" s="162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95"/>
      <c r="AH604" s="196"/>
      <c r="AI604" s="197"/>
      <c r="AJ604" s="110"/>
    </row>
    <row r="605" spans="1:36" ht="18" customHeight="1">
      <c r="A605" s="154"/>
      <c r="B605" s="154"/>
      <c r="C605" s="154"/>
      <c r="D605" s="162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95"/>
      <c r="AH605" s="196"/>
      <c r="AI605" s="197"/>
      <c r="AJ605" s="110"/>
    </row>
    <row r="606" spans="1:36" ht="18" customHeight="1">
      <c r="A606" s="154"/>
      <c r="B606" s="154"/>
      <c r="C606" s="154"/>
      <c r="D606" s="162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95"/>
      <c r="AH606" s="196"/>
      <c r="AI606" s="197"/>
      <c r="AJ606" s="110"/>
    </row>
    <row r="607" spans="1:36" ht="18" customHeight="1">
      <c r="A607" s="154"/>
      <c r="B607" s="154"/>
      <c r="C607" s="154"/>
      <c r="D607" s="162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95"/>
      <c r="AH607" s="196"/>
      <c r="AI607" s="197"/>
      <c r="AJ607" s="110"/>
    </row>
    <row r="608" spans="1:36" ht="18" customHeight="1">
      <c r="A608" s="154"/>
      <c r="B608" s="154"/>
      <c r="C608" s="154"/>
      <c r="D608" s="162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95"/>
      <c r="AH608" s="196"/>
      <c r="AI608" s="197"/>
      <c r="AJ608" s="110"/>
    </row>
    <row r="609" spans="1:36" ht="18" customHeight="1">
      <c r="A609" s="154"/>
      <c r="B609" s="154"/>
      <c r="C609" s="154"/>
      <c r="D609" s="162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95"/>
      <c r="AH609" s="196"/>
      <c r="AI609" s="197"/>
      <c r="AJ609" s="110"/>
    </row>
    <row r="610" spans="1:36" ht="18" customHeight="1">
      <c r="A610" s="154"/>
      <c r="B610" s="154"/>
      <c r="C610" s="154"/>
      <c r="D610" s="162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95"/>
      <c r="AH610" s="196"/>
      <c r="AI610" s="197"/>
      <c r="AJ610" s="110"/>
    </row>
    <row r="611" spans="1:36" ht="18" customHeight="1">
      <c r="A611" s="154"/>
      <c r="B611" s="154"/>
      <c r="C611" s="154"/>
      <c r="D611" s="162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95"/>
      <c r="AH611" s="196"/>
      <c r="AI611" s="197"/>
      <c r="AJ611" s="110"/>
    </row>
    <row r="612" spans="1:36" ht="18" customHeight="1">
      <c r="A612" s="154"/>
      <c r="B612" s="154"/>
      <c r="C612" s="154"/>
      <c r="D612" s="162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95"/>
      <c r="AH612" s="196"/>
      <c r="AI612" s="197"/>
      <c r="AJ612" s="110"/>
    </row>
    <row r="613" spans="1:36" ht="18" customHeight="1">
      <c r="A613" s="154"/>
      <c r="B613" s="154"/>
      <c r="C613" s="154"/>
      <c r="D613" s="162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95"/>
      <c r="AH613" s="196"/>
      <c r="AI613" s="197"/>
      <c r="AJ613" s="110"/>
    </row>
    <row r="614" spans="1:36" ht="18" customHeight="1">
      <c r="A614" s="154"/>
      <c r="B614" s="154"/>
      <c r="C614" s="154"/>
      <c r="D614" s="162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95"/>
      <c r="AH614" s="196"/>
      <c r="AI614" s="197"/>
      <c r="AJ614" s="110"/>
    </row>
    <row r="615" spans="1:36" ht="18" customHeight="1">
      <c r="A615" s="154"/>
      <c r="B615" s="154"/>
      <c r="C615" s="154"/>
      <c r="D615" s="162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95"/>
      <c r="AH615" s="196"/>
      <c r="AI615" s="197"/>
      <c r="AJ615" s="110"/>
    </row>
    <row r="616" spans="1:36" ht="18" customHeight="1">
      <c r="A616" s="154"/>
      <c r="B616" s="154"/>
      <c r="C616" s="154"/>
      <c r="D616" s="162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95"/>
      <c r="AH616" s="196"/>
      <c r="AI616" s="197"/>
      <c r="AJ616" s="110"/>
    </row>
    <row r="617" spans="1:36" ht="18" customHeight="1">
      <c r="A617" s="154"/>
      <c r="B617" s="154"/>
      <c r="C617" s="154"/>
      <c r="D617" s="162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95"/>
      <c r="AH617" s="196"/>
      <c r="AI617" s="197"/>
      <c r="AJ617" s="110"/>
    </row>
    <row r="618" spans="1:36" ht="18" customHeight="1">
      <c r="A618" s="154"/>
      <c r="B618" s="154"/>
      <c r="C618" s="154"/>
      <c r="D618" s="162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95"/>
      <c r="AH618" s="196"/>
      <c r="AI618" s="197"/>
      <c r="AJ618" s="110"/>
    </row>
    <row r="619" spans="1:36" ht="18" customHeight="1">
      <c r="A619" s="154"/>
      <c r="B619" s="154"/>
      <c r="C619" s="154"/>
      <c r="D619" s="162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95"/>
      <c r="AH619" s="196"/>
      <c r="AI619" s="197"/>
      <c r="AJ619" s="110"/>
    </row>
    <row r="620" spans="1:36" ht="18" customHeight="1">
      <c r="A620" s="154"/>
      <c r="B620" s="154"/>
      <c r="C620" s="154"/>
      <c r="D620" s="162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95"/>
      <c r="AH620" s="196"/>
      <c r="AI620" s="197"/>
      <c r="AJ620" s="110"/>
    </row>
    <row r="621" spans="1:36" ht="18" customHeight="1">
      <c r="A621" s="154"/>
      <c r="B621" s="154"/>
      <c r="C621" s="154"/>
      <c r="D621" s="162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95"/>
      <c r="AH621" s="196"/>
      <c r="AI621" s="197"/>
      <c r="AJ621" s="110"/>
    </row>
    <row r="622" spans="1:36" ht="18" customHeight="1">
      <c r="A622" s="154"/>
      <c r="B622" s="154"/>
      <c r="C622" s="154"/>
      <c r="D622" s="162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95"/>
      <c r="AH622" s="196"/>
      <c r="AI622" s="197"/>
      <c r="AJ622" s="110"/>
    </row>
    <row r="623" spans="1:36" ht="18" customHeight="1">
      <c r="A623" s="154"/>
      <c r="B623" s="154"/>
      <c r="C623" s="154"/>
      <c r="D623" s="162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95"/>
      <c r="AH623" s="196"/>
      <c r="AI623" s="197"/>
      <c r="AJ623" s="110"/>
    </row>
    <row r="624" spans="1:36" ht="18" customHeight="1">
      <c r="A624" s="154"/>
      <c r="B624" s="154"/>
      <c r="C624" s="154"/>
      <c r="D624" s="162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95"/>
      <c r="AH624" s="196"/>
      <c r="AI624" s="197"/>
      <c r="AJ624" s="110"/>
    </row>
    <row r="625" spans="1:36" ht="18" customHeight="1">
      <c r="A625" s="154"/>
      <c r="B625" s="154"/>
      <c r="C625" s="154"/>
      <c r="D625" s="162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95"/>
      <c r="AH625" s="196"/>
      <c r="AI625" s="197"/>
      <c r="AJ625" s="110"/>
    </row>
    <row r="626" spans="1:36" ht="18" customHeight="1">
      <c r="A626" s="154"/>
      <c r="B626" s="154"/>
      <c r="C626" s="154"/>
      <c r="D626" s="162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95"/>
      <c r="AH626" s="196"/>
      <c r="AI626" s="197"/>
      <c r="AJ626" s="110"/>
    </row>
    <row r="627" spans="1:36" ht="18" customHeight="1">
      <c r="A627" s="154"/>
      <c r="B627" s="154"/>
      <c r="C627" s="154"/>
      <c r="D627" s="162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95"/>
      <c r="AH627" s="196"/>
      <c r="AI627" s="197"/>
      <c r="AJ627" s="110"/>
    </row>
    <row r="628" spans="1:36" ht="18" customHeight="1">
      <c r="A628" s="154"/>
      <c r="B628" s="154"/>
      <c r="C628" s="154"/>
      <c r="D628" s="162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95"/>
      <c r="AH628" s="196"/>
      <c r="AI628" s="197"/>
      <c r="AJ628" s="110"/>
    </row>
    <row r="629" spans="1:36" ht="18" customHeight="1">
      <c r="A629" s="154"/>
      <c r="B629" s="154"/>
      <c r="C629" s="154"/>
      <c r="D629" s="162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95"/>
      <c r="AH629" s="196"/>
      <c r="AI629" s="197"/>
      <c r="AJ629" s="110"/>
    </row>
    <row r="630" spans="1:36" ht="18" customHeight="1">
      <c r="A630" s="154"/>
      <c r="B630" s="154"/>
      <c r="C630" s="154"/>
      <c r="D630" s="162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95"/>
      <c r="AH630" s="196"/>
      <c r="AI630" s="197"/>
      <c r="AJ630" s="110"/>
    </row>
    <row r="631" spans="1:36" ht="18" customHeight="1">
      <c r="A631" s="154"/>
      <c r="B631" s="154"/>
      <c r="C631" s="154"/>
      <c r="D631" s="162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95"/>
      <c r="AH631" s="196"/>
      <c r="AI631" s="197"/>
      <c r="AJ631" s="110"/>
    </row>
    <row r="632" spans="1:36" ht="18" customHeight="1">
      <c r="A632" s="154"/>
      <c r="B632" s="154"/>
      <c r="C632" s="154"/>
      <c r="D632" s="162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95"/>
      <c r="AH632" s="196"/>
      <c r="AI632" s="197"/>
      <c r="AJ632" s="110"/>
    </row>
    <row r="633" spans="1:36" ht="18" customHeight="1">
      <c r="A633" s="154"/>
      <c r="B633" s="154"/>
      <c r="C633" s="154"/>
      <c r="D633" s="162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95"/>
      <c r="AH633" s="196"/>
      <c r="AI633" s="197"/>
      <c r="AJ633" s="110"/>
    </row>
    <row r="634" spans="1:36" ht="18" customHeight="1">
      <c r="A634" s="154"/>
      <c r="B634" s="154"/>
      <c r="C634" s="154"/>
      <c r="D634" s="162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95"/>
      <c r="AH634" s="196"/>
      <c r="AI634" s="197"/>
      <c r="AJ634" s="110"/>
    </row>
    <row r="635" spans="1:36" ht="18" customHeight="1">
      <c r="A635" s="154"/>
      <c r="B635" s="154"/>
      <c r="C635" s="154"/>
      <c r="D635" s="162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95"/>
      <c r="AH635" s="196"/>
      <c r="AI635" s="197"/>
      <c r="AJ635" s="110"/>
    </row>
    <row r="636" spans="1:36" ht="18" customHeight="1">
      <c r="A636" s="154"/>
      <c r="B636" s="154"/>
      <c r="C636" s="154"/>
      <c r="D636" s="162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95"/>
      <c r="AH636" s="196"/>
      <c r="AI636" s="197"/>
      <c r="AJ636" s="110"/>
    </row>
    <row r="637" spans="1:36" ht="18" customHeight="1">
      <c r="A637" s="154"/>
      <c r="B637" s="154"/>
      <c r="C637" s="154"/>
      <c r="D637" s="162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95"/>
      <c r="AH637" s="196"/>
      <c r="AI637" s="197"/>
      <c r="AJ637" s="110"/>
    </row>
    <row r="638" spans="1:36" ht="18" customHeight="1">
      <c r="A638" s="154"/>
      <c r="B638" s="154"/>
      <c r="C638" s="154"/>
      <c r="D638" s="162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95"/>
      <c r="AH638" s="196"/>
      <c r="AI638" s="197"/>
      <c r="AJ638" s="110"/>
    </row>
    <row r="639" spans="1:36" ht="18" customHeight="1">
      <c r="A639" s="154"/>
      <c r="B639" s="154"/>
      <c r="C639" s="154"/>
      <c r="D639" s="162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95"/>
      <c r="AH639" s="196"/>
      <c r="AI639" s="197"/>
      <c r="AJ639" s="110"/>
    </row>
    <row r="640" spans="1:36" ht="18" customHeight="1">
      <c r="A640" s="154"/>
      <c r="B640" s="154"/>
      <c r="C640" s="154"/>
      <c r="D640" s="162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95"/>
      <c r="AH640" s="196"/>
      <c r="AI640" s="197"/>
      <c r="AJ640" s="110"/>
    </row>
    <row r="641" spans="1:36" ht="18" customHeight="1">
      <c r="A641" s="154"/>
      <c r="B641" s="154"/>
      <c r="C641" s="154"/>
      <c r="D641" s="162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95"/>
      <c r="AH641" s="196"/>
      <c r="AI641" s="197"/>
      <c r="AJ641" s="110"/>
    </row>
    <row r="642" spans="1:36" ht="18" customHeight="1">
      <c r="A642" s="154"/>
      <c r="B642" s="154"/>
      <c r="C642" s="154"/>
      <c r="D642" s="162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95"/>
      <c r="AH642" s="196"/>
      <c r="AI642" s="197"/>
      <c r="AJ642" s="110"/>
    </row>
    <row r="643" spans="1:36" ht="18" customHeight="1">
      <c r="A643" s="154"/>
      <c r="B643" s="154"/>
      <c r="C643" s="154"/>
      <c r="D643" s="162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95"/>
      <c r="AH643" s="196"/>
      <c r="AI643" s="197"/>
      <c r="AJ643" s="110"/>
    </row>
    <row r="644" spans="1:36" ht="18" customHeight="1">
      <c r="A644" s="154"/>
      <c r="B644" s="154"/>
      <c r="C644" s="154"/>
      <c r="D644" s="162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95"/>
      <c r="AH644" s="196"/>
      <c r="AI644" s="197"/>
      <c r="AJ644" s="110"/>
    </row>
    <row r="645" spans="1:36" ht="18" customHeight="1">
      <c r="A645" s="154"/>
      <c r="B645" s="154"/>
      <c r="C645" s="154"/>
      <c r="D645" s="162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95"/>
      <c r="AH645" s="196"/>
      <c r="AI645" s="197"/>
      <c r="AJ645" s="110"/>
    </row>
    <row r="646" spans="1:36" ht="18" customHeight="1">
      <c r="A646" s="154"/>
      <c r="B646" s="154"/>
      <c r="C646" s="154"/>
      <c r="D646" s="162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95"/>
      <c r="AH646" s="196"/>
      <c r="AI646" s="197"/>
      <c r="AJ646" s="110"/>
    </row>
    <row r="647" spans="1:36" ht="18" customHeight="1">
      <c r="A647" s="154"/>
      <c r="B647" s="154"/>
      <c r="C647" s="154"/>
      <c r="D647" s="162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95"/>
      <c r="AH647" s="196"/>
      <c r="AI647" s="197"/>
      <c r="AJ647" s="110"/>
    </row>
    <row r="648" spans="1:36" ht="18" customHeight="1">
      <c r="A648" s="154"/>
      <c r="B648" s="154"/>
      <c r="C648" s="154"/>
      <c r="D648" s="162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95"/>
      <c r="AH648" s="196"/>
      <c r="AI648" s="197"/>
      <c r="AJ648" s="110"/>
    </row>
    <row r="649" spans="1:36" ht="18" customHeight="1">
      <c r="A649" s="154"/>
      <c r="B649" s="154"/>
      <c r="C649" s="154"/>
      <c r="D649" s="162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95"/>
      <c r="AH649" s="196"/>
      <c r="AI649" s="197"/>
      <c r="AJ649" s="110"/>
    </row>
    <row r="650" spans="1:36" ht="18" customHeight="1">
      <c r="A650" s="154"/>
      <c r="B650" s="154"/>
      <c r="C650" s="154"/>
      <c r="D650" s="162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95"/>
      <c r="AH650" s="196"/>
      <c r="AI650" s="197"/>
      <c r="AJ650" s="110"/>
    </row>
    <row r="651" spans="1:36" ht="18" customHeight="1">
      <c r="A651" s="154"/>
      <c r="B651" s="154"/>
      <c r="C651" s="154"/>
      <c r="D651" s="162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95"/>
      <c r="AH651" s="196"/>
      <c r="AI651" s="197"/>
      <c r="AJ651" s="110"/>
    </row>
    <row r="652" spans="1:36" ht="18" customHeight="1">
      <c r="A652" s="154"/>
      <c r="B652" s="154"/>
      <c r="C652" s="154"/>
      <c r="D652" s="162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95"/>
      <c r="AH652" s="196"/>
      <c r="AI652" s="197"/>
      <c r="AJ652" s="110"/>
    </row>
    <row r="653" spans="1:36" ht="18" customHeight="1">
      <c r="A653" s="154"/>
      <c r="B653" s="154"/>
      <c r="C653" s="154"/>
      <c r="D653" s="162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95"/>
      <c r="AH653" s="196"/>
      <c r="AI653" s="197"/>
      <c r="AJ653" s="110"/>
    </row>
    <row r="654" spans="1:36" ht="18" customHeight="1">
      <c r="A654" s="154"/>
      <c r="B654" s="154"/>
      <c r="C654" s="154"/>
      <c r="D654" s="162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95"/>
      <c r="AH654" s="196"/>
      <c r="AI654" s="197"/>
      <c r="AJ654" s="110"/>
    </row>
    <row r="655" spans="1:36" ht="18" customHeight="1">
      <c r="A655" s="154"/>
      <c r="B655" s="154"/>
      <c r="C655" s="154"/>
      <c r="D655" s="162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95"/>
      <c r="AH655" s="196"/>
      <c r="AI655" s="197"/>
      <c r="AJ655" s="110"/>
    </row>
    <row r="656" spans="1:36" ht="18" customHeight="1">
      <c r="A656" s="154"/>
      <c r="B656" s="154"/>
      <c r="C656" s="154"/>
      <c r="D656" s="162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95"/>
      <c r="AH656" s="196"/>
      <c r="AI656" s="197"/>
      <c r="AJ656" s="110"/>
    </row>
    <row r="657" spans="1:36" ht="18" customHeight="1">
      <c r="A657" s="154"/>
      <c r="B657" s="154"/>
      <c r="C657" s="154"/>
      <c r="D657" s="162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95"/>
      <c r="AH657" s="196"/>
      <c r="AI657" s="197"/>
      <c r="AJ657" s="110"/>
    </row>
    <row r="658" spans="1:36" ht="18" customHeight="1">
      <c r="A658" s="154"/>
      <c r="B658" s="154"/>
      <c r="C658" s="154"/>
      <c r="D658" s="162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95"/>
      <c r="AH658" s="196"/>
      <c r="AI658" s="197"/>
      <c r="AJ658" s="110"/>
    </row>
    <row r="659" spans="1:36" ht="18" customHeight="1">
      <c r="A659" s="154"/>
      <c r="B659" s="154"/>
      <c r="C659" s="154"/>
      <c r="D659" s="162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95"/>
      <c r="AH659" s="196"/>
      <c r="AI659" s="197"/>
      <c r="AJ659" s="110"/>
    </row>
    <row r="660" spans="1:36" ht="18" customHeight="1">
      <c r="A660" s="154"/>
      <c r="B660" s="154"/>
      <c r="C660" s="154"/>
      <c r="D660" s="162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95"/>
      <c r="AH660" s="196"/>
      <c r="AI660" s="197"/>
      <c r="AJ660" s="110"/>
    </row>
    <row r="661" spans="1:36" ht="18" customHeight="1">
      <c r="A661" s="154"/>
      <c r="B661" s="154"/>
      <c r="C661" s="154"/>
      <c r="D661" s="162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95"/>
      <c r="AH661" s="196"/>
      <c r="AI661" s="197"/>
      <c r="AJ661" s="110"/>
    </row>
    <row r="662" spans="1:36" ht="18" customHeight="1">
      <c r="A662" s="154"/>
      <c r="B662" s="154"/>
      <c r="C662" s="154"/>
      <c r="D662" s="162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95"/>
      <c r="AH662" s="196"/>
      <c r="AI662" s="197"/>
      <c r="AJ662" s="110"/>
    </row>
    <row r="663" spans="1:36" ht="18" customHeight="1">
      <c r="A663" s="154"/>
      <c r="B663" s="154"/>
      <c r="C663" s="154"/>
      <c r="D663" s="162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95"/>
      <c r="AH663" s="196"/>
      <c r="AI663" s="197"/>
      <c r="AJ663" s="110"/>
    </row>
    <row r="664" spans="1:36" ht="18" customHeight="1">
      <c r="A664" s="154"/>
      <c r="B664" s="154"/>
      <c r="C664" s="154"/>
      <c r="D664" s="162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95"/>
      <c r="AH664" s="196"/>
      <c r="AI664" s="197"/>
      <c r="AJ664" s="110"/>
    </row>
    <row r="665" spans="1:36" ht="18" customHeight="1">
      <c r="A665" s="154"/>
      <c r="B665" s="154"/>
      <c r="C665" s="154"/>
      <c r="D665" s="162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95"/>
      <c r="AH665" s="196"/>
      <c r="AI665" s="197"/>
      <c r="AJ665" s="110"/>
    </row>
    <row r="666" spans="1:36" ht="18" customHeight="1">
      <c r="A666" s="154"/>
      <c r="B666" s="154"/>
      <c r="C666" s="154"/>
      <c r="D666" s="162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95"/>
      <c r="AH666" s="196"/>
      <c r="AI666" s="197"/>
      <c r="AJ666" s="110"/>
    </row>
    <row r="667" spans="1:36" ht="18" customHeight="1">
      <c r="A667" s="154"/>
      <c r="B667" s="154"/>
      <c r="C667" s="154"/>
      <c r="D667" s="162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95"/>
      <c r="AH667" s="196"/>
      <c r="AI667" s="197"/>
      <c r="AJ667" s="110"/>
    </row>
    <row r="668" spans="1:36" ht="18" customHeight="1">
      <c r="A668" s="154"/>
      <c r="B668" s="154"/>
      <c r="C668" s="154"/>
      <c r="D668" s="162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95"/>
      <c r="AH668" s="196"/>
      <c r="AI668" s="197"/>
      <c r="AJ668" s="110"/>
    </row>
    <row r="669" spans="1:36" ht="18" customHeight="1">
      <c r="A669" s="154"/>
      <c r="B669" s="154"/>
      <c r="C669" s="154"/>
      <c r="D669" s="162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95"/>
      <c r="AH669" s="196"/>
      <c r="AI669" s="197"/>
      <c r="AJ669" s="110"/>
    </row>
    <row r="670" spans="1:36" ht="18" customHeight="1">
      <c r="A670" s="154"/>
      <c r="B670" s="154"/>
      <c r="C670" s="154"/>
      <c r="D670" s="162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95"/>
      <c r="AH670" s="196"/>
      <c r="AI670" s="197"/>
      <c r="AJ670" s="110"/>
    </row>
    <row r="671" spans="1:36" ht="18" customHeight="1">
      <c r="A671" s="154"/>
      <c r="B671" s="154"/>
      <c r="C671" s="154"/>
      <c r="D671" s="162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95"/>
      <c r="AH671" s="196"/>
      <c r="AI671" s="197"/>
      <c r="AJ671" s="110"/>
    </row>
    <row r="672" spans="1:36" ht="18" customHeight="1">
      <c r="A672" s="154"/>
      <c r="B672" s="154"/>
      <c r="C672" s="154"/>
      <c r="D672" s="162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95"/>
      <c r="AH672" s="196"/>
      <c r="AI672" s="197"/>
      <c r="AJ672" s="110"/>
    </row>
    <row r="673" spans="1:36" ht="18" customHeight="1">
      <c r="A673" s="154"/>
      <c r="B673" s="154"/>
      <c r="C673" s="154"/>
      <c r="D673" s="162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95"/>
      <c r="AH673" s="196"/>
      <c r="AI673" s="197"/>
      <c r="AJ673" s="110"/>
    </row>
    <row r="674" spans="1:36" ht="18" customHeight="1">
      <c r="A674" s="154"/>
      <c r="B674" s="154"/>
      <c r="C674" s="154"/>
      <c r="D674" s="162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95"/>
      <c r="AH674" s="196"/>
      <c r="AI674" s="197"/>
      <c r="AJ674" s="110"/>
    </row>
    <row r="675" spans="1:36" ht="18" customHeight="1">
      <c r="A675" s="154"/>
      <c r="B675" s="154"/>
      <c r="C675" s="154"/>
      <c r="D675" s="162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95"/>
      <c r="AH675" s="196"/>
      <c r="AI675" s="197"/>
      <c r="AJ675" s="110"/>
    </row>
    <row r="676" spans="1:36" ht="18" customHeight="1">
      <c r="A676" s="154"/>
      <c r="B676" s="154"/>
      <c r="C676" s="154"/>
      <c r="D676" s="162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95"/>
      <c r="AH676" s="196"/>
      <c r="AI676" s="197"/>
      <c r="AJ676" s="110"/>
    </row>
    <row r="677" spans="1:36" ht="18" customHeight="1">
      <c r="A677" s="154"/>
      <c r="B677" s="154"/>
      <c r="C677" s="154"/>
      <c r="D677" s="162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95"/>
      <c r="AH677" s="196"/>
      <c r="AI677" s="197"/>
      <c r="AJ677" s="110"/>
    </row>
    <row r="678" spans="1:36" ht="18" customHeight="1">
      <c r="A678" s="154"/>
      <c r="B678" s="154"/>
      <c r="C678" s="154"/>
      <c r="D678" s="162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95"/>
      <c r="AH678" s="196"/>
      <c r="AI678" s="197"/>
      <c r="AJ678" s="110"/>
    </row>
    <row r="679" spans="1:36" ht="18" customHeight="1">
      <c r="A679" s="154"/>
      <c r="B679" s="154"/>
      <c r="C679" s="154"/>
      <c r="D679" s="162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95"/>
      <c r="AH679" s="196"/>
      <c r="AI679" s="197"/>
      <c r="AJ679" s="110"/>
    </row>
    <row r="680" spans="1:36" ht="18" customHeight="1">
      <c r="A680" s="154"/>
      <c r="B680" s="154"/>
      <c r="C680" s="154"/>
      <c r="D680" s="162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95"/>
      <c r="AH680" s="196"/>
      <c r="AI680" s="197"/>
      <c r="AJ680" s="110"/>
    </row>
    <row r="681" spans="1:36" ht="18" customHeight="1">
      <c r="A681" s="154"/>
      <c r="B681" s="154"/>
      <c r="C681" s="154"/>
      <c r="D681" s="162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95"/>
      <c r="AH681" s="196"/>
      <c r="AI681" s="197"/>
      <c r="AJ681" s="110"/>
    </row>
    <row r="682" spans="1:36" ht="18" customHeight="1">
      <c r="A682" s="154"/>
      <c r="B682" s="154"/>
      <c r="C682" s="154"/>
      <c r="D682" s="162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95"/>
      <c r="AH682" s="196"/>
      <c r="AI682" s="197"/>
      <c r="AJ682" s="110"/>
    </row>
    <row r="683" spans="1:36" ht="18" customHeight="1">
      <c r="A683" s="154"/>
      <c r="B683" s="154"/>
      <c r="C683" s="154"/>
      <c r="D683" s="162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95"/>
      <c r="AH683" s="196"/>
      <c r="AI683" s="197"/>
      <c r="AJ683" s="110"/>
    </row>
    <row r="684" spans="1:36" ht="18" customHeight="1">
      <c r="A684" s="154"/>
      <c r="B684" s="154"/>
      <c r="C684" s="154"/>
      <c r="D684" s="162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95"/>
      <c r="AH684" s="196"/>
      <c r="AI684" s="197"/>
      <c r="AJ684" s="110"/>
    </row>
    <row r="685" spans="1:36" ht="18" customHeight="1">
      <c r="A685" s="154"/>
      <c r="B685" s="154"/>
      <c r="C685" s="154"/>
      <c r="D685" s="162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95"/>
      <c r="AH685" s="196"/>
      <c r="AI685" s="197"/>
      <c r="AJ685" s="110"/>
    </row>
    <row r="686" spans="1:36" ht="18" customHeight="1">
      <c r="A686" s="154"/>
      <c r="B686" s="154"/>
      <c r="C686" s="154"/>
      <c r="D686" s="162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95"/>
      <c r="AH686" s="196"/>
      <c r="AI686" s="197"/>
      <c r="AJ686" s="110"/>
    </row>
    <row r="687" spans="1:36" ht="18" customHeight="1">
      <c r="A687" s="154"/>
      <c r="B687" s="154"/>
      <c r="C687" s="154"/>
      <c r="D687" s="162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95"/>
      <c r="AH687" s="196"/>
      <c r="AI687" s="197"/>
      <c r="AJ687" s="110"/>
    </row>
    <row r="688" spans="1:36" ht="18" customHeight="1">
      <c r="A688" s="154"/>
      <c r="B688" s="154"/>
      <c r="C688" s="154"/>
      <c r="D688" s="162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95"/>
      <c r="AH688" s="196"/>
      <c r="AI688" s="197"/>
      <c r="AJ688" s="110"/>
    </row>
    <row r="689" spans="1:36" ht="18" customHeight="1">
      <c r="A689" s="154"/>
      <c r="B689" s="154"/>
      <c r="C689" s="154"/>
      <c r="D689" s="162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95"/>
      <c r="AH689" s="196"/>
      <c r="AI689" s="197"/>
      <c r="AJ689" s="110"/>
    </row>
    <row r="690" spans="1:36" ht="18" customHeight="1">
      <c r="A690" s="154"/>
      <c r="B690" s="154"/>
      <c r="C690" s="154"/>
      <c r="D690" s="162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95"/>
      <c r="AH690" s="196"/>
      <c r="AI690" s="197"/>
      <c r="AJ690" s="110"/>
    </row>
    <row r="691" spans="1:36" ht="18" customHeight="1">
      <c r="A691" s="154"/>
      <c r="B691" s="154"/>
      <c r="C691" s="154"/>
      <c r="D691" s="162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95"/>
      <c r="AH691" s="196"/>
      <c r="AI691" s="197"/>
      <c r="AJ691" s="110"/>
    </row>
    <row r="692" spans="1:36" ht="18" customHeight="1">
      <c r="A692" s="154"/>
      <c r="B692" s="154"/>
      <c r="C692" s="154"/>
      <c r="D692" s="162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95"/>
      <c r="AH692" s="196"/>
      <c r="AI692" s="197"/>
      <c r="AJ692" s="110"/>
    </row>
    <row r="693" spans="1:36" ht="18" customHeight="1">
      <c r="A693" s="154"/>
      <c r="B693" s="154"/>
      <c r="C693" s="154"/>
      <c r="D693" s="162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95"/>
      <c r="AH693" s="196"/>
      <c r="AI693" s="197"/>
      <c r="AJ693" s="110"/>
    </row>
    <row r="694" spans="1:36" ht="18" customHeight="1">
      <c r="A694" s="154"/>
      <c r="B694" s="154"/>
      <c r="C694" s="154"/>
      <c r="D694" s="162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95"/>
      <c r="AH694" s="196"/>
      <c r="AI694" s="197"/>
      <c r="AJ694" s="110"/>
    </row>
    <row r="695" spans="1:36" ht="18" customHeight="1">
      <c r="A695" s="154"/>
      <c r="B695" s="154"/>
      <c r="C695" s="154"/>
      <c r="D695" s="162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95"/>
      <c r="AH695" s="196"/>
      <c r="AI695" s="197"/>
      <c r="AJ695" s="110"/>
    </row>
    <row r="696" spans="1:36" ht="18" customHeight="1">
      <c r="A696" s="154"/>
      <c r="B696" s="154"/>
      <c r="C696" s="154"/>
      <c r="D696" s="162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95"/>
      <c r="AH696" s="196"/>
      <c r="AI696" s="197"/>
      <c r="AJ696" s="110"/>
    </row>
    <row r="697" spans="1:36" ht="18" customHeight="1">
      <c r="A697" s="154"/>
      <c r="B697" s="154"/>
      <c r="C697" s="154"/>
      <c r="D697" s="162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95"/>
      <c r="AH697" s="196"/>
      <c r="AI697" s="197"/>
      <c r="AJ697" s="110"/>
    </row>
    <row r="698" spans="1:36" ht="18" customHeight="1">
      <c r="A698" s="154"/>
      <c r="B698" s="154"/>
      <c r="C698" s="154"/>
      <c r="D698" s="162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95"/>
      <c r="AH698" s="196"/>
      <c r="AI698" s="197"/>
      <c r="AJ698" s="110"/>
    </row>
    <row r="699" spans="1:36" ht="18" customHeight="1">
      <c r="A699" s="154"/>
      <c r="B699" s="154"/>
      <c r="C699" s="154"/>
      <c r="D699" s="162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95"/>
      <c r="AH699" s="196"/>
      <c r="AI699" s="197"/>
      <c r="AJ699" s="110"/>
    </row>
    <row r="700" spans="1:36" ht="18" customHeight="1">
      <c r="A700" s="154"/>
      <c r="B700" s="154"/>
      <c r="C700" s="154"/>
      <c r="D700" s="162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95"/>
      <c r="AH700" s="196"/>
      <c r="AI700" s="197"/>
      <c r="AJ700" s="110"/>
    </row>
    <row r="701" spans="1:36" ht="18" customHeight="1">
      <c r="A701" s="154"/>
      <c r="B701" s="154"/>
      <c r="C701" s="154"/>
      <c r="D701" s="162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95"/>
      <c r="AH701" s="196"/>
      <c r="AI701" s="197"/>
      <c r="AJ701" s="110"/>
    </row>
    <row r="702" spans="1:36" ht="18" customHeight="1">
      <c r="A702" s="154"/>
      <c r="B702" s="154"/>
      <c r="C702" s="154"/>
      <c r="D702" s="162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95"/>
      <c r="AH702" s="196"/>
      <c r="AI702" s="197"/>
      <c r="AJ702" s="110"/>
    </row>
    <row r="703" spans="1:36" ht="18" customHeight="1">
      <c r="A703" s="154"/>
      <c r="B703" s="154"/>
      <c r="C703" s="154"/>
      <c r="D703" s="162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95"/>
      <c r="AH703" s="196"/>
      <c r="AI703" s="197"/>
      <c r="AJ703" s="110"/>
    </row>
    <row r="704" spans="1:36" ht="18" customHeight="1">
      <c r="A704" s="154"/>
      <c r="B704" s="154"/>
      <c r="C704" s="154"/>
      <c r="D704" s="162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95"/>
      <c r="AH704" s="196"/>
      <c r="AI704" s="197"/>
      <c r="AJ704" s="110"/>
    </row>
    <row r="705" spans="1:36" ht="18" customHeight="1">
      <c r="A705" s="154"/>
      <c r="B705" s="154"/>
      <c r="C705" s="154"/>
      <c r="D705" s="162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95"/>
      <c r="AH705" s="196"/>
      <c r="AI705" s="197"/>
      <c r="AJ705" s="110"/>
    </row>
    <row r="706" spans="1:36" ht="18" customHeight="1">
      <c r="A706" s="154"/>
      <c r="B706" s="154"/>
      <c r="C706" s="154"/>
      <c r="D706" s="162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95"/>
      <c r="AH706" s="196"/>
      <c r="AI706" s="197"/>
      <c r="AJ706" s="110"/>
    </row>
    <row r="707" spans="1:36" ht="18" customHeight="1">
      <c r="A707" s="154"/>
      <c r="B707" s="154"/>
      <c r="C707" s="154"/>
      <c r="D707" s="162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95"/>
      <c r="AH707" s="196"/>
      <c r="AI707" s="197"/>
      <c r="AJ707" s="110"/>
    </row>
    <row r="708" spans="1:36" ht="18" customHeight="1">
      <c r="A708" s="154"/>
      <c r="B708" s="154"/>
      <c r="C708" s="154"/>
      <c r="D708" s="162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95"/>
      <c r="AH708" s="196"/>
      <c r="AI708" s="197"/>
      <c r="AJ708" s="110"/>
    </row>
    <row r="709" spans="1:36" ht="18" customHeight="1">
      <c r="A709" s="154"/>
      <c r="B709" s="154"/>
      <c r="C709" s="154"/>
      <c r="D709" s="162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95"/>
      <c r="AH709" s="196"/>
      <c r="AI709" s="197"/>
      <c r="AJ709" s="110"/>
    </row>
    <row r="710" spans="1:36" ht="18" customHeight="1">
      <c r="A710" s="154"/>
      <c r="B710" s="154"/>
      <c r="C710" s="154"/>
      <c r="D710" s="162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95"/>
      <c r="AH710" s="196"/>
      <c r="AI710" s="197"/>
      <c r="AJ710" s="110"/>
    </row>
    <row r="711" spans="1:36" ht="18" customHeight="1">
      <c r="A711" s="154"/>
      <c r="B711" s="154"/>
      <c r="C711" s="154"/>
      <c r="D711" s="162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95"/>
      <c r="AH711" s="196"/>
      <c r="AI711" s="197"/>
      <c r="AJ711" s="110"/>
    </row>
    <row r="712" spans="1:36" ht="18" customHeight="1">
      <c r="A712" s="154"/>
      <c r="B712" s="154"/>
      <c r="C712" s="154"/>
      <c r="D712" s="162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95"/>
      <c r="AH712" s="196"/>
      <c r="AI712" s="197"/>
      <c r="AJ712" s="110"/>
    </row>
    <row r="713" spans="1:36" ht="18" customHeight="1">
      <c r="A713" s="154"/>
      <c r="B713" s="154"/>
      <c r="C713" s="154"/>
      <c r="D713" s="162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95"/>
      <c r="AH713" s="196"/>
      <c r="AI713" s="197"/>
      <c r="AJ713" s="110"/>
    </row>
    <row r="714" spans="1:36" ht="18" customHeight="1">
      <c r="A714" s="154"/>
      <c r="B714" s="154"/>
      <c r="C714" s="154"/>
      <c r="D714" s="162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95"/>
      <c r="AH714" s="196"/>
      <c r="AI714" s="197"/>
      <c r="AJ714" s="110"/>
    </row>
    <row r="715" spans="1:36" ht="18" customHeight="1">
      <c r="A715" s="154"/>
      <c r="B715" s="154"/>
      <c r="C715" s="154"/>
      <c r="D715" s="162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95"/>
      <c r="AH715" s="196"/>
      <c r="AI715" s="197"/>
      <c r="AJ715" s="110"/>
    </row>
    <row r="716" spans="1:36" ht="18" customHeight="1">
      <c r="A716" s="154"/>
      <c r="B716" s="154"/>
      <c r="C716" s="154"/>
      <c r="D716" s="162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95"/>
      <c r="AH716" s="196"/>
      <c r="AI716" s="197"/>
      <c r="AJ716" s="110"/>
    </row>
    <row r="717" spans="1:36" ht="18" customHeight="1">
      <c r="A717" s="154"/>
      <c r="B717" s="154"/>
      <c r="C717" s="154"/>
      <c r="D717" s="162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95"/>
      <c r="AH717" s="196"/>
      <c r="AI717" s="197"/>
      <c r="AJ717" s="110"/>
    </row>
    <row r="718" spans="1:36" ht="18" customHeight="1">
      <c r="A718" s="154"/>
      <c r="B718" s="154"/>
      <c r="C718" s="154"/>
      <c r="D718" s="162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95"/>
      <c r="AH718" s="196"/>
      <c r="AI718" s="197"/>
      <c r="AJ718" s="110"/>
    </row>
    <row r="719" spans="1:36" ht="18" customHeight="1">
      <c r="A719" s="154"/>
      <c r="B719" s="154"/>
      <c r="C719" s="154"/>
      <c r="D719" s="162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95"/>
      <c r="AH719" s="196"/>
      <c r="AI719" s="197"/>
      <c r="AJ719" s="110"/>
    </row>
    <row r="720" spans="1:36" ht="18" customHeight="1">
      <c r="A720" s="154"/>
      <c r="B720" s="154"/>
      <c r="C720" s="154"/>
      <c r="D720" s="162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95"/>
      <c r="AH720" s="196"/>
      <c r="AI720" s="197"/>
      <c r="AJ720" s="110"/>
    </row>
    <row r="721" spans="1:36" ht="18" customHeight="1">
      <c r="A721" s="154"/>
      <c r="B721" s="154"/>
      <c r="C721" s="154"/>
      <c r="D721" s="162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95"/>
      <c r="AH721" s="196"/>
      <c r="AI721" s="197"/>
      <c r="AJ721" s="110"/>
    </row>
    <row r="722" spans="1:36" ht="18" customHeight="1">
      <c r="A722" s="154"/>
      <c r="B722" s="154"/>
      <c r="C722" s="154"/>
      <c r="D722" s="162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95"/>
      <c r="AH722" s="196"/>
      <c r="AI722" s="197"/>
      <c r="AJ722" s="110"/>
    </row>
    <row r="723" spans="1:36" ht="18" customHeight="1">
      <c r="A723" s="154"/>
      <c r="B723" s="154"/>
      <c r="C723" s="154"/>
      <c r="D723" s="162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95"/>
      <c r="AH723" s="196"/>
      <c r="AI723" s="197"/>
      <c r="AJ723" s="110"/>
    </row>
    <row r="724" spans="1:36" ht="18" customHeight="1">
      <c r="A724" s="154"/>
      <c r="B724" s="154"/>
      <c r="C724" s="154"/>
      <c r="D724" s="162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95"/>
      <c r="AH724" s="196"/>
      <c r="AI724" s="197"/>
      <c r="AJ724" s="110"/>
    </row>
    <row r="725" spans="1:36" ht="18" customHeight="1">
      <c r="A725" s="154"/>
      <c r="B725" s="154"/>
      <c r="C725" s="154"/>
      <c r="D725" s="162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95"/>
      <c r="AH725" s="196"/>
      <c r="AI725" s="197"/>
      <c r="AJ725" s="110"/>
    </row>
    <row r="726" spans="1:36" ht="18" customHeight="1">
      <c r="A726" s="154"/>
      <c r="B726" s="154"/>
      <c r="C726" s="154"/>
      <c r="D726" s="162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95"/>
      <c r="AH726" s="196"/>
      <c r="AI726" s="197"/>
      <c r="AJ726" s="110"/>
    </row>
    <row r="727" spans="1:36" ht="18" customHeight="1">
      <c r="A727" s="154"/>
      <c r="B727" s="154"/>
      <c r="C727" s="154"/>
      <c r="D727" s="162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95"/>
      <c r="AH727" s="196"/>
      <c r="AI727" s="197"/>
      <c r="AJ727" s="110"/>
    </row>
    <row r="728" spans="1:36" ht="18" customHeight="1">
      <c r="A728" s="154"/>
      <c r="B728" s="154"/>
      <c r="C728" s="154"/>
      <c r="D728" s="162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95"/>
      <c r="AH728" s="196"/>
      <c r="AI728" s="197"/>
      <c r="AJ728" s="110"/>
    </row>
    <row r="729" spans="1:36" ht="18" customHeight="1">
      <c r="A729" s="154"/>
      <c r="B729" s="154"/>
      <c r="C729" s="154"/>
      <c r="D729" s="162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95"/>
      <c r="AH729" s="196"/>
      <c r="AI729" s="197"/>
      <c r="AJ729" s="110"/>
    </row>
    <row r="730" spans="1:36" ht="18" customHeight="1">
      <c r="A730" s="154"/>
      <c r="B730" s="154"/>
      <c r="C730" s="154"/>
      <c r="D730" s="162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95"/>
      <c r="AH730" s="196"/>
      <c r="AI730" s="197"/>
      <c r="AJ730" s="110"/>
    </row>
    <row r="731" spans="1:36" ht="18" customHeight="1">
      <c r="A731" s="154"/>
      <c r="B731" s="154"/>
      <c r="C731" s="154"/>
      <c r="D731" s="162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95"/>
      <c r="AH731" s="196"/>
      <c r="AI731" s="197"/>
      <c r="AJ731" s="110"/>
    </row>
    <row r="732" spans="1:36" ht="18" customHeight="1">
      <c r="A732" s="154"/>
      <c r="B732" s="154"/>
      <c r="C732" s="154"/>
      <c r="D732" s="162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95"/>
      <c r="AH732" s="196"/>
      <c r="AI732" s="197"/>
      <c r="AJ732" s="110"/>
    </row>
    <row r="733" spans="1:36" ht="18" customHeight="1">
      <c r="A733" s="154"/>
      <c r="B733" s="154"/>
      <c r="C733" s="154"/>
      <c r="D733" s="162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95"/>
      <c r="AH733" s="196"/>
      <c r="AI733" s="197"/>
      <c r="AJ733" s="110"/>
    </row>
    <row r="734" spans="1:36" ht="18" customHeight="1">
      <c r="A734" s="154"/>
      <c r="B734" s="154"/>
      <c r="C734" s="154"/>
      <c r="D734" s="162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95"/>
      <c r="AH734" s="196"/>
      <c r="AI734" s="197"/>
      <c r="AJ734" s="110"/>
    </row>
    <row r="735" spans="1:36" ht="18" customHeight="1">
      <c r="A735" s="154"/>
      <c r="B735" s="154"/>
      <c r="C735" s="154"/>
      <c r="D735" s="162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95"/>
      <c r="AH735" s="196"/>
      <c r="AI735" s="197"/>
      <c r="AJ735" s="110"/>
    </row>
    <row r="736" spans="1:36" ht="18" customHeight="1">
      <c r="A736" s="154"/>
      <c r="B736" s="154"/>
      <c r="C736" s="154"/>
      <c r="D736" s="162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95"/>
      <c r="AH736" s="196"/>
      <c r="AI736" s="197"/>
      <c r="AJ736" s="110"/>
    </row>
    <row r="737" spans="1:36" ht="18" customHeight="1">
      <c r="A737" s="154"/>
      <c r="B737" s="154"/>
      <c r="C737" s="154"/>
      <c r="D737" s="162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95"/>
      <c r="AH737" s="196"/>
      <c r="AI737" s="197"/>
      <c r="AJ737" s="110"/>
    </row>
    <row r="738" spans="1:36" ht="18" customHeight="1">
      <c r="A738" s="154"/>
      <c r="B738" s="154"/>
      <c r="C738" s="154"/>
      <c r="D738" s="162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95"/>
      <c r="AH738" s="196"/>
      <c r="AI738" s="197"/>
      <c r="AJ738" s="110"/>
    </row>
    <row r="739" spans="1:36" ht="18" customHeight="1">
      <c r="A739" s="154"/>
      <c r="B739" s="154"/>
      <c r="C739" s="154"/>
      <c r="D739" s="162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95"/>
      <c r="AH739" s="196"/>
      <c r="AI739" s="197"/>
      <c r="AJ739" s="110"/>
    </row>
    <row r="740" spans="1:36" ht="18" customHeight="1">
      <c r="A740" s="154"/>
      <c r="B740" s="154"/>
      <c r="C740" s="154"/>
      <c r="D740" s="162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95"/>
      <c r="AH740" s="196"/>
      <c r="AI740" s="197"/>
      <c r="AJ740" s="110"/>
    </row>
    <row r="741" spans="1:36" ht="18" customHeight="1">
      <c r="A741" s="154"/>
      <c r="B741" s="154"/>
      <c r="C741" s="154"/>
      <c r="D741" s="162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95"/>
      <c r="AH741" s="196"/>
      <c r="AI741" s="197"/>
      <c r="AJ741" s="110"/>
    </row>
    <row r="742" spans="1:36" ht="18" customHeight="1">
      <c r="A742" s="154"/>
      <c r="B742" s="154"/>
      <c r="C742" s="154"/>
      <c r="D742" s="162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95"/>
      <c r="AH742" s="196"/>
      <c r="AI742" s="197"/>
      <c r="AJ742" s="110"/>
    </row>
    <row r="743" spans="1:36" ht="18" customHeight="1">
      <c r="A743" s="154"/>
      <c r="B743" s="154"/>
      <c r="C743" s="154"/>
      <c r="D743" s="162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95"/>
      <c r="AH743" s="196"/>
      <c r="AI743" s="197"/>
      <c r="AJ743" s="110"/>
    </row>
    <row r="744" spans="1:36" ht="18" customHeight="1">
      <c r="A744" s="154"/>
      <c r="B744" s="154"/>
      <c r="C744" s="154"/>
      <c r="D744" s="162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95"/>
      <c r="AH744" s="196"/>
      <c r="AI744" s="197"/>
      <c r="AJ744" s="110"/>
    </row>
    <row r="745" spans="1:36" ht="18" customHeight="1">
      <c r="A745" s="154"/>
      <c r="B745" s="154"/>
      <c r="C745" s="154"/>
      <c r="D745" s="162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95"/>
      <c r="AH745" s="196"/>
      <c r="AI745" s="197"/>
      <c r="AJ745" s="110"/>
    </row>
    <row r="746" spans="1:36" ht="18" customHeight="1">
      <c r="A746" s="154"/>
      <c r="B746" s="154"/>
      <c r="C746" s="154"/>
      <c r="D746" s="162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95"/>
      <c r="AH746" s="196"/>
      <c r="AI746" s="197"/>
      <c r="AJ746" s="110"/>
    </row>
    <row r="747" spans="1:36" ht="18" customHeight="1">
      <c r="A747" s="154"/>
      <c r="B747" s="154"/>
      <c r="C747" s="154"/>
      <c r="D747" s="162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95"/>
      <c r="AH747" s="196"/>
      <c r="AI747" s="197"/>
      <c r="AJ747" s="110"/>
    </row>
    <row r="748" spans="1:36" ht="18" customHeight="1">
      <c r="A748" s="154"/>
      <c r="B748" s="154"/>
      <c r="C748" s="154"/>
      <c r="D748" s="162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95"/>
      <c r="AH748" s="196"/>
      <c r="AI748" s="197"/>
      <c r="AJ748" s="110"/>
    </row>
    <row r="749" spans="1:36" ht="18" customHeight="1">
      <c r="A749" s="154"/>
      <c r="B749" s="154"/>
      <c r="C749" s="154"/>
      <c r="D749" s="162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95"/>
      <c r="AH749" s="196"/>
      <c r="AI749" s="197"/>
      <c r="AJ749" s="110"/>
    </row>
    <row r="750" spans="1:36" ht="18" customHeight="1">
      <c r="A750" s="154"/>
      <c r="B750" s="154"/>
      <c r="C750" s="154"/>
      <c r="D750" s="162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95"/>
      <c r="AH750" s="196"/>
      <c r="AI750" s="197"/>
      <c r="AJ750" s="110"/>
    </row>
    <row r="751" spans="1:36" ht="18" customHeight="1">
      <c r="A751" s="154"/>
      <c r="B751" s="154"/>
      <c r="C751" s="154"/>
      <c r="D751" s="162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95"/>
      <c r="AH751" s="196"/>
      <c r="AI751" s="197"/>
      <c r="AJ751" s="110"/>
    </row>
    <row r="752" spans="1:36" ht="18" customHeight="1">
      <c r="A752" s="154"/>
      <c r="B752" s="154"/>
      <c r="C752" s="154"/>
      <c r="D752" s="162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95"/>
      <c r="AH752" s="196"/>
      <c r="AI752" s="197"/>
      <c r="AJ752" s="110"/>
    </row>
    <row r="753" spans="1:36" ht="18" customHeight="1">
      <c r="A753" s="154"/>
      <c r="B753" s="154"/>
      <c r="C753" s="154"/>
      <c r="D753" s="162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95"/>
      <c r="AH753" s="196"/>
      <c r="AI753" s="197"/>
      <c r="AJ753" s="110"/>
    </row>
    <row r="754" spans="1:36" ht="18" customHeight="1">
      <c r="A754" s="154"/>
      <c r="B754" s="154"/>
      <c r="C754" s="154"/>
      <c r="D754" s="162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95"/>
      <c r="AH754" s="196"/>
      <c r="AI754" s="197"/>
      <c r="AJ754" s="110"/>
    </row>
    <row r="755" spans="1:36" ht="18" customHeight="1">
      <c r="A755" s="154"/>
      <c r="B755" s="154"/>
      <c r="C755" s="154"/>
      <c r="D755" s="162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95"/>
      <c r="AH755" s="196"/>
      <c r="AI755" s="197"/>
      <c r="AJ755" s="110"/>
    </row>
    <row r="756" spans="1:36" ht="18" customHeight="1">
      <c r="A756" s="154"/>
      <c r="B756" s="154"/>
      <c r="C756" s="154"/>
      <c r="D756" s="162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95"/>
      <c r="AH756" s="196"/>
      <c r="AI756" s="197"/>
      <c r="AJ756" s="110"/>
    </row>
    <row r="757" spans="1:36" ht="18" customHeight="1">
      <c r="A757" s="154"/>
      <c r="B757" s="154"/>
      <c r="C757" s="154"/>
      <c r="D757" s="162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95"/>
      <c r="AH757" s="196"/>
      <c r="AI757" s="197"/>
      <c r="AJ757" s="110"/>
    </row>
    <row r="758" spans="1:36" ht="18" customHeight="1">
      <c r="A758" s="154"/>
      <c r="B758" s="154"/>
      <c r="C758" s="154"/>
      <c r="D758" s="162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95"/>
      <c r="AH758" s="196"/>
      <c r="AI758" s="197"/>
      <c r="AJ758" s="110"/>
    </row>
    <row r="759" spans="1:36" ht="18" customHeight="1">
      <c r="A759" s="154"/>
      <c r="B759" s="154"/>
      <c r="C759" s="154"/>
      <c r="D759" s="162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95"/>
      <c r="AH759" s="196"/>
      <c r="AI759" s="197"/>
      <c r="AJ759" s="110"/>
    </row>
    <row r="760" spans="1:36" ht="18" customHeight="1">
      <c r="A760" s="154"/>
      <c r="B760" s="154"/>
      <c r="C760" s="154"/>
      <c r="D760" s="162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95"/>
      <c r="AH760" s="196"/>
      <c r="AI760" s="197"/>
      <c r="AJ760" s="110"/>
    </row>
    <row r="761" spans="1:36" ht="18" customHeight="1">
      <c r="A761" s="154"/>
      <c r="B761" s="154"/>
      <c r="C761" s="154"/>
      <c r="D761" s="162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95"/>
      <c r="AH761" s="196"/>
      <c r="AI761" s="197"/>
      <c r="AJ761" s="110"/>
    </row>
    <row r="762" spans="1:36" ht="18" customHeight="1">
      <c r="A762" s="154"/>
      <c r="B762" s="154"/>
      <c r="C762" s="154"/>
      <c r="D762" s="162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95"/>
      <c r="AH762" s="196"/>
      <c r="AI762" s="197"/>
      <c r="AJ762" s="110"/>
    </row>
    <row r="763" spans="1:36" ht="18" customHeight="1">
      <c r="A763" s="154"/>
      <c r="B763" s="154"/>
      <c r="C763" s="154"/>
      <c r="D763" s="162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95"/>
      <c r="AH763" s="196"/>
      <c r="AI763" s="197"/>
      <c r="AJ763" s="110"/>
    </row>
    <row r="764" spans="1:36" ht="18" customHeight="1">
      <c r="A764" s="154"/>
      <c r="B764" s="154"/>
      <c r="C764" s="154"/>
      <c r="D764" s="162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95"/>
      <c r="AH764" s="196"/>
      <c r="AI764" s="197"/>
      <c r="AJ764" s="110"/>
    </row>
    <row r="765" spans="1:36" ht="18" customHeight="1">
      <c r="A765" s="154"/>
      <c r="B765" s="154"/>
      <c r="C765" s="154"/>
      <c r="D765" s="162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95"/>
      <c r="AH765" s="196"/>
      <c r="AI765" s="197"/>
      <c r="AJ765" s="110"/>
    </row>
    <row r="766" spans="1:36" ht="18" customHeight="1">
      <c r="A766" s="154"/>
      <c r="B766" s="154"/>
      <c r="C766" s="154"/>
      <c r="D766" s="162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95"/>
      <c r="AH766" s="196"/>
      <c r="AI766" s="197"/>
      <c r="AJ766" s="110"/>
    </row>
    <row r="767" spans="1:36" ht="18" customHeight="1">
      <c r="A767" s="154"/>
      <c r="B767" s="154"/>
      <c r="C767" s="154"/>
      <c r="D767" s="162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95"/>
      <c r="AH767" s="196"/>
      <c r="AI767" s="197"/>
      <c r="AJ767" s="110"/>
    </row>
    <row r="768" spans="1:36" ht="18" customHeight="1">
      <c r="A768" s="154"/>
      <c r="B768" s="154"/>
      <c r="C768" s="154"/>
      <c r="D768" s="162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95"/>
      <c r="AH768" s="196"/>
      <c r="AI768" s="197"/>
      <c r="AJ768" s="110"/>
    </row>
    <row r="769" spans="1:36" ht="18" customHeight="1">
      <c r="A769" s="154"/>
      <c r="B769" s="154"/>
      <c r="C769" s="154"/>
      <c r="D769" s="162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95"/>
      <c r="AH769" s="196"/>
      <c r="AI769" s="197"/>
      <c r="AJ769" s="110"/>
    </row>
    <row r="770" spans="1:36" ht="18" customHeight="1">
      <c r="A770" s="154"/>
      <c r="B770" s="154"/>
      <c r="C770" s="154"/>
      <c r="D770" s="162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95"/>
      <c r="AH770" s="196"/>
      <c r="AI770" s="197"/>
      <c r="AJ770" s="110"/>
    </row>
    <row r="771" spans="1:36" ht="18" customHeight="1">
      <c r="A771" s="154"/>
      <c r="B771" s="154"/>
      <c r="C771" s="154"/>
      <c r="D771" s="162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95"/>
      <c r="AH771" s="196"/>
      <c r="AI771" s="197"/>
      <c r="AJ771" s="110"/>
    </row>
    <row r="772" spans="1:36" ht="18" customHeight="1">
      <c r="A772" s="154"/>
      <c r="B772" s="154"/>
      <c r="C772" s="154"/>
      <c r="D772" s="162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95"/>
      <c r="AH772" s="196"/>
      <c r="AI772" s="197"/>
      <c r="AJ772" s="110"/>
    </row>
    <row r="773" spans="1:36" ht="18" customHeight="1">
      <c r="A773" s="154"/>
      <c r="B773" s="154"/>
      <c r="C773" s="154"/>
      <c r="D773" s="162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95"/>
      <c r="AH773" s="196"/>
      <c r="AI773" s="197"/>
      <c r="AJ773" s="110"/>
    </row>
    <row r="774" spans="1:36" ht="18" customHeight="1">
      <c r="A774" s="154"/>
      <c r="B774" s="154"/>
      <c r="C774" s="154"/>
      <c r="D774" s="162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95"/>
      <c r="AH774" s="196"/>
      <c r="AI774" s="197"/>
      <c r="AJ774" s="110"/>
    </row>
    <row r="775" spans="1:36" ht="18" customHeight="1">
      <c r="A775" s="154"/>
      <c r="B775" s="154"/>
      <c r="C775" s="154"/>
      <c r="D775" s="162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95"/>
      <c r="AH775" s="196"/>
      <c r="AI775" s="197"/>
      <c r="AJ775" s="110"/>
    </row>
    <row r="776" spans="1:36" ht="18" customHeight="1">
      <c r="A776" s="154"/>
      <c r="B776" s="154"/>
      <c r="C776" s="154"/>
      <c r="D776" s="162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95"/>
      <c r="AH776" s="196"/>
      <c r="AI776" s="197"/>
      <c r="AJ776" s="110"/>
    </row>
    <row r="777" spans="1:36" ht="18" customHeight="1">
      <c r="A777" s="154"/>
      <c r="B777" s="154"/>
      <c r="C777" s="154"/>
      <c r="D777" s="162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95"/>
      <c r="AH777" s="196"/>
      <c r="AI777" s="197"/>
      <c r="AJ777" s="110"/>
    </row>
    <row r="778" spans="1:36" ht="18" customHeight="1">
      <c r="A778" s="154"/>
      <c r="B778" s="154"/>
      <c r="C778" s="154"/>
      <c r="D778" s="162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95"/>
      <c r="AH778" s="196"/>
      <c r="AI778" s="197"/>
      <c r="AJ778" s="110"/>
    </row>
    <row r="779" spans="1:36" ht="18" customHeight="1">
      <c r="A779" s="154"/>
      <c r="B779" s="154"/>
      <c r="C779" s="154"/>
      <c r="D779" s="162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95"/>
      <c r="AH779" s="196"/>
      <c r="AI779" s="197"/>
      <c r="AJ779" s="110"/>
    </row>
    <row r="780" spans="1:36" ht="18" customHeight="1">
      <c r="A780" s="154"/>
      <c r="B780" s="154"/>
      <c r="C780" s="154"/>
      <c r="D780" s="162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95"/>
      <c r="AH780" s="196"/>
      <c r="AI780" s="197"/>
      <c r="AJ780" s="110"/>
    </row>
    <row r="781" spans="1:36" ht="18" customHeight="1">
      <c r="A781" s="154"/>
      <c r="B781" s="154"/>
      <c r="C781" s="154"/>
      <c r="D781" s="162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95"/>
      <c r="AH781" s="196"/>
      <c r="AI781" s="197"/>
      <c r="AJ781" s="110"/>
    </row>
    <row r="782" spans="1:36" ht="18" customHeight="1">
      <c r="A782" s="154"/>
      <c r="B782" s="154"/>
      <c r="C782" s="154"/>
      <c r="D782" s="162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95"/>
      <c r="AH782" s="196"/>
      <c r="AI782" s="197"/>
      <c r="AJ782" s="110"/>
    </row>
    <row r="783" spans="1:36" ht="18" customHeight="1">
      <c r="A783" s="154"/>
      <c r="B783" s="154"/>
      <c r="C783" s="154"/>
      <c r="D783" s="162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95"/>
      <c r="AH783" s="196"/>
      <c r="AI783" s="197"/>
      <c r="AJ783" s="110"/>
    </row>
    <row r="784" spans="1:36" ht="18" customHeight="1">
      <c r="A784" s="154"/>
      <c r="B784" s="154"/>
      <c r="C784" s="154"/>
      <c r="D784" s="162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95"/>
      <c r="AH784" s="196"/>
      <c r="AI784" s="197"/>
      <c r="AJ784" s="110"/>
    </row>
    <row r="785" spans="1:36" ht="18" customHeight="1">
      <c r="A785" s="154"/>
      <c r="B785" s="154"/>
      <c r="C785" s="154"/>
      <c r="D785" s="162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95"/>
      <c r="AH785" s="196"/>
      <c r="AI785" s="197"/>
      <c r="AJ785" s="110"/>
    </row>
    <row r="786" spans="1:36" ht="18" customHeight="1">
      <c r="A786" s="154"/>
      <c r="B786" s="154"/>
      <c r="C786" s="154"/>
      <c r="D786" s="162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95"/>
      <c r="AH786" s="196"/>
      <c r="AI786" s="197"/>
      <c r="AJ786" s="110"/>
    </row>
    <row r="787" spans="1:36" ht="18" customHeight="1">
      <c r="A787" s="154"/>
      <c r="B787" s="154"/>
      <c r="C787" s="154"/>
      <c r="D787" s="162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95"/>
      <c r="AH787" s="196"/>
      <c r="AI787" s="197"/>
      <c r="AJ787" s="110"/>
    </row>
    <row r="788" spans="1:36" ht="18" customHeight="1">
      <c r="A788" s="154"/>
      <c r="B788" s="154"/>
      <c r="C788" s="154"/>
      <c r="D788" s="162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95"/>
      <c r="AH788" s="196"/>
      <c r="AI788" s="197"/>
      <c r="AJ788" s="110"/>
    </row>
    <row r="789" spans="1:36" ht="18" customHeight="1">
      <c r="A789" s="154"/>
      <c r="B789" s="154"/>
      <c r="C789" s="154"/>
      <c r="D789" s="162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95"/>
      <c r="AH789" s="196"/>
      <c r="AI789" s="197"/>
      <c r="AJ789" s="110"/>
    </row>
    <row r="790" spans="1:36" ht="18" customHeight="1">
      <c r="A790" s="154"/>
      <c r="B790" s="154"/>
      <c r="C790" s="154"/>
      <c r="D790" s="162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95"/>
      <c r="AH790" s="196"/>
      <c r="AI790" s="197"/>
      <c r="AJ790" s="110"/>
    </row>
    <row r="791" spans="1:36" ht="18" customHeight="1">
      <c r="A791" s="154"/>
      <c r="B791" s="154"/>
      <c r="C791" s="154"/>
      <c r="D791" s="162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95"/>
      <c r="AH791" s="196"/>
      <c r="AI791" s="197"/>
      <c r="AJ791" s="110"/>
    </row>
    <row r="792" spans="1:36" ht="18" customHeight="1">
      <c r="A792" s="154"/>
      <c r="B792" s="154"/>
      <c r="C792" s="154"/>
      <c r="D792" s="162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95"/>
      <c r="AH792" s="196"/>
      <c r="AI792" s="197"/>
      <c r="AJ792" s="110"/>
    </row>
    <row r="793" spans="1:36" ht="18" customHeight="1">
      <c r="A793" s="154"/>
      <c r="B793" s="154"/>
      <c r="C793" s="154"/>
      <c r="D793" s="162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95"/>
      <c r="AH793" s="196"/>
      <c r="AI793" s="197"/>
      <c r="AJ793" s="110"/>
    </row>
    <row r="794" spans="1:36" ht="18" customHeight="1">
      <c r="A794" s="154"/>
      <c r="B794" s="154"/>
      <c r="C794" s="154"/>
      <c r="D794" s="162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95"/>
      <c r="AH794" s="196"/>
      <c r="AI794" s="197"/>
      <c r="AJ794" s="110"/>
    </row>
    <row r="795" spans="1:36" ht="18" customHeight="1">
      <c r="A795" s="154"/>
      <c r="B795" s="154"/>
      <c r="C795" s="154"/>
      <c r="D795" s="162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95"/>
      <c r="AH795" s="196"/>
      <c r="AI795" s="197"/>
      <c r="AJ795" s="110"/>
    </row>
    <row r="796" spans="1:36" ht="18" customHeight="1">
      <c r="A796" s="154"/>
      <c r="B796" s="154"/>
      <c r="C796" s="154"/>
      <c r="D796" s="162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95"/>
      <c r="AH796" s="196"/>
      <c r="AI796" s="197"/>
      <c r="AJ796" s="110"/>
    </row>
    <row r="797" spans="1:36" ht="18" customHeight="1">
      <c r="A797" s="154"/>
      <c r="B797" s="154"/>
      <c r="C797" s="154"/>
      <c r="D797" s="162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95"/>
      <c r="AH797" s="196"/>
      <c r="AI797" s="197"/>
      <c r="AJ797" s="110"/>
    </row>
    <row r="798" spans="1:36" ht="18" customHeight="1">
      <c r="A798" s="154"/>
      <c r="B798" s="154"/>
      <c r="C798" s="154"/>
      <c r="D798" s="162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95"/>
      <c r="AH798" s="196"/>
      <c r="AI798" s="197"/>
      <c r="AJ798" s="110"/>
    </row>
    <row r="799" spans="1:36" ht="18" customHeight="1">
      <c r="A799" s="154"/>
      <c r="B799" s="154"/>
      <c r="C799" s="154"/>
      <c r="D799" s="162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95"/>
      <c r="AH799" s="196"/>
      <c r="AI799" s="197"/>
      <c r="AJ799" s="110"/>
    </row>
    <row r="800" spans="1:36" ht="18" customHeight="1">
      <c r="A800" s="154"/>
      <c r="B800" s="154"/>
      <c r="C800" s="154"/>
      <c r="D800" s="162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95"/>
      <c r="AH800" s="196"/>
      <c r="AI800" s="197"/>
      <c r="AJ800" s="110"/>
    </row>
    <row r="801" spans="1:36" ht="18" customHeight="1">
      <c r="A801" s="154"/>
      <c r="B801" s="154"/>
      <c r="C801" s="154"/>
      <c r="D801" s="162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95"/>
      <c r="AH801" s="196"/>
      <c r="AI801" s="197"/>
      <c r="AJ801" s="110"/>
    </row>
    <row r="802" spans="1:36" ht="18" customHeight="1">
      <c r="A802" s="154"/>
      <c r="B802" s="154"/>
      <c r="C802" s="154"/>
      <c r="D802" s="162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95"/>
      <c r="AH802" s="196"/>
      <c r="AI802" s="197"/>
      <c r="AJ802" s="110"/>
    </row>
    <row r="803" spans="1:36" ht="18" customHeight="1">
      <c r="A803" s="154"/>
      <c r="B803" s="154"/>
      <c r="C803" s="154"/>
      <c r="D803" s="162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95"/>
      <c r="AH803" s="196"/>
      <c r="AI803" s="197"/>
      <c r="AJ803" s="110"/>
    </row>
    <row r="804" spans="1:36" ht="18" customHeight="1">
      <c r="A804" s="154"/>
      <c r="B804" s="154"/>
      <c r="C804" s="154"/>
      <c r="D804" s="162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95"/>
      <c r="AH804" s="196"/>
      <c r="AI804" s="197"/>
      <c r="AJ804" s="110"/>
    </row>
    <row r="805" spans="1:36" ht="18" customHeight="1">
      <c r="A805" s="154"/>
      <c r="B805" s="154"/>
      <c r="C805" s="154"/>
      <c r="D805" s="162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95"/>
      <c r="AH805" s="196"/>
      <c r="AI805" s="197"/>
      <c r="AJ805" s="110"/>
    </row>
    <row r="806" spans="1:36" ht="18" customHeight="1">
      <c r="A806" s="154"/>
      <c r="B806" s="154"/>
      <c r="C806" s="154"/>
      <c r="D806" s="162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95"/>
      <c r="AH806" s="196"/>
      <c r="AI806" s="197"/>
      <c r="AJ806" s="110"/>
    </row>
    <row r="807" spans="1:36" ht="18" customHeight="1">
      <c r="A807" s="154"/>
      <c r="B807" s="154"/>
      <c r="C807" s="154"/>
      <c r="D807" s="162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95"/>
      <c r="AH807" s="196"/>
      <c r="AI807" s="197"/>
      <c r="AJ807" s="110"/>
    </row>
    <row r="808" spans="1:36" ht="18" customHeight="1">
      <c r="A808" s="154"/>
      <c r="B808" s="154"/>
      <c r="C808" s="154"/>
      <c r="D808" s="162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95"/>
      <c r="AH808" s="196"/>
      <c r="AI808" s="197"/>
      <c r="AJ808" s="110"/>
    </row>
    <row r="809" spans="1:36" ht="18" customHeight="1">
      <c r="A809" s="154"/>
      <c r="B809" s="154"/>
      <c r="C809" s="154"/>
      <c r="D809" s="162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95"/>
      <c r="AH809" s="196"/>
      <c r="AI809" s="197"/>
      <c r="AJ809" s="110"/>
    </row>
    <row r="810" spans="1:36" ht="18" customHeight="1">
      <c r="A810" s="154"/>
      <c r="B810" s="154"/>
      <c r="C810" s="154"/>
      <c r="D810" s="162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95"/>
      <c r="AH810" s="196"/>
      <c r="AI810" s="197"/>
      <c r="AJ810" s="110"/>
    </row>
    <row r="811" spans="1:36" ht="18" customHeight="1">
      <c r="A811" s="154"/>
      <c r="B811" s="154"/>
      <c r="C811" s="154"/>
      <c r="D811" s="162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95"/>
      <c r="AH811" s="196"/>
      <c r="AI811" s="197"/>
      <c r="AJ811" s="110"/>
    </row>
    <row r="812" spans="1:36" ht="18" customHeight="1">
      <c r="A812" s="154"/>
      <c r="B812" s="154"/>
      <c r="C812" s="154"/>
      <c r="D812" s="162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95"/>
      <c r="AH812" s="196"/>
      <c r="AI812" s="197"/>
      <c r="AJ812" s="110"/>
    </row>
    <row r="813" spans="1:36" ht="18" customHeight="1">
      <c r="A813" s="154"/>
      <c r="B813" s="154"/>
      <c r="C813" s="154"/>
      <c r="D813" s="162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95"/>
      <c r="AH813" s="196"/>
      <c r="AI813" s="197"/>
      <c r="AJ813" s="110"/>
    </row>
    <row r="814" spans="1:36" ht="18" customHeight="1">
      <c r="A814" s="154"/>
      <c r="B814" s="154"/>
      <c r="C814" s="154"/>
      <c r="D814" s="162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95"/>
      <c r="AH814" s="196"/>
      <c r="AI814" s="197"/>
      <c r="AJ814" s="110"/>
    </row>
    <row r="815" spans="1:36" ht="18" customHeight="1">
      <c r="A815" s="154"/>
      <c r="B815" s="154"/>
      <c r="C815" s="154"/>
      <c r="D815" s="162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95"/>
      <c r="AH815" s="196"/>
      <c r="AI815" s="197"/>
      <c r="AJ815" s="110"/>
    </row>
    <row r="816" spans="1:36" ht="18" customHeight="1">
      <c r="A816" s="154"/>
      <c r="B816" s="154"/>
      <c r="C816" s="154"/>
      <c r="D816" s="162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95"/>
      <c r="AH816" s="196"/>
      <c r="AI816" s="197"/>
      <c r="AJ816" s="110"/>
    </row>
    <row r="817" spans="1:36" ht="18" customHeight="1">
      <c r="A817" s="154"/>
      <c r="B817" s="154"/>
      <c r="C817" s="154"/>
      <c r="D817" s="162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95"/>
      <c r="AH817" s="196"/>
      <c r="AI817" s="197"/>
      <c r="AJ817" s="110"/>
    </row>
    <row r="818" spans="1:36" ht="18" customHeight="1">
      <c r="A818" s="154"/>
      <c r="B818" s="154"/>
      <c r="C818" s="154"/>
      <c r="D818" s="162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95"/>
      <c r="AH818" s="196"/>
      <c r="AI818" s="197"/>
      <c r="AJ818" s="110"/>
    </row>
    <row r="819" spans="1:36" ht="18" customHeight="1">
      <c r="A819" s="154"/>
      <c r="B819" s="154"/>
      <c r="C819" s="154"/>
      <c r="D819" s="162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95"/>
      <c r="AH819" s="196"/>
      <c r="AI819" s="197"/>
      <c r="AJ819" s="110"/>
    </row>
    <row r="820" spans="1:36" ht="18" customHeight="1">
      <c r="A820" s="154"/>
      <c r="B820" s="154"/>
      <c r="C820" s="154"/>
      <c r="D820" s="162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95"/>
      <c r="AH820" s="196"/>
      <c r="AI820" s="197"/>
      <c r="AJ820" s="110"/>
    </row>
    <row r="821" spans="1:36" ht="18" customHeight="1">
      <c r="A821" s="154"/>
      <c r="B821" s="154"/>
      <c r="C821" s="154"/>
      <c r="D821" s="162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95"/>
      <c r="AH821" s="196"/>
      <c r="AI821" s="197"/>
      <c r="AJ821" s="110"/>
    </row>
    <row r="822" spans="1:36" ht="18" customHeight="1">
      <c r="A822" s="154"/>
      <c r="B822" s="154"/>
      <c r="C822" s="154"/>
      <c r="D822" s="162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95"/>
      <c r="AH822" s="196"/>
      <c r="AI822" s="197"/>
      <c r="AJ822" s="110"/>
    </row>
    <row r="823" spans="1:36" ht="18" customHeight="1">
      <c r="A823" s="154"/>
      <c r="B823" s="154"/>
      <c r="C823" s="154"/>
      <c r="D823" s="162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95"/>
      <c r="AH823" s="196"/>
      <c r="AI823" s="197"/>
      <c r="AJ823" s="110"/>
    </row>
    <row r="824" spans="1:36" ht="18" customHeight="1">
      <c r="A824" s="154"/>
      <c r="B824" s="154"/>
      <c r="C824" s="154"/>
      <c r="D824" s="162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95"/>
      <c r="AH824" s="196"/>
      <c r="AI824" s="197"/>
      <c r="AJ824" s="110"/>
    </row>
    <row r="825" spans="1:36" ht="18" customHeight="1">
      <c r="A825" s="154"/>
      <c r="B825" s="154"/>
      <c r="C825" s="154"/>
      <c r="D825" s="162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95"/>
      <c r="AH825" s="196"/>
      <c r="AI825" s="197"/>
      <c r="AJ825" s="110"/>
    </row>
    <row r="826" spans="1:36" ht="18" customHeight="1">
      <c r="A826" s="154"/>
      <c r="B826" s="154"/>
      <c r="C826" s="154"/>
      <c r="D826" s="162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95"/>
      <c r="AH826" s="196"/>
      <c r="AI826" s="197"/>
      <c r="AJ826" s="110"/>
    </row>
    <row r="827" spans="1:36" ht="18" customHeight="1">
      <c r="A827" s="154"/>
      <c r="B827" s="154"/>
      <c r="C827" s="154"/>
      <c r="D827" s="162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95"/>
      <c r="AH827" s="196"/>
      <c r="AI827" s="197"/>
      <c r="AJ827" s="110"/>
    </row>
    <row r="828" spans="1:36" ht="18" customHeight="1">
      <c r="A828" s="154"/>
      <c r="B828" s="154"/>
      <c r="C828" s="154"/>
      <c r="D828" s="162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95"/>
      <c r="AH828" s="196"/>
      <c r="AI828" s="197"/>
      <c r="AJ828" s="110"/>
    </row>
    <row r="829" spans="1:36" ht="18" customHeight="1">
      <c r="A829" s="154"/>
      <c r="B829" s="154"/>
      <c r="C829" s="154"/>
      <c r="D829" s="162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95"/>
      <c r="AH829" s="196"/>
      <c r="AI829" s="197"/>
      <c r="AJ829" s="110"/>
    </row>
    <row r="830" spans="1:36" ht="18" customHeight="1">
      <c r="A830" s="154"/>
      <c r="B830" s="154"/>
      <c r="C830" s="154"/>
      <c r="D830" s="162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95"/>
      <c r="AH830" s="196"/>
      <c r="AI830" s="197"/>
      <c r="AJ830" s="110"/>
    </row>
    <row r="831" spans="1:36" ht="18" customHeight="1">
      <c r="A831" s="154"/>
      <c r="B831" s="154"/>
      <c r="C831" s="154"/>
      <c r="D831" s="162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95"/>
      <c r="AH831" s="196"/>
      <c r="AI831" s="197"/>
      <c r="AJ831" s="110"/>
    </row>
    <row r="832" spans="1:36" ht="18" customHeight="1">
      <c r="A832" s="154"/>
      <c r="B832" s="154"/>
      <c r="C832" s="154"/>
      <c r="D832" s="162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95"/>
      <c r="AH832" s="196"/>
      <c r="AI832" s="197"/>
      <c r="AJ832" s="110"/>
    </row>
    <row r="833" spans="1:36" ht="18" customHeight="1">
      <c r="A833" s="154"/>
      <c r="B833" s="154"/>
      <c r="C833" s="154"/>
      <c r="D833" s="162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95"/>
      <c r="AH833" s="196"/>
      <c r="AI833" s="197"/>
      <c r="AJ833" s="110"/>
    </row>
    <row r="834" spans="1:36" ht="18" customHeight="1">
      <c r="A834" s="154"/>
      <c r="B834" s="154"/>
      <c r="C834" s="154"/>
      <c r="D834" s="162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95"/>
      <c r="AH834" s="196"/>
      <c r="AI834" s="197"/>
      <c r="AJ834" s="110"/>
    </row>
    <row r="835" spans="1:36" ht="18" customHeight="1">
      <c r="A835" s="154"/>
      <c r="B835" s="154"/>
      <c r="C835" s="154"/>
      <c r="D835" s="162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95"/>
      <c r="AH835" s="196"/>
      <c r="AI835" s="197"/>
      <c r="AJ835" s="110"/>
    </row>
    <row r="836" spans="1:36" ht="18" customHeight="1">
      <c r="A836" s="154"/>
      <c r="B836" s="154"/>
      <c r="C836" s="154"/>
      <c r="D836" s="162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95"/>
      <c r="AH836" s="196"/>
      <c r="AI836" s="197"/>
      <c r="AJ836" s="110"/>
    </row>
    <row r="837" spans="1:36" ht="18" customHeight="1">
      <c r="A837" s="154"/>
      <c r="B837" s="154"/>
      <c r="C837" s="154"/>
      <c r="D837" s="162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95"/>
      <c r="AH837" s="196"/>
      <c r="AI837" s="197"/>
      <c r="AJ837" s="110"/>
    </row>
    <row r="838" spans="1:36" ht="18" customHeight="1">
      <c r="A838" s="154"/>
      <c r="B838" s="154"/>
      <c r="C838" s="154"/>
      <c r="D838" s="162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95"/>
      <c r="AH838" s="196"/>
      <c r="AI838" s="197"/>
      <c r="AJ838" s="110"/>
    </row>
    <row r="839" spans="1:36" ht="18" customHeight="1">
      <c r="A839" s="154"/>
      <c r="B839" s="154"/>
      <c r="C839" s="154"/>
      <c r="D839" s="162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95"/>
      <c r="AH839" s="196"/>
      <c r="AI839" s="197"/>
      <c r="AJ839" s="110"/>
    </row>
    <row r="840" spans="1:36" ht="18" customHeight="1">
      <c r="A840" s="154"/>
      <c r="B840" s="154"/>
      <c r="C840" s="154"/>
      <c r="D840" s="162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95"/>
      <c r="AH840" s="196"/>
      <c r="AI840" s="197"/>
      <c r="AJ840" s="110"/>
    </row>
    <row r="841" spans="1:36" ht="18" customHeight="1">
      <c r="A841" s="154"/>
      <c r="B841" s="154"/>
      <c r="C841" s="154"/>
      <c r="D841" s="162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95"/>
      <c r="AH841" s="196"/>
      <c r="AI841" s="197"/>
      <c r="AJ841" s="110"/>
    </row>
    <row r="842" spans="1:36" ht="18" customHeight="1">
      <c r="A842" s="154"/>
      <c r="B842" s="154"/>
      <c r="C842" s="154"/>
      <c r="D842" s="162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95"/>
      <c r="AH842" s="196"/>
      <c r="AI842" s="197"/>
      <c r="AJ842" s="110"/>
    </row>
    <row r="843" spans="1:36" ht="18" customHeight="1">
      <c r="A843" s="154"/>
      <c r="B843" s="154"/>
      <c r="C843" s="154"/>
      <c r="D843" s="162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95"/>
      <c r="AH843" s="196"/>
      <c r="AI843" s="197"/>
      <c r="AJ843" s="110"/>
    </row>
    <row r="844" spans="1:36" ht="18" customHeight="1">
      <c r="A844" s="154"/>
      <c r="B844" s="154"/>
      <c r="C844" s="154"/>
      <c r="D844" s="162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95"/>
      <c r="AH844" s="196"/>
      <c r="AI844" s="197"/>
      <c r="AJ844" s="110"/>
    </row>
    <row r="845" spans="1:36" ht="18" customHeight="1">
      <c r="A845" s="154"/>
      <c r="B845" s="154"/>
      <c r="C845" s="154"/>
      <c r="D845" s="162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95"/>
      <c r="AH845" s="196"/>
      <c r="AI845" s="197"/>
      <c r="AJ845" s="110"/>
    </row>
    <row r="846" spans="1:36" ht="18" customHeight="1">
      <c r="A846" s="154"/>
      <c r="B846" s="154"/>
      <c r="C846" s="154"/>
      <c r="D846" s="162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95"/>
      <c r="AH846" s="196"/>
      <c r="AI846" s="197"/>
      <c r="AJ846" s="110"/>
    </row>
    <row r="847" spans="1:36" ht="18" customHeight="1">
      <c r="A847" s="154"/>
      <c r="B847" s="154"/>
      <c r="C847" s="154"/>
      <c r="D847" s="162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95"/>
      <c r="AH847" s="196"/>
      <c r="AI847" s="197"/>
      <c r="AJ847" s="110"/>
    </row>
    <row r="848" spans="1:36" ht="18" customHeight="1">
      <c r="A848" s="154"/>
      <c r="B848" s="154"/>
      <c r="C848" s="154"/>
      <c r="D848" s="162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95"/>
      <c r="AH848" s="196"/>
      <c r="AI848" s="197"/>
      <c r="AJ848" s="110"/>
    </row>
    <row r="849" spans="1:36" ht="18" customHeight="1">
      <c r="A849" s="154"/>
      <c r="B849" s="154"/>
      <c r="C849" s="154"/>
      <c r="D849" s="162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95"/>
      <c r="AH849" s="196"/>
      <c r="AI849" s="197"/>
      <c r="AJ849" s="110"/>
    </row>
    <row r="850" spans="1:36" ht="18" customHeight="1">
      <c r="A850" s="154"/>
      <c r="B850" s="154"/>
      <c r="C850" s="154"/>
      <c r="D850" s="162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95"/>
      <c r="AH850" s="196"/>
      <c r="AI850" s="197"/>
      <c r="AJ850" s="110"/>
    </row>
    <row r="851" spans="1:36" ht="18" customHeight="1">
      <c r="A851" s="154"/>
      <c r="B851" s="154"/>
      <c r="C851" s="154"/>
      <c r="D851" s="162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95"/>
      <c r="AH851" s="196"/>
      <c r="AI851" s="197"/>
      <c r="AJ851" s="110"/>
    </row>
    <row r="852" spans="1:36" ht="18" customHeight="1">
      <c r="A852" s="154"/>
      <c r="B852" s="154"/>
      <c r="C852" s="154"/>
      <c r="D852" s="162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95"/>
      <c r="AH852" s="196"/>
      <c r="AI852" s="197"/>
      <c r="AJ852" s="110"/>
    </row>
    <row r="853" spans="1:36" ht="18" customHeight="1">
      <c r="A853" s="154"/>
      <c r="B853" s="154"/>
      <c r="C853" s="154"/>
      <c r="D853" s="162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95"/>
      <c r="AH853" s="196"/>
      <c r="AI853" s="197"/>
      <c r="AJ853" s="110"/>
    </row>
    <row r="854" spans="1:36" ht="18" customHeight="1">
      <c r="A854" s="154"/>
      <c r="B854" s="154"/>
      <c r="C854" s="154"/>
      <c r="D854" s="162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95"/>
      <c r="AH854" s="196"/>
      <c r="AI854" s="197"/>
      <c r="AJ854" s="110"/>
    </row>
    <row r="855" spans="1:36" ht="18" customHeight="1">
      <c r="A855" s="154"/>
      <c r="B855" s="154"/>
      <c r="C855" s="154"/>
      <c r="D855" s="162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95"/>
      <c r="AH855" s="196"/>
      <c r="AI855" s="197"/>
      <c r="AJ855" s="110"/>
    </row>
    <row r="856" spans="1:36" ht="18" customHeight="1">
      <c r="A856" s="154"/>
      <c r="B856" s="154"/>
      <c r="C856" s="154"/>
      <c r="D856" s="162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95"/>
      <c r="AH856" s="196"/>
      <c r="AI856" s="197"/>
      <c r="AJ856" s="110"/>
    </row>
    <row r="857" spans="1:36" ht="18" customHeight="1">
      <c r="A857" s="154"/>
      <c r="B857" s="154"/>
      <c r="C857" s="154"/>
      <c r="D857" s="162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95"/>
      <c r="AH857" s="196"/>
      <c r="AI857" s="197"/>
      <c r="AJ857" s="110"/>
    </row>
    <row r="858" spans="1:36" ht="18" customHeight="1">
      <c r="A858" s="154"/>
      <c r="B858" s="154"/>
      <c r="C858" s="154"/>
      <c r="D858" s="162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95"/>
      <c r="AH858" s="196"/>
      <c r="AI858" s="197"/>
      <c r="AJ858" s="110"/>
    </row>
    <row r="859" spans="1:36" ht="18" customHeight="1">
      <c r="A859" s="154"/>
      <c r="B859" s="154"/>
      <c r="C859" s="154"/>
      <c r="D859" s="162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95"/>
      <c r="AH859" s="196"/>
      <c r="AI859" s="197"/>
      <c r="AJ859" s="110"/>
    </row>
    <row r="860" spans="1:36" ht="18" customHeight="1">
      <c r="A860" s="154"/>
      <c r="B860" s="154"/>
      <c r="C860" s="154"/>
      <c r="D860" s="162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95"/>
      <c r="AH860" s="196"/>
      <c r="AI860" s="197"/>
      <c r="AJ860" s="110"/>
    </row>
    <row r="861" spans="1:36" ht="18" customHeight="1">
      <c r="A861" s="154"/>
      <c r="B861" s="154"/>
      <c r="C861" s="154"/>
      <c r="D861" s="162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95"/>
      <c r="AH861" s="196"/>
      <c r="AI861" s="197"/>
      <c r="AJ861" s="110"/>
    </row>
    <row r="862" spans="1:36" ht="18" customHeight="1">
      <c r="A862" s="154"/>
      <c r="B862" s="154"/>
      <c r="C862" s="154"/>
      <c r="D862" s="162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95"/>
      <c r="AH862" s="196"/>
      <c r="AI862" s="197"/>
      <c r="AJ862" s="110"/>
    </row>
    <row r="863" spans="1:36" ht="18" customHeight="1">
      <c r="A863" s="154"/>
      <c r="B863" s="154"/>
      <c r="C863" s="154"/>
      <c r="D863" s="162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95"/>
      <c r="AH863" s="196"/>
      <c r="AI863" s="197"/>
      <c r="AJ863" s="110"/>
    </row>
    <row r="864" spans="1:36" ht="18" customHeight="1">
      <c r="A864" s="154"/>
      <c r="B864" s="154"/>
      <c r="C864" s="154"/>
      <c r="D864" s="162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95"/>
      <c r="AH864" s="196"/>
      <c r="AI864" s="197"/>
      <c r="AJ864" s="110"/>
    </row>
    <row r="865" spans="1:36" ht="18" customHeight="1">
      <c r="A865" s="154"/>
      <c r="B865" s="154"/>
      <c r="C865" s="154"/>
      <c r="D865" s="162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95"/>
      <c r="AH865" s="196"/>
      <c r="AI865" s="197"/>
      <c r="AJ865" s="110"/>
    </row>
    <row r="866" spans="1:36" ht="18" customHeight="1">
      <c r="A866" s="154"/>
      <c r="B866" s="154"/>
      <c r="C866" s="154"/>
      <c r="D866" s="162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95"/>
      <c r="AH866" s="196"/>
      <c r="AI866" s="197"/>
      <c r="AJ866" s="110"/>
    </row>
    <row r="867" spans="1:36" ht="18" customHeight="1">
      <c r="A867" s="154"/>
      <c r="B867" s="154"/>
      <c r="C867" s="154"/>
      <c r="D867" s="162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95"/>
      <c r="AH867" s="196"/>
      <c r="AI867" s="197"/>
      <c r="AJ867" s="110"/>
    </row>
    <row r="868" spans="1:36" ht="18" customHeight="1">
      <c r="A868" s="154"/>
      <c r="B868" s="154"/>
      <c r="C868" s="154"/>
      <c r="D868" s="162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95"/>
      <c r="AH868" s="196"/>
      <c r="AI868" s="197"/>
      <c r="AJ868" s="110"/>
    </row>
    <row r="869" spans="1:36" ht="18" customHeight="1">
      <c r="A869" s="154"/>
      <c r="B869" s="154"/>
      <c r="C869" s="154"/>
      <c r="D869" s="162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95"/>
      <c r="AH869" s="196"/>
      <c r="AI869" s="197"/>
      <c r="AJ869" s="110"/>
    </row>
    <row r="870" spans="1:36" ht="18" customHeight="1">
      <c r="A870" s="154"/>
      <c r="B870" s="154"/>
      <c r="C870" s="154"/>
      <c r="D870" s="162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95"/>
      <c r="AH870" s="196"/>
      <c r="AI870" s="197"/>
      <c r="AJ870" s="110"/>
    </row>
    <row r="871" spans="1:36" ht="18" customHeight="1">
      <c r="A871" s="154"/>
      <c r="B871" s="154"/>
      <c r="C871" s="154"/>
      <c r="D871" s="162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95"/>
      <c r="AH871" s="196"/>
      <c r="AI871" s="197"/>
      <c r="AJ871" s="110"/>
    </row>
    <row r="872" spans="1:36" ht="18" customHeight="1">
      <c r="A872" s="154"/>
      <c r="B872" s="154"/>
      <c r="C872" s="154"/>
      <c r="D872" s="162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95"/>
      <c r="AH872" s="196"/>
      <c r="AI872" s="197"/>
      <c r="AJ872" s="110"/>
    </row>
    <row r="873" spans="1:36" ht="18" customHeight="1">
      <c r="A873" s="154"/>
      <c r="B873" s="154"/>
      <c r="C873" s="154"/>
      <c r="D873" s="162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95"/>
      <c r="AH873" s="196"/>
      <c r="AI873" s="197"/>
      <c r="AJ873" s="110"/>
    </row>
    <row r="874" spans="1:36" ht="18" customHeight="1">
      <c r="A874" s="154"/>
      <c r="B874" s="154"/>
      <c r="C874" s="154"/>
      <c r="D874" s="162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95"/>
      <c r="AH874" s="196"/>
      <c r="AI874" s="197"/>
      <c r="AJ874" s="110"/>
    </row>
    <row r="875" spans="1:36" ht="18" customHeight="1">
      <c r="A875" s="154"/>
      <c r="B875" s="154"/>
      <c r="C875" s="154"/>
      <c r="D875" s="162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95"/>
      <c r="AH875" s="196"/>
      <c r="AI875" s="197"/>
      <c r="AJ875" s="110"/>
    </row>
    <row r="876" spans="1:36" ht="18" customHeight="1">
      <c r="A876" s="154"/>
      <c r="B876" s="154"/>
      <c r="C876" s="154"/>
      <c r="D876" s="162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95"/>
      <c r="AH876" s="196"/>
      <c r="AI876" s="197"/>
      <c r="AJ876" s="110"/>
    </row>
    <row r="877" spans="1:36" ht="18" customHeight="1">
      <c r="A877" s="154"/>
      <c r="B877" s="154"/>
      <c r="C877" s="154"/>
      <c r="D877" s="162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95"/>
      <c r="AH877" s="196"/>
      <c r="AI877" s="197"/>
      <c r="AJ877" s="110"/>
    </row>
    <row r="878" spans="1:36" ht="18" customHeight="1">
      <c r="A878" s="154"/>
      <c r="B878" s="154"/>
      <c r="C878" s="154"/>
      <c r="D878" s="162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95"/>
      <c r="AH878" s="196"/>
      <c r="AI878" s="197"/>
      <c r="AJ878" s="110"/>
    </row>
    <row r="879" spans="1:36" ht="18" customHeight="1">
      <c r="A879" s="154"/>
      <c r="B879" s="154"/>
      <c r="C879" s="154"/>
      <c r="D879" s="162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95"/>
      <c r="AH879" s="196"/>
      <c r="AI879" s="197"/>
      <c r="AJ879" s="110"/>
    </row>
    <row r="880" spans="1:36" ht="18" customHeight="1">
      <c r="A880" s="154"/>
      <c r="B880" s="154"/>
      <c r="C880" s="154"/>
      <c r="D880" s="162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95"/>
      <c r="AH880" s="196"/>
      <c r="AI880" s="197"/>
      <c r="AJ880" s="110"/>
    </row>
    <row r="881" spans="1:36" ht="18" customHeight="1">
      <c r="A881" s="154"/>
      <c r="B881" s="154"/>
      <c r="C881" s="154"/>
      <c r="D881" s="162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95"/>
      <c r="AH881" s="196"/>
      <c r="AI881" s="197"/>
      <c r="AJ881" s="110"/>
    </row>
    <row r="882" spans="1:36" ht="18" customHeight="1">
      <c r="A882" s="154"/>
      <c r="B882" s="154"/>
      <c r="C882" s="154"/>
      <c r="D882" s="162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95"/>
      <c r="AH882" s="196"/>
      <c r="AI882" s="197"/>
      <c r="AJ882" s="110"/>
    </row>
    <row r="883" spans="1:36" ht="18" customHeight="1">
      <c r="A883" s="154"/>
      <c r="B883" s="154"/>
      <c r="C883" s="154"/>
      <c r="D883" s="162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95"/>
      <c r="AH883" s="196"/>
      <c r="AI883" s="197"/>
      <c r="AJ883" s="110"/>
    </row>
    <row r="884" spans="1:36" ht="18" customHeight="1">
      <c r="A884" s="154"/>
      <c r="B884" s="154"/>
      <c r="C884" s="154"/>
      <c r="D884" s="162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95"/>
      <c r="AH884" s="196"/>
      <c r="AI884" s="197"/>
      <c r="AJ884" s="110"/>
    </row>
    <row r="885" spans="1:36" ht="18" customHeight="1">
      <c r="A885" s="154"/>
      <c r="B885" s="154"/>
      <c r="C885" s="154"/>
      <c r="D885" s="162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95"/>
      <c r="AH885" s="196"/>
      <c r="AI885" s="197"/>
      <c r="AJ885" s="110"/>
    </row>
    <row r="886" spans="1:36" ht="18" customHeight="1">
      <c r="A886" s="154"/>
      <c r="B886" s="154"/>
      <c r="C886" s="154"/>
      <c r="D886" s="162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95"/>
      <c r="AH886" s="196"/>
      <c r="AI886" s="197"/>
      <c r="AJ886" s="110"/>
    </row>
    <row r="887" spans="1:36" ht="18" customHeight="1">
      <c r="A887" s="154"/>
      <c r="B887" s="154"/>
      <c r="C887" s="154"/>
      <c r="D887" s="162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95"/>
      <c r="AH887" s="196"/>
      <c r="AI887" s="197"/>
      <c r="AJ887" s="110"/>
    </row>
    <row r="888" spans="1:36" ht="18" customHeight="1">
      <c r="A888" s="154"/>
      <c r="B888" s="154"/>
      <c r="C888" s="154"/>
      <c r="D888" s="162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95"/>
      <c r="AH888" s="196"/>
      <c r="AI888" s="197"/>
      <c r="AJ888" s="110"/>
    </row>
    <row r="889" spans="1:36" ht="18" customHeight="1">
      <c r="A889" s="154"/>
      <c r="B889" s="154"/>
      <c r="C889" s="154"/>
      <c r="D889" s="162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95"/>
      <c r="AH889" s="196"/>
      <c r="AI889" s="197"/>
      <c r="AJ889" s="110"/>
    </row>
    <row r="890" spans="1:36" ht="18" customHeight="1">
      <c r="A890" s="154"/>
      <c r="B890" s="154"/>
      <c r="C890" s="154"/>
      <c r="D890" s="162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95"/>
      <c r="AH890" s="196"/>
      <c r="AI890" s="197"/>
      <c r="AJ890" s="110"/>
    </row>
    <row r="891" spans="1:36" ht="18" customHeight="1">
      <c r="A891" s="154"/>
      <c r="B891" s="154"/>
      <c r="C891" s="154"/>
      <c r="D891" s="162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95"/>
      <c r="AH891" s="196"/>
      <c r="AI891" s="197"/>
      <c r="AJ891" s="110"/>
    </row>
    <row r="892" spans="1:36" ht="18" customHeight="1">
      <c r="A892" s="154"/>
      <c r="B892" s="154"/>
      <c r="C892" s="154"/>
      <c r="D892" s="162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95"/>
      <c r="AH892" s="196"/>
      <c r="AI892" s="197"/>
      <c r="AJ892" s="110"/>
    </row>
    <row r="893" spans="1:36" ht="18" customHeight="1">
      <c r="A893" s="154"/>
      <c r="B893" s="154"/>
      <c r="C893" s="154"/>
      <c r="D893" s="162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95"/>
      <c r="AH893" s="196"/>
      <c r="AI893" s="197"/>
      <c r="AJ893" s="110"/>
    </row>
    <row r="894" spans="1:36" ht="18" customHeight="1">
      <c r="A894" s="154"/>
      <c r="B894" s="154"/>
      <c r="C894" s="154"/>
      <c r="D894" s="162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95"/>
      <c r="AH894" s="196"/>
      <c r="AI894" s="197"/>
      <c r="AJ894" s="110"/>
    </row>
    <row r="895" spans="1:36" ht="18" customHeight="1">
      <c r="A895" s="154"/>
      <c r="B895" s="154"/>
      <c r="C895" s="154"/>
      <c r="D895" s="162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95"/>
      <c r="AH895" s="196"/>
      <c r="AI895" s="197"/>
      <c r="AJ895" s="110"/>
    </row>
    <row r="896" spans="1:36" ht="18" customHeight="1">
      <c r="A896" s="154"/>
      <c r="B896" s="154"/>
      <c r="C896" s="154"/>
      <c r="D896" s="162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95"/>
      <c r="AH896" s="196"/>
      <c r="AI896" s="197"/>
      <c r="AJ896" s="110"/>
    </row>
    <row r="897" spans="1:36" ht="18" customHeight="1">
      <c r="A897" s="154"/>
      <c r="B897" s="154"/>
      <c r="C897" s="154"/>
      <c r="D897" s="162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95"/>
      <c r="AH897" s="196"/>
      <c r="AI897" s="197"/>
      <c r="AJ897" s="110"/>
    </row>
    <row r="898" spans="1:36" ht="18" customHeight="1">
      <c r="A898" s="154"/>
      <c r="B898" s="154"/>
      <c r="C898" s="154"/>
      <c r="D898" s="162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95"/>
      <c r="AH898" s="196"/>
      <c r="AI898" s="197"/>
      <c r="AJ898" s="110"/>
    </row>
    <row r="899" spans="1:36" ht="18" customHeight="1">
      <c r="A899" s="154"/>
      <c r="B899" s="154"/>
      <c r="C899" s="154"/>
      <c r="D899" s="162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95"/>
      <c r="AH899" s="196"/>
      <c r="AI899" s="197"/>
      <c r="AJ899" s="110"/>
    </row>
    <row r="900" spans="1:36" ht="18" customHeight="1">
      <c r="A900" s="154"/>
      <c r="B900" s="154"/>
      <c r="C900" s="154"/>
      <c r="D900" s="162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95"/>
      <c r="AH900" s="196"/>
      <c r="AI900" s="197"/>
      <c r="AJ900" s="110"/>
    </row>
    <row r="901" spans="1:36" ht="18" customHeight="1">
      <c r="A901" s="154"/>
      <c r="B901" s="154"/>
      <c r="C901" s="154"/>
      <c r="D901" s="162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95"/>
      <c r="AH901" s="196"/>
      <c r="AI901" s="197"/>
      <c r="AJ901" s="110"/>
    </row>
    <row r="902" spans="1:36" ht="18" customHeight="1">
      <c r="A902" s="154"/>
      <c r="B902" s="154"/>
      <c r="C902" s="154"/>
      <c r="D902" s="162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95"/>
      <c r="AH902" s="196"/>
      <c r="AI902" s="197"/>
      <c r="AJ902" s="110"/>
    </row>
    <row r="903" spans="1:36" ht="18" customHeight="1">
      <c r="A903" s="154"/>
      <c r="B903" s="154"/>
      <c r="C903" s="154"/>
      <c r="D903" s="162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95"/>
      <c r="AH903" s="196"/>
      <c r="AI903" s="197"/>
      <c r="AJ903" s="110"/>
    </row>
    <row r="904" spans="1:36" ht="18" customHeight="1">
      <c r="A904" s="154"/>
      <c r="B904" s="154"/>
      <c r="C904" s="154"/>
      <c r="D904" s="162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95"/>
      <c r="AH904" s="196"/>
      <c r="AI904" s="197"/>
      <c r="AJ904" s="110"/>
    </row>
    <row r="905" spans="1:36" ht="18" customHeight="1">
      <c r="A905" s="154"/>
      <c r="B905" s="154"/>
      <c r="C905" s="154"/>
      <c r="D905" s="162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95"/>
      <c r="AH905" s="196"/>
      <c r="AI905" s="197"/>
      <c r="AJ905" s="110"/>
    </row>
    <row r="906" spans="1:36" ht="18" customHeight="1">
      <c r="A906" s="154"/>
      <c r="B906" s="154"/>
      <c r="C906" s="154"/>
      <c r="D906" s="162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95"/>
      <c r="AH906" s="196"/>
      <c r="AI906" s="197"/>
      <c r="AJ906" s="110"/>
    </row>
    <row r="907" spans="1:36" ht="18" customHeight="1">
      <c r="A907" s="154"/>
      <c r="B907" s="154"/>
      <c r="C907" s="154"/>
      <c r="D907" s="162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95"/>
      <c r="AH907" s="196"/>
      <c r="AI907" s="197"/>
      <c r="AJ907" s="110"/>
    </row>
    <row r="908" spans="1:36" ht="18" customHeight="1">
      <c r="A908" s="154"/>
      <c r="B908" s="154"/>
      <c r="C908" s="154"/>
      <c r="D908" s="162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95"/>
      <c r="AH908" s="196"/>
      <c r="AI908" s="197"/>
      <c r="AJ908" s="110"/>
    </row>
    <row r="909" spans="1:36" ht="18" customHeight="1">
      <c r="A909" s="154"/>
      <c r="B909" s="154"/>
      <c r="C909" s="154"/>
      <c r="D909" s="162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95"/>
      <c r="AH909" s="196"/>
      <c r="AI909" s="197"/>
      <c r="AJ909" s="110"/>
    </row>
    <row r="910" spans="1:36" ht="18" customHeight="1">
      <c r="A910" s="154"/>
      <c r="B910" s="154"/>
      <c r="C910" s="154"/>
      <c r="D910" s="162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95"/>
      <c r="AH910" s="196"/>
      <c r="AI910" s="197"/>
      <c r="AJ910" s="110"/>
    </row>
    <row r="911" spans="1:36" ht="18" customHeight="1">
      <c r="A911" s="154"/>
      <c r="B911" s="154"/>
      <c r="C911" s="154"/>
      <c r="D911" s="162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95"/>
      <c r="AH911" s="196"/>
      <c r="AI911" s="197"/>
      <c r="AJ911" s="110"/>
    </row>
    <row r="912" spans="1:36" ht="18" customHeight="1">
      <c r="A912" s="154"/>
      <c r="B912" s="154"/>
      <c r="C912" s="154"/>
      <c r="D912" s="162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95"/>
      <c r="AH912" s="196"/>
      <c r="AI912" s="197"/>
      <c r="AJ912" s="110"/>
    </row>
    <row r="913" spans="1:36" ht="18" customHeight="1">
      <c r="A913" s="154"/>
      <c r="B913" s="154"/>
      <c r="C913" s="154"/>
      <c r="D913" s="162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95"/>
      <c r="AH913" s="196"/>
      <c r="AI913" s="197"/>
      <c r="AJ913" s="110"/>
    </row>
    <row r="914" spans="1:36" ht="18" customHeight="1">
      <c r="A914" s="154"/>
      <c r="B914" s="154"/>
      <c r="C914" s="154"/>
      <c r="D914" s="162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95"/>
      <c r="AH914" s="196"/>
      <c r="AI914" s="197"/>
      <c r="AJ914" s="110"/>
    </row>
    <row r="915" spans="1:36" ht="18" customHeight="1">
      <c r="A915" s="154"/>
      <c r="B915" s="154"/>
      <c r="C915" s="154"/>
      <c r="D915" s="162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95"/>
      <c r="AH915" s="196"/>
      <c r="AI915" s="197"/>
      <c r="AJ915" s="110"/>
    </row>
    <row r="916" spans="1:36" ht="18" customHeight="1">
      <c r="A916" s="154"/>
      <c r="B916" s="154"/>
      <c r="C916" s="154"/>
      <c r="D916" s="162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95"/>
      <c r="AH916" s="196"/>
      <c r="AI916" s="197"/>
      <c r="AJ916" s="110"/>
    </row>
    <row r="917" spans="1:36" ht="18" customHeight="1">
      <c r="A917" s="154"/>
      <c r="B917" s="154"/>
      <c r="C917" s="154"/>
      <c r="D917" s="162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95"/>
      <c r="AH917" s="196"/>
      <c r="AI917" s="197"/>
      <c r="AJ917" s="110"/>
    </row>
    <row r="918" spans="1:36" ht="18" customHeight="1">
      <c r="A918" s="154"/>
      <c r="B918" s="154"/>
      <c r="C918" s="154"/>
      <c r="D918" s="162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95"/>
      <c r="AH918" s="196"/>
      <c r="AI918" s="197"/>
      <c r="AJ918" s="110"/>
    </row>
    <row r="919" spans="1:36" ht="18" customHeight="1">
      <c r="A919" s="154"/>
      <c r="B919" s="154"/>
      <c r="C919" s="154"/>
      <c r="D919" s="162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95"/>
      <c r="AH919" s="196"/>
      <c r="AI919" s="197"/>
      <c r="AJ919" s="110"/>
    </row>
    <row r="920" spans="1:36" ht="18" customHeight="1">
      <c r="A920" s="154"/>
      <c r="B920" s="154"/>
      <c r="C920" s="154"/>
      <c r="D920" s="162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95"/>
      <c r="AH920" s="196"/>
      <c r="AI920" s="197"/>
      <c r="AJ920" s="110"/>
    </row>
    <row r="921" spans="1:36" ht="18" customHeight="1">
      <c r="A921" s="154"/>
      <c r="B921" s="154"/>
      <c r="C921" s="154"/>
      <c r="D921" s="162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95"/>
      <c r="AH921" s="196"/>
      <c r="AI921" s="197"/>
      <c r="AJ921" s="110"/>
    </row>
    <row r="922" spans="1:36" ht="18" customHeight="1">
      <c r="A922" s="154"/>
      <c r="B922" s="154"/>
      <c r="C922" s="154"/>
      <c r="D922" s="162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95"/>
      <c r="AH922" s="196"/>
      <c r="AI922" s="197"/>
      <c r="AJ922" s="110"/>
    </row>
    <row r="923" spans="1:36" ht="18" customHeight="1">
      <c r="A923" s="154"/>
      <c r="B923" s="154"/>
      <c r="C923" s="154"/>
      <c r="D923" s="162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95"/>
      <c r="AH923" s="196"/>
      <c r="AI923" s="197"/>
      <c r="AJ923" s="110"/>
    </row>
    <row r="924" spans="1:36" ht="18" customHeight="1">
      <c r="A924" s="154"/>
      <c r="B924" s="154"/>
      <c r="C924" s="154"/>
      <c r="D924" s="162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95"/>
      <c r="AH924" s="196"/>
      <c r="AI924" s="197"/>
      <c r="AJ924" s="110"/>
    </row>
    <row r="925" spans="1:36" ht="18" customHeight="1">
      <c r="A925" s="154"/>
      <c r="B925" s="154"/>
      <c r="C925" s="154"/>
      <c r="D925" s="162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95"/>
      <c r="AH925" s="196"/>
      <c r="AI925" s="197"/>
      <c r="AJ925" s="110"/>
    </row>
    <row r="926" spans="1:36" ht="18" customHeight="1">
      <c r="A926" s="154"/>
      <c r="B926" s="154"/>
      <c r="C926" s="154"/>
      <c r="D926" s="162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95"/>
      <c r="AH926" s="196"/>
      <c r="AI926" s="197"/>
      <c r="AJ926" s="110"/>
    </row>
    <row r="927" spans="1:36" ht="18" customHeight="1">
      <c r="A927" s="154"/>
      <c r="B927" s="154"/>
      <c r="C927" s="154"/>
      <c r="D927" s="162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95"/>
      <c r="AH927" s="196"/>
      <c r="AI927" s="197"/>
      <c r="AJ927" s="110"/>
    </row>
    <row r="928" spans="1:36" ht="18" customHeight="1">
      <c r="A928" s="154"/>
      <c r="B928" s="154"/>
      <c r="C928" s="154"/>
      <c r="D928" s="162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95"/>
      <c r="AH928" s="196"/>
      <c r="AI928" s="197"/>
      <c r="AJ928" s="110"/>
    </row>
    <row r="929" spans="1:36" ht="18" customHeight="1">
      <c r="A929" s="154"/>
      <c r="B929" s="154"/>
      <c r="C929" s="154"/>
      <c r="D929" s="162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95"/>
      <c r="AH929" s="196"/>
      <c r="AI929" s="197"/>
      <c r="AJ929" s="110"/>
    </row>
    <row r="930" spans="1:36" ht="18" customHeight="1">
      <c r="A930" s="154"/>
      <c r="B930" s="154"/>
      <c r="C930" s="154"/>
      <c r="D930" s="162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95"/>
      <c r="AH930" s="196"/>
      <c r="AI930" s="197"/>
      <c r="AJ930" s="110"/>
    </row>
    <row r="931" spans="1:36" ht="18" customHeight="1">
      <c r="A931" s="154"/>
      <c r="B931" s="154"/>
      <c r="C931" s="154"/>
      <c r="D931" s="162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95"/>
      <c r="AH931" s="196"/>
      <c r="AI931" s="197"/>
      <c r="AJ931" s="110"/>
    </row>
    <row r="932" spans="1:36" ht="18" customHeight="1">
      <c r="A932" s="154"/>
      <c r="B932" s="154"/>
      <c r="C932" s="154"/>
      <c r="D932" s="162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95"/>
      <c r="AH932" s="196"/>
      <c r="AI932" s="197"/>
      <c r="AJ932" s="110"/>
    </row>
    <row r="933" spans="1:36" ht="18" customHeight="1">
      <c r="A933" s="154"/>
      <c r="B933" s="154"/>
      <c r="C933" s="154"/>
      <c r="D933" s="162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95"/>
      <c r="AH933" s="196"/>
      <c r="AI933" s="197"/>
      <c r="AJ933" s="110"/>
    </row>
    <row r="934" spans="1:36" ht="18" customHeight="1">
      <c r="A934" s="154"/>
      <c r="B934" s="154"/>
      <c r="C934" s="154"/>
      <c r="D934" s="162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95"/>
      <c r="AH934" s="196"/>
      <c r="AI934" s="197"/>
      <c r="AJ934" s="110"/>
    </row>
    <row r="935" spans="1:36" ht="18" customHeight="1">
      <c r="A935" s="154"/>
      <c r="B935" s="154"/>
      <c r="C935" s="154"/>
      <c r="D935" s="162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95"/>
      <c r="AH935" s="196"/>
      <c r="AI935" s="197"/>
      <c r="AJ935" s="110"/>
    </row>
    <row r="936" spans="1:36" ht="18" customHeight="1">
      <c r="A936" s="154"/>
      <c r="B936" s="154"/>
      <c r="C936" s="154"/>
      <c r="D936" s="162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95"/>
      <c r="AH936" s="196"/>
      <c r="AI936" s="197"/>
      <c r="AJ936" s="110"/>
    </row>
    <row r="937" spans="1:36" ht="18" customHeight="1">
      <c r="A937" s="154"/>
      <c r="B937" s="154"/>
      <c r="C937" s="154"/>
      <c r="D937" s="162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95"/>
      <c r="AH937" s="196"/>
      <c r="AI937" s="197"/>
      <c r="AJ937" s="110"/>
    </row>
    <row r="938" spans="1:36" ht="18" customHeight="1">
      <c r="A938" s="154"/>
      <c r="B938" s="154"/>
      <c r="C938" s="154"/>
      <c r="D938" s="162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95"/>
      <c r="AH938" s="196"/>
      <c r="AI938" s="197"/>
      <c r="AJ938" s="110"/>
    </row>
    <row r="939" spans="1:36" ht="18" customHeight="1">
      <c r="A939" s="154"/>
      <c r="B939" s="154"/>
      <c r="C939" s="154"/>
      <c r="D939" s="162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95"/>
      <c r="AH939" s="196"/>
      <c r="AI939" s="197"/>
      <c r="AJ939" s="110"/>
    </row>
    <row r="940" spans="1:36" ht="18" customHeight="1">
      <c r="A940" s="154"/>
      <c r="B940" s="154"/>
      <c r="C940" s="154"/>
      <c r="D940" s="162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95"/>
      <c r="AH940" s="196"/>
      <c r="AI940" s="197"/>
      <c r="AJ940" s="110"/>
    </row>
    <row r="941" spans="1:36" ht="18" customHeight="1">
      <c r="A941" s="154"/>
      <c r="B941" s="154"/>
      <c r="C941" s="154"/>
      <c r="D941" s="162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95"/>
      <c r="AH941" s="196"/>
      <c r="AI941" s="197"/>
      <c r="AJ941" s="110"/>
    </row>
    <row r="942" spans="1:36" ht="18" customHeight="1">
      <c r="A942" s="154"/>
      <c r="B942" s="154"/>
      <c r="C942" s="154"/>
      <c r="D942" s="162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95"/>
      <c r="AH942" s="196"/>
      <c r="AI942" s="197"/>
      <c r="AJ942" s="110"/>
    </row>
    <row r="943" spans="1:36" ht="18" customHeight="1">
      <c r="A943" s="154"/>
      <c r="B943" s="154"/>
      <c r="C943" s="154"/>
      <c r="D943" s="162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95"/>
      <c r="AH943" s="196"/>
      <c r="AI943" s="197"/>
      <c r="AJ943" s="110"/>
    </row>
    <row r="944" spans="1:36" ht="18" customHeight="1">
      <c r="A944" s="154"/>
      <c r="B944" s="154"/>
      <c r="C944" s="154"/>
      <c r="D944" s="162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95"/>
      <c r="AH944" s="196"/>
      <c r="AI944" s="197"/>
      <c r="AJ944" s="110"/>
    </row>
    <row r="945" spans="1:36" ht="18" customHeight="1">
      <c r="A945" s="154"/>
      <c r="B945" s="154"/>
      <c r="C945" s="154"/>
      <c r="D945" s="162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95"/>
      <c r="AH945" s="196"/>
      <c r="AI945" s="197"/>
      <c r="AJ945" s="110"/>
    </row>
    <row r="946" spans="1:36" ht="18" customHeight="1">
      <c r="A946" s="154"/>
      <c r="B946" s="154"/>
      <c r="C946" s="154"/>
      <c r="D946" s="162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95"/>
      <c r="AH946" s="196"/>
      <c r="AI946" s="197"/>
      <c r="AJ946" s="110"/>
    </row>
    <row r="947" spans="1:36" ht="18" customHeight="1">
      <c r="A947" s="154"/>
      <c r="B947" s="154"/>
      <c r="C947" s="154"/>
      <c r="D947" s="162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95"/>
      <c r="AH947" s="196"/>
      <c r="AI947" s="197"/>
      <c r="AJ947" s="110"/>
    </row>
    <row r="948" spans="1:36" ht="18" customHeight="1">
      <c r="A948" s="154"/>
      <c r="B948" s="154"/>
      <c r="C948" s="154"/>
      <c r="D948" s="162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95"/>
      <c r="AH948" s="196"/>
      <c r="AI948" s="197"/>
      <c r="AJ948" s="110"/>
    </row>
    <row r="949" spans="1:36" ht="18" customHeight="1">
      <c r="A949" s="154"/>
      <c r="B949" s="154"/>
      <c r="C949" s="154"/>
      <c r="D949" s="162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95"/>
      <c r="AH949" s="196"/>
      <c r="AI949" s="197"/>
      <c r="AJ949" s="110"/>
    </row>
    <row r="950" spans="1:36" ht="18" customHeight="1">
      <c r="A950" s="154"/>
      <c r="B950" s="154"/>
      <c r="C950" s="154"/>
      <c r="D950" s="162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95"/>
      <c r="AH950" s="196"/>
      <c r="AI950" s="197"/>
      <c r="AJ950" s="110"/>
    </row>
    <row r="951" spans="1:36" ht="18" customHeight="1">
      <c r="A951" s="154"/>
      <c r="B951" s="154"/>
      <c r="C951" s="154"/>
      <c r="D951" s="162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95"/>
      <c r="AH951" s="196"/>
      <c r="AI951" s="197"/>
      <c r="AJ951" s="110"/>
    </row>
    <row r="952" spans="1:36" ht="18" customHeight="1">
      <c r="A952" s="154"/>
      <c r="B952" s="154"/>
      <c r="C952" s="154"/>
      <c r="D952" s="162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95"/>
      <c r="AH952" s="196"/>
      <c r="AI952" s="197"/>
      <c r="AJ952" s="110"/>
    </row>
    <row r="953" spans="1:36" ht="18" customHeight="1">
      <c r="A953" s="154"/>
      <c r="B953" s="154"/>
      <c r="C953" s="154"/>
      <c r="D953" s="162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95"/>
      <c r="AH953" s="196"/>
      <c r="AI953" s="197"/>
      <c r="AJ953" s="110"/>
    </row>
    <row r="954" spans="1:36" ht="18" customHeight="1">
      <c r="A954" s="154"/>
      <c r="B954" s="154"/>
      <c r="C954" s="154"/>
      <c r="D954" s="162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95"/>
      <c r="AH954" s="196"/>
      <c r="AI954" s="197"/>
      <c r="AJ954" s="110"/>
    </row>
    <row r="955" spans="1:36" ht="18" customHeight="1">
      <c r="A955" s="154"/>
      <c r="B955" s="154"/>
      <c r="C955" s="154"/>
      <c r="D955" s="162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95"/>
      <c r="AH955" s="196"/>
      <c r="AI955" s="197"/>
      <c r="AJ955" s="110"/>
    </row>
    <row r="956" spans="1:36" ht="18" customHeight="1">
      <c r="A956" s="154"/>
      <c r="B956" s="154"/>
      <c r="C956" s="154"/>
      <c r="D956" s="162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95"/>
      <c r="AH956" s="196"/>
      <c r="AI956" s="197"/>
      <c r="AJ956" s="110"/>
    </row>
    <row r="957" spans="1:36" ht="18" customHeight="1">
      <c r="A957" s="154"/>
      <c r="B957" s="154"/>
      <c r="C957" s="154"/>
      <c r="D957" s="162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95"/>
      <c r="AH957" s="196"/>
      <c r="AI957" s="197"/>
      <c r="AJ957" s="110"/>
    </row>
    <row r="958" spans="1:36" ht="18" customHeight="1">
      <c r="A958" s="154"/>
      <c r="B958" s="154"/>
      <c r="C958" s="154"/>
      <c r="D958" s="162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95"/>
      <c r="AH958" s="196"/>
      <c r="AI958" s="197"/>
      <c r="AJ958" s="110"/>
    </row>
    <row r="959" spans="1:36" ht="18" customHeight="1">
      <c r="A959" s="154"/>
      <c r="B959" s="154"/>
      <c r="C959" s="154"/>
      <c r="D959" s="162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95"/>
      <c r="AH959" s="196"/>
      <c r="AI959" s="197"/>
      <c r="AJ959" s="110"/>
    </row>
    <row r="960" spans="1:36" ht="18" customHeight="1">
      <c r="A960" s="154"/>
      <c r="B960" s="154"/>
      <c r="C960" s="154"/>
      <c r="D960" s="162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95"/>
      <c r="AH960" s="196"/>
      <c r="AI960" s="197"/>
      <c r="AJ960" s="110"/>
    </row>
    <row r="961" spans="1:36" ht="18" customHeight="1">
      <c r="A961" s="154"/>
      <c r="B961" s="154"/>
      <c r="C961" s="154"/>
      <c r="D961" s="162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95"/>
      <c r="AH961" s="196"/>
      <c r="AI961" s="197"/>
      <c r="AJ961" s="110"/>
    </row>
    <row r="962" spans="1:36" ht="18" customHeight="1">
      <c r="A962" s="154"/>
      <c r="B962" s="154"/>
      <c r="C962" s="154"/>
      <c r="D962" s="162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95"/>
      <c r="AH962" s="196"/>
      <c r="AI962" s="197"/>
      <c r="AJ962" s="110"/>
    </row>
    <row r="963" spans="1:36" ht="18" customHeight="1">
      <c r="A963" s="154"/>
      <c r="B963" s="154"/>
      <c r="C963" s="154"/>
      <c r="D963" s="162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95"/>
      <c r="AH963" s="196"/>
      <c r="AI963" s="197"/>
      <c r="AJ963" s="110"/>
    </row>
    <row r="964" spans="1:36" ht="18" customHeight="1">
      <c r="A964" s="154"/>
      <c r="B964" s="154"/>
      <c r="C964" s="154"/>
      <c r="D964" s="162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95"/>
      <c r="AH964" s="196"/>
      <c r="AI964" s="197"/>
      <c r="AJ964" s="110"/>
    </row>
    <row r="965" spans="1:36" ht="18" customHeight="1">
      <c r="A965" s="154"/>
      <c r="B965" s="154"/>
      <c r="C965" s="154"/>
      <c r="D965" s="162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95"/>
      <c r="AH965" s="196"/>
      <c r="AI965" s="197"/>
      <c r="AJ965" s="110"/>
    </row>
    <row r="966" spans="1:36" ht="18" customHeight="1">
      <c r="A966" s="154"/>
      <c r="B966" s="154"/>
      <c r="C966" s="154"/>
      <c r="D966" s="162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95"/>
      <c r="AH966" s="196"/>
      <c r="AI966" s="197"/>
      <c r="AJ966" s="110"/>
    </row>
    <row r="967" spans="1:36" ht="18" customHeight="1">
      <c r="A967" s="154"/>
      <c r="B967" s="154"/>
      <c r="C967" s="154"/>
      <c r="D967" s="162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95"/>
      <c r="AH967" s="196"/>
      <c r="AI967" s="197"/>
      <c r="AJ967" s="110"/>
    </row>
    <row r="968" spans="1:36" ht="18" customHeight="1">
      <c r="A968" s="154"/>
      <c r="B968" s="154"/>
      <c r="C968" s="154"/>
      <c r="D968" s="162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95"/>
      <c r="AH968" s="196"/>
      <c r="AI968" s="197"/>
      <c r="AJ968" s="110"/>
    </row>
    <row r="969" spans="1:36" ht="18" customHeight="1">
      <c r="A969" s="154"/>
      <c r="B969" s="154"/>
      <c r="C969" s="154"/>
      <c r="D969" s="162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95"/>
      <c r="AH969" s="196"/>
      <c r="AI969" s="197"/>
      <c r="AJ969" s="110"/>
    </row>
    <row r="970" spans="1:36" ht="18" customHeight="1">
      <c r="A970" s="154"/>
      <c r="B970" s="154"/>
      <c r="C970" s="154"/>
      <c r="D970" s="162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95"/>
      <c r="AH970" s="196"/>
      <c r="AI970" s="197"/>
      <c r="AJ970" s="110"/>
    </row>
    <row r="971" spans="1:36" ht="18" customHeight="1">
      <c r="A971" s="154"/>
      <c r="B971" s="154"/>
      <c r="C971" s="154"/>
      <c r="D971" s="162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95"/>
      <c r="AH971" s="196"/>
      <c r="AI971" s="197"/>
      <c r="AJ971" s="110"/>
    </row>
    <row r="972" spans="1:36" ht="18" customHeight="1">
      <c r="A972" s="154"/>
      <c r="B972" s="154"/>
      <c r="C972" s="154"/>
      <c r="D972" s="162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95"/>
      <c r="AH972" s="196"/>
      <c r="AI972" s="197"/>
      <c r="AJ972" s="110"/>
    </row>
    <row r="973" spans="1:36" ht="18" customHeight="1">
      <c r="A973" s="154"/>
      <c r="B973" s="154"/>
      <c r="C973" s="154"/>
      <c r="D973" s="162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95"/>
      <c r="AH973" s="196"/>
      <c r="AI973" s="197"/>
      <c r="AJ973" s="110"/>
    </row>
    <row r="974" spans="1:36" ht="18" customHeight="1">
      <c r="A974" s="154"/>
      <c r="B974" s="154"/>
      <c r="C974" s="154"/>
      <c r="D974" s="162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95"/>
      <c r="AH974" s="196"/>
      <c r="AI974" s="197"/>
      <c r="AJ974" s="110"/>
    </row>
    <row r="975" spans="1:36" ht="18" customHeight="1">
      <c r="A975" s="154"/>
      <c r="B975" s="154"/>
      <c r="C975" s="154"/>
      <c r="D975" s="162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95"/>
      <c r="AH975" s="196"/>
      <c r="AI975" s="197"/>
      <c r="AJ975" s="110"/>
    </row>
    <row r="976" spans="1:36" ht="18" customHeight="1">
      <c r="A976" s="154"/>
      <c r="B976" s="154"/>
      <c r="C976" s="154"/>
      <c r="D976" s="162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95"/>
      <c r="AH976" s="196"/>
      <c r="AI976" s="197"/>
      <c r="AJ976" s="110"/>
    </row>
    <row r="977" spans="1:36" ht="18" customHeight="1">
      <c r="A977" s="154"/>
      <c r="B977" s="154"/>
      <c r="C977" s="154"/>
      <c r="D977" s="162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95"/>
      <c r="AH977" s="196"/>
      <c r="AI977" s="197"/>
      <c r="AJ977" s="110"/>
    </row>
    <row r="978" spans="1:36" ht="18" customHeight="1">
      <c r="A978" s="154"/>
      <c r="B978" s="154"/>
      <c r="C978" s="154"/>
      <c r="D978" s="162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95"/>
      <c r="AH978" s="196"/>
      <c r="AI978" s="197"/>
      <c r="AJ978" s="110"/>
    </row>
    <row r="979" spans="1:36" ht="18" customHeight="1">
      <c r="A979" s="154"/>
      <c r="B979" s="154"/>
      <c r="C979" s="154"/>
      <c r="D979" s="162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95"/>
      <c r="AH979" s="196"/>
      <c r="AI979" s="197"/>
      <c r="AJ979" s="110"/>
    </row>
    <row r="980" spans="1:36" ht="18" customHeight="1">
      <c r="A980" s="154"/>
      <c r="B980" s="154"/>
      <c r="C980" s="154"/>
      <c r="D980" s="162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95"/>
      <c r="AH980" s="196"/>
      <c r="AI980" s="197"/>
      <c r="AJ980" s="110"/>
    </row>
    <row r="981" spans="1:36" ht="18" customHeight="1">
      <c r="A981" s="154"/>
      <c r="B981" s="154"/>
      <c r="C981" s="154"/>
      <c r="D981" s="162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95"/>
      <c r="AH981" s="196"/>
      <c r="AI981" s="197"/>
      <c r="AJ981" s="110"/>
    </row>
    <row r="982" spans="1:36" ht="18" customHeight="1">
      <c r="A982" s="154"/>
      <c r="B982" s="154"/>
      <c r="C982" s="154"/>
      <c r="D982" s="162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95"/>
      <c r="AH982" s="196"/>
      <c r="AI982" s="197"/>
      <c r="AJ982" s="110"/>
    </row>
    <row r="983" spans="1:36" ht="18" customHeight="1">
      <c r="A983" s="154"/>
      <c r="B983" s="154"/>
      <c r="C983" s="154"/>
      <c r="D983" s="162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95"/>
      <c r="AH983" s="196"/>
      <c r="AI983" s="197"/>
      <c r="AJ983" s="110"/>
    </row>
    <row r="984" spans="1:36" ht="18" customHeight="1">
      <c r="A984" s="154"/>
      <c r="B984" s="154"/>
      <c r="C984" s="154"/>
      <c r="D984" s="162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95"/>
      <c r="AH984" s="196"/>
      <c r="AI984" s="197"/>
      <c r="AJ984" s="110"/>
    </row>
    <row r="985" spans="1:36" ht="18" customHeight="1">
      <c r="A985" s="154"/>
      <c r="B985" s="154"/>
      <c r="C985" s="154"/>
      <c r="D985" s="162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95"/>
      <c r="AH985" s="196"/>
      <c r="AI985" s="197"/>
      <c r="AJ985" s="110"/>
    </row>
    <row r="986" spans="1:36" ht="18" customHeight="1">
      <c r="A986" s="154"/>
      <c r="B986" s="154"/>
      <c r="C986" s="154"/>
      <c r="D986" s="162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95"/>
      <c r="AH986" s="196"/>
      <c r="AI986" s="197"/>
      <c r="AJ986" s="110"/>
    </row>
    <row r="987" spans="1:36" ht="18" customHeight="1">
      <c r="A987" s="154"/>
      <c r="B987" s="154"/>
      <c r="C987" s="154"/>
      <c r="D987" s="162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95"/>
      <c r="AH987" s="196"/>
      <c r="AI987" s="197"/>
      <c r="AJ987" s="110"/>
    </row>
    <row r="988" spans="1:36" ht="18" customHeight="1">
      <c r="A988" s="154"/>
      <c r="B988" s="154"/>
      <c r="C988" s="154"/>
      <c r="D988" s="162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95"/>
      <c r="AH988" s="196"/>
      <c r="AI988" s="197"/>
      <c r="AJ988" s="110"/>
    </row>
    <row r="989" spans="1:36" ht="18" customHeight="1">
      <c r="A989" s="154"/>
      <c r="B989" s="154"/>
      <c r="C989" s="154"/>
      <c r="D989" s="162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95"/>
      <c r="AH989" s="196"/>
      <c r="AI989" s="197"/>
      <c r="AJ989" s="110"/>
    </row>
    <row r="990" spans="1:36" ht="18" customHeight="1">
      <c r="A990" s="154"/>
      <c r="B990" s="154"/>
      <c r="C990" s="154"/>
      <c r="D990" s="162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95"/>
      <c r="AH990" s="196"/>
      <c r="AI990" s="197"/>
      <c r="AJ990" s="110"/>
    </row>
    <row r="991" spans="1:36" ht="18" customHeight="1">
      <c r="A991" s="154"/>
      <c r="B991" s="154"/>
      <c r="C991" s="154"/>
      <c r="D991" s="162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95"/>
      <c r="AH991" s="196"/>
      <c r="AI991" s="197"/>
      <c r="AJ991" s="110"/>
    </row>
    <row r="992" spans="1:36" ht="18" customHeight="1">
      <c r="A992" s="154"/>
      <c r="B992" s="154"/>
      <c r="C992" s="154"/>
      <c r="D992" s="162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95"/>
      <c r="AH992" s="196"/>
      <c r="AI992" s="197"/>
      <c r="AJ992" s="110"/>
    </row>
    <row r="993" spans="1:36" ht="18" customHeight="1">
      <c r="A993" s="154"/>
      <c r="B993" s="154"/>
      <c r="C993" s="154"/>
      <c r="D993" s="162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95"/>
      <c r="AH993" s="196"/>
      <c r="AI993" s="197"/>
      <c r="AJ993" s="110"/>
    </row>
    <row r="994" spans="1:36" ht="18" customHeight="1">
      <c r="A994" s="154"/>
      <c r="B994" s="154"/>
      <c r="C994" s="154"/>
      <c r="D994" s="162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95"/>
      <c r="AH994" s="196"/>
      <c r="AI994" s="197"/>
      <c r="AJ994" s="110"/>
    </row>
    <row r="995" spans="1:36" ht="18" customHeight="1">
      <c r="A995" s="154"/>
      <c r="B995" s="154"/>
      <c r="C995" s="154"/>
      <c r="D995" s="162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95"/>
      <c r="AH995" s="196"/>
      <c r="AI995" s="197"/>
      <c r="AJ995" s="110"/>
    </row>
    <row r="996" spans="1:36" ht="18" customHeight="1">
      <c r="A996" s="154"/>
      <c r="B996" s="154"/>
      <c r="C996" s="154"/>
      <c r="D996" s="162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95"/>
      <c r="AH996" s="196"/>
      <c r="AI996" s="197"/>
      <c r="AJ996" s="110"/>
    </row>
    <row r="997" spans="1:36" ht="18" customHeight="1">
      <c r="A997" s="154"/>
      <c r="B997" s="154"/>
      <c r="C997" s="154"/>
      <c r="D997" s="162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95"/>
      <c r="AH997" s="196"/>
      <c r="AI997" s="197"/>
      <c r="AJ997" s="110"/>
    </row>
    <row r="998" spans="1:36" ht="18" customHeight="1">
      <c r="A998" s="154"/>
      <c r="B998" s="154"/>
      <c r="C998" s="154"/>
      <c r="D998" s="162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95"/>
      <c r="AH998" s="196"/>
      <c r="AI998" s="197"/>
      <c r="AJ998" s="110"/>
    </row>
    <row r="999" spans="1:36" ht="18" customHeight="1">
      <c r="A999" s="154"/>
      <c r="B999" s="154"/>
      <c r="C999" s="154"/>
      <c r="D999" s="162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95"/>
      <c r="AH999" s="196"/>
      <c r="AI999" s="197"/>
      <c r="AJ999" s="110"/>
    </row>
    <row r="1000" spans="1:36" ht="18" customHeight="1">
      <c r="A1000" s="154"/>
      <c r="B1000" s="154"/>
      <c r="C1000" s="154"/>
      <c r="D1000" s="162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95"/>
      <c r="AH1000" s="196"/>
      <c r="AI1000" s="197"/>
      <c r="AJ1000" s="110"/>
    </row>
    <row r="1001" spans="1:36" ht="18" customHeight="1">
      <c r="A1001" s="154"/>
      <c r="B1001" s="154"/>
      <c r="C1001" s="154"/>
      <c r="D1001" s="162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  <c r="AA1001" s="154"/>
      <c r="AB1001" s="154"/>
      <c r="AC1001" s="154"/>
      <c r="AD1001" s="154"/>
      <c r="AE1001" s="154"/>
      <c r="AF1001" s="154"/>
      <c r="AG1001" s="195"/>
      <c r="AH1001" s="196"/>
      <c r="AI1001" s="197"/>
      <c r="AJ1001" s="110"/>
    </row>
    <row r="1002" spans="1:36" ht="18" customHeight="1">
      <c r="A1002" s="154"/>
      <c r="B1002" s="154"/>
      <c r="C1002" s="154"/>
      <c r="D1002" s="162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  <c r="Z1002" s="154"/>
      <c r="AA1002" s="154"/>
      <c r="AB1002" s="154"/>
      <c r="AC1002" s="154"/>
      <c r="AD1002" s="154"/>
      <c r="AE1002" s="154"/>
      <c r="AF1002" s="154"/>
      <c r="AG1002" s="195"/>
      <c r="AH1002" s="196"/>
      <c r="AI1002" s="197"/>
      <c r="AJ1002" s="110"/>
    </row>
    <row r="1003" spans="1:36" ht="18" customHeight="1">
      <c r="A1003" s="154"/>
      <c r="B1003" s="154"/>
      <c r="C1003" s="154"/>
      <c r="D1003" s="162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  <c r="Z1003" s="154"/>
      <c r="AA1003" s="154"/>
      <c r="AB1003" s="154"/>
      <c r="AC1003" s="154"/>
      <c r="AD1003" s="154"/>
      <c r="AE1003" s="154"/>
      <c r="AF1003" s="154"/>
      <c r="AG1003" s="195"/>
      <c r="AH1003" s="196"/>
      <c r="AI1003" s="197"/>
      <c r="AJ1003" s="110"/>
    </row>
    <row r="1004" spans="1:36" ht="18" customHeight="1">
      <c r="A1004" s="154"/>
      <c r="B1004" s="154"/>
      <c r="C1004" s="154"/>
      <c r="D1004" s="162"/>
      <c r="E1004" s="154"/>
      <c r="F1004" s="154"/>
      <c r="G1004" s="154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  <c r="Z1004" s="154"/>
      <c r="AA1004" s="154"/>
      <c r="AB1004" s="154"/>
      <c r="AC1004" s="154"/>
      <c r="AD1004" s="154"/>
      <c r="AE1004" s="154"/>
      <c r="AF1004" s="154"/>
      <c r="AG1004" s="195"/>
      <c r="AH1004" s="196"/>
      <c r="AI1004" s="197"/>
      <c r="AJ1004" s="110"/>
    </row>
    <row r="1005" spans="1:36" ht="18" customHeight="1">
      <c r="A1005" s="154"/>
      <c r="B1005" s="154"/>
      <c r="C1005" s="154"/>
      <c r="D1005" s="162"/>
      <c r="E1005" s="154"/>
      <c r="F1005" s="154"/>
      <c r="G1005" s="154"/>
      <c r="H1005" s="154"/>
      <c r="I1005" s="154"/>
      <c r="J1005" s="154"/>
      <c r="K1005" s="154"/>
      <c r="L1005" s="154"/>
      <c r="M1005" s="154"/>
      <c r="N1005" s="154"/>
      <c r="O1005" s="154"/>
      <c r="P1005" s="154"/>
      <c r="Q1005" s="154"/>
      <c r="R1005" s="154"/>
      <c r="S1005" s="154"/>
      <c r="T1005" s="154"/>
      <c r="U1005" s="154"/>
      <c r="V1005" s="154"/>
      <c r="W1005" s="154"/>
      <c r="X1005" s="154"/>
      <c r="Y1005" s="154"/>
      <c r="Z1005" s="154"/>
      <c r="AA1005" s="154"/>
      <c r="AB1005" s="154"/>
      <c r="AC1005" s="154"/>
      <c r="AD1005" s="154"/>
      <c r="AE1005" s="154"/>
      <c r="AF1005" s="154"/>
      <c r="AG1005" s="195"/>
      <c r="AH1005" s="196"/>
      <c r="AI1005" s="197"/>
      <c r="AJ1005" s="110"/>
    </row>
    <row r="1006" spans="1:36" ht="18" customHeight="1">
      <c r="A1006" s="154"/>
      <c r="B1006" s="154"/>
      <c r="C1006" s="154"/>
      <c r="D1006" s="162"/>
      <c r="E1006" s="154"/>
      <c r="F1006" s="154"/>
      <c r="G1006" s="154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154"/>
      <c r="R1006" s="154"/>
      <c r="S1006" s="154"/>
      <c r="T1006" s="154"/>
      <c r="U1006" s="154"/>
      <c r="V1006" s="154"/>
      <c r="W1006" s="154"/>
      <c r="X1006" s="154"/>
      <c r="Y1006" s="154"/>
      <c r="Z1006" s="154"/>
      <c r="AA1006" s="154"/>
      <c r="AB1006" s="154"/>
      <c r="AC1006" s="154"/>
      <c r="AD1006" s="154"/>
      <c r="AE1006" s="154"/>
      <c r="AF1006" s="154"/>
      <c r="AG1006" s="195"/>
      <c r="AH1006" s="196"/>
      <c r="AI1006" s="197"/>
      <c r="AJ1006" s="110"/>
    </row>
    <row r="1007" spans="1:36" ht="18" customHeight="1">
      <c r="A1007" s="154"/>
      <c r="B1007" s="154"/>
      <c r="C1007" s="154"/>
      <c r="D1007" s="162"/>
      <c r="E1007" s="154"/>
      <c r="F1007" s="154"/>
      <c r="G1007" s="154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154"/>
      <c r="R1007" s="154"/>
      <c r="S1007" s="154"/>
      <c r="T1007" s="154"/>
      <c r="U1007" s="154"/>
      <c r="V1007" s="154"/>
      <c r="W1007" s="154"/>
      <c r="X1007" s="154"/>
      <c r="Y1007" s="154"/>
      <c r="Z1007" s="154"/>
      <c r="AA1007" s="154"/>
      <c r="AB1007" s="154"/>
      <c r="AC1007" s="154"/>
      <c r="AD1007" s="154"/>
      <c r="AE1007" s="154"/>
      <c r="AF1007" s="154"/>
      <c r="AG1007" s="195"/>
      <c r="AH1007" s="196"/>
      <c r="AI1007" s="197"/>
      <c r="AJ1007" s="110"/>
    </row>
    <row r="1008" spans="1:36" ht="18" customHeight="1">
      <c r="A1008" s="154"/>
      <c r="B1008" s="154"/>
      <c r="C1008" s="154"/>
      <c r="D1008" s="162"/>
      <c r="E1008" s="154"/>
      <c r="F1008" s="154"/>
      <c r="G1008" s="154"/>
      <c r="H1008" s="154"/>
      <c r="I1008" s="154"/>
      <c r="J1008" s="154"/>
      <c r="K1008" s="154"/>
      <c r="L1008" s="154"/>
      <c r="M1008" s="154"/>
      <c r="N1008" s="154"/>
      <c r="O1008" s="154"/>
      <c r="P1008" s="154"/>
      <c r="Q1008" s="154"/>
      <c r="R1008" s="154"/>
      <c r="S1008" s="154"/>
      <c r="T1008" s="154"/>
      <c r="U1008" s="154"/>
      <c r="V1008" s="154"/>
      <c r="W1008" s="154"/>
      <c r="X1008" s="154"/>
      <c r="Y1008" s="154"/>
      <c r="Z1008" s="154"/>
      <c r="AA1008" s="154"/>
      <c r="AB1008" s="154"/>
      <c r="AC1008" s="154"/>
      <c r="AD1008" s="154"/>
      <c r="AE1008" s="154"/>
      <c r="AF1008" s="154"/>
      <c r="AG1008" s="195"/>
      <c r="AH1008" s="196"/>
      <c r="AI1008" s="197"/>
      <c r="AJ1008" s="110"/>
    </row>
    <row r="1009" spans="1:36" ht="18" customHeight="1">
      <c r="A1009" s="154"/>
      <c r="B1009" s="154"/>
      <c r="C1009" s="154"/>
      <c r="D1009" s="162"/>
      <c r="E1009" s="154"/>
      <c r="F1009" s="154"/>
      <c r="G1009" s="154"/>
      <c r="H1009" s="154"/>
      <c r="I1009" s="154"/>
      <c r="J1009" s="154"/>
      <c r="K1009" s="154"/>
      <c r="L1009" s="154"/>
      <c r="M1009" s="154"/>
      <c r="N1009" s="154"/>
      <c r="O1009" s="154"/>
      <c r="P1009" s="154"/>
      <c r="Q1009" s="154"/>
      <c r="R1009" s="154"/>
      <c r="S1009" s="154"/>
      <c r="T1009" s="154"/>
      <c r="U1009" s="154"/>
      <c r="V1009" s="154"/>
      <c r="W1009" s="154"/>
      <c r="X1009" s="154"/>
      <c r="Y1009" s="154"/>
      <c r="Z1009" s="154"/>
      <c r="AA1009" s="154"/>
      <c r="AB1009" s="154"/>
      <c r="AC1009" s="154"/>
      <c r="AD1009" s="154"/>
      <c r="AE1009" s="154"/>
      <c r="AF1009" s="154"/>
      <c r="AG1009" s="195"/>
      <c r="AH1009" s="196"/>
      <c r="AI1009" s="197"/>
      <c r="AJ1009" s="110"/>
    </row>
    <row r="1010" spans="1:36" ht="18" customHeight="1">
      <c r="A1010" s="154"/>
      <c r="B1010" s="154"/>
      <c r="C1010" s="154"/>
      <c r="D1010" s="162"/>
      <c r="E1010" s="154"/>
      <c r="F1010" s="154"/>
      <c r="G1010" s="154"/>
      <c r="H1010" s="154"/>
      <c r="I1010" s="154"/>
      <c r="J1010" s="154"/>
      <c r="K1010" s="154"/>
      <c r="L1010" s="154"/>
      <c r="M1010" s="154"/>
      <c r="N1010" s="154"/>
      <c r="O1010" s="154"/>
      <c r="P1010" s="154"/>
      <c r="Q1010" s="154"/>
      <c r="R1010" s="154"/>
      <c r="S1010" s="154"/>
      <c r="T1010" s="154"/>
      <c r="U1010" s="154"/>
      <c r="V1010" s="154"/>
      <c r="W1010" s="154"/>
      <c r="X1010" s="154"/>
      <c r="Y1010" s="154"/>
      <c r="Z1010" s="154"/>
      <c r="AA1010" s="154"/>
      <c r="AB1010" s="154"/>
      <c r="AC1010" s="154"/>
      <c r="AD1010" s="154"/>
      <c r="AE1010" s="154"/>
      <c r="AF1010" s="154"/>
      <c r="AG1010" s="195"/>
      <c r="AH1010" s="196"/>
      <c r="AI1010" s="197"/>
      <c r="AJ1010" s="110"/>
    </row>
    <row r="1011" spans="1:36" ht="18" customHeight="1">
      <c r="A1011" s="154"/>
      <c r="B1011" s="154"/>
      <c r="C1011" s="154"/>
      <c r="D1011" s="162"/>
      <c r="E1011" s="154"/>
      <c r="F1011" s="154"/>
      <c r="G1011" s="154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154"/>
      <c r="R1011" s="154"/>
      <c r="S1011" s="154"/>
      <c r="T1011" s="154"/>
      <c r="U1011" s="154"/>
      <c r="V1011" s="154"/>
      <c r="W1011" s="154"/>
      <c r="X1011" s="154"/>
      <c r="Y1011" s="154"/>
      <c r="Z1011" s="154"/>
      <c r="AA1011" s="154"/>
      <c r="AB1011" s="154"/>
      <c r="AC1011" s="154"/>
      <c r="AD1011" s="154"/>
      <c r="AE1011" s="154"/>
      <c r="AF1011" s="154"/>
      <c r="AG1011" s="195"/>
      <c r="AH1011" s="196"/>
      <c r="AI1011" s="197"/>
      <c r="AJ1011" s="110"/>
    </row>
    <row r="1012" spans="1:36" ht="18" customHeight="1">
      <c r="A1012" s="154"/>
      <c r="B1012" s="154"/>
      <c r="C1012" s="154"/>
      <c r="D1012" s="162"/>
      <c r="E1012" s="154"/>
      <c r="F1012" s="154"/>
      <c r="G1012" s="154"/>
      <c r="H1012" s="154"/>
      <c r="I1012" s="154"/>
      <c r="J1012" s="154"/>
      <c r="K1012" s="154"/>
      <c r="L1012" s="154"/>
      <c r="M1012" s="154"/>
      <c r="N1012" s="154"/>
      <c r="O1012" s="154"/>
      <c r="P1012" s="154"/>
      <c r="Q1012" s="154"/>
      <c r="R1012" s="154"/>
      <c r="S1012" s="154"/>
      <c r="T1012" s="154"/>
      <c r="U1012" s="154"/>
      <c r="V1012" s="154"/>
      <c r="W1012" s="154"/>
      <c r="X1012" s="154"/>
      <c r="Y1012" s="154"/>
      <c r="Z1012" s="154"/>
      <c r="AA1012" s="154"/>
      <c r="AB1012" s="154"/>
      <c r="AC1012" s="154"/>
      <c r="AD1012" s="154"/>
      <c r="AE1012" s="154"/>
      <c r="AF1012" s="154"/>
      <c r="AG1012" s="195"/>
      <c r="AH1012" s="196"/>
      <c r="AI1012" s="197"/>
      <c r="AJ1012" s="110"/>
    </row>
    <row r="1013" spans="1:36" ht="18" customHeight="1">
      <c r="A1013" s="154"/>
      <c r="B1013" s="154"/>
      <c r="C1013" s="154"/>
      <c r="D1013" s="162"/>
      <c r="E1013" s="154"/>
      <c r="F1013" s="154"/>
      <c r="G1013" s="154"/>
      <c r="H1013" s="154"/>
      <c r="I1013" s="154"/>
      <c r="J1013" s="154"/>
      <c r="K1013" s="154"/>
      <c r="L1013" s="154"/>
      <c r="M1013" s="154"/>
      <c r="N1013" s="154"/>
      <c r="O1013" s="154"/>
      <c r="P1013" s="154"/>
      <c r="Q1013" s="154"/>
      <c r="R1013" s="154"/>
      <c r="S1013" s="154"/>
      <c r="T1013" s="154"/>
      <c r="U1013" s="154"/>
      <c r="V1013" s="154"/>
      <c r="W1013" s="154"/>
      <c r="X1013" s="154"/>
      <c r="Y1013" s="154"/>
      <c r="Z1013" s="154"/>
      <c r="AA1013" s="154"/>
      <c r="AB1013" s="154"/>
      <c r="AC1013" s="154"/>
      <c r="AD1013" s="154"/>
      <c r="AE1013" s="154"/>
      <c r="AF1013" s="154"/>
      <c r="AG1013" s="195"/>
      <c r="AH1013" s="196"/>
      <c r="AI1013" s="197"/>
      <c r="AJ1013" s="110"/>
    </row>
    <row r="1014" spans="1:36" ht="18" customHeight="1">
      <c r="A1014" s="154"/>
      <c r="B1014" s="154"/>
      <c r="C1014" s="154"/>
      <c r="D1014" s="162"/>
      <c r="E1014" s="154"/>
      <c r="F1014" s="154"/>
      <c r="G1014" s="154"/>
      <c r="H1014" s="154"/>
      <c r="I1014" s="154"/>
      <c r="J1014" s="154"/>
      <c r="K1014" s="154"/>
      <c r="L1014" s="154"/>
      <c r="M1014" s="154"/>
      <c r="N1014" s="154"/>
      <c r="O1014" s="154"/>
      <c r="P1014" s="154"/>
      <c r="Q1014" s="154"/>
      <c r="R1014" s="154"/>
      <c r="S1014" s="154"/>
      <c r="T1014" s="154"/>
      <c r="U1014" s="154"/>
      <c r="V1014" s="154"/>
      <c r="W1014" s="154"/>
      <c r="X1014" s="154"/>
      <c r="Y1014" s="154"/>
      <c r="Z1014" s="154"/>
      <c r="AA1014" s="154"/>
      <c r="AB1014" s="154"/>
      <c r="AC1014" s="154"/>
      <c r="AD1014" s="154"/>
      <c r="AE1014" s="154"/>
      <c r="AF1014" s="154"/>
      <c r="AG1014" s="195"/>
      <c r="AH1014" s="196"/>
      <c r="AI1014" s="197"/>
      <c r="AJ1014" s="110"/>
    </row>
    <row r="1015" spans="1:36" ht="18" customHeight="1">
      <c r="A1015" s="154"/>
      <c r="B1015" s="154"/>
      <c r="C1015" s="154"/>
      <c r="D1015" s="162"/>
      <c r="E1015" s="154"/>
      <c r="F1015" s="154"/>
      <c r="G1015" s="154"/>
      <c r="H1015" s="154"/>
      <c r="I1015" s="154"/>
      <c r="J1015" s="154"/>
      <c r="K1015" s="154"/>
      <c r="L1015" s="154"/>
      <c r="M1015" s="154"/>
      <c r="N1015" s="154"/>
      <c r="O1015" s="154"/>
      <c r="P1015" s="154"/>
      <c r="Q1015" s="154"/>
      <c r="R1015" s="154"/>
      <c r="S1015" s="154"/>
      <c r="T1015" s="154"/>
      <c r="U1015" s="154"/>
      <c r="V1015" s="154"/>
      <c r="W1015" s="154"/>
      <c r="X1015" s="154"/>
      <c r="Y1015" s="154"/>
      <c r="Z1015" s="154"/>
      <c r="AA1015" s="154"/>
      <c r="AB1015" s="154"/>
      <c r="AC1015" s="154"/>
      <c r="AD1015" s="154"/>
      <c r="AE1015" s="154"/>
      <c r="AF1015" s="154"/>
      <c r="AG1015" s="195"/>
      <c r="AH1015" s="196"/>
      <c r="AI1015" s="197"/>
      <c r="AJ1015" s="110"/>
    </row>
    <row r="1016" spans="1:36" ht="18" customHeight="1">
      <c r="A1016" s="154"/>
      <c r="B1016" s="154"/>
      <c r="C1016" s="154"/>
      <c r="D1016" s="162"/>
      <c r="E1016" s="154"/>
      <c r="F1016" s="154"/>
      <c r="G1016" s="154"/>
      <c r="H1016" s="154"/>
      <c r="I1016" s="154"/>
      <c r="J1016" s="154"/>
      <c r="K1016" s="154"/>
      <c r="L1016" s="154"/>
      <c r="M1016" s="154"/>
      <c r="N1016" s="154"/>
      <c r="O1016" s="154"/>
      <c r="P1016" s="154"/>
      <c r="Q1016" s="154"/>
      <c r="R1016" s="154"/>
      <c r="S1016" s="154"/>
      <c r="T1016" s="154"/>
      <c r="U1016" s="154"/>
      <c r="V1016" s="154"/>
      <c r="W1016" s="154"/>
      <c r="X1016" s="154"/>
      <c r="Y1016" s="154"/>
      <c r="Z1016" s="154"/>
      <c r="AA1016" s="154"/>
      <c r="AB1016" s="154"/>
      <c r="AC1016" s="154"/>
      <c r="AD1016" s="154"/>
      <c r="AE1016" s="154"/>
      <c r="AF1016" s="154"/>
      <c r="AG1016" s="195"/>
      <c r="AH1016" s="196"/>
      <c r="AI1016" s="197"/>
      <c r="AJ1016" s="110"/>
    </row>
    <row r="1017" spans="1:36" ht="18" customHeight="1">
      <c r="A1017" s="154"/>
      <c r="B1017" s="154"/>
      <c r="C1017" s="154"/>
      <c r="D1017" s="162"/>
      <c r="E1017" s="154"/>
      <c r="F1017" s="154"/>
      <c r="G1017" s="154"/>
      <c r="H1017" s="154"/>
      <c r="I1017" s="154"/>
      <c r="J1017" s="154"/>
      <c r="K1017" s="154"/>
      <c r="L1017" s="154"/>
      <c r="M1017" s="154"/>
      <c r="N1017" s="154"/>
      <c r="O1017" s="154"/>
      <c r="P1017" s="154"/>
      <c r="Q1017" s="154"/>
      <c r="R1017" s="154"/>
      <c r="S1017" s="154"/>
      <c r="T1017" s="154"/>
      <c r="U1017" s="154"/>
      <c r="V1017" s="154"/>
      <c r="W1017" s="154"/>
      <c r="X1017" s="154"/>
      <c r="Y1017" s="154"/>
      <c r="Z1017" s="154"/>
      <c r="AA1017" s="154"/>
      <c r="AB1017" s="154"/>
      <c r="AC1017" s="154"/>
      <c r="AD1017" s="154"/>
      <c r="AE1017" s="154"/>
      <c r="AF1017" s="154"/>
      <c r="AG1017" s="195"/>
      <c r="AH1017" s="196"/>
      <c r="AI1017" s="197"/>
      <c r="AJ1017" s="110"/>
    </row>
    <row r="1018" spans="1:36" ht="18" customHeight="1">
      <c r="A1018" s="154"/>
      <c r="B1018" s="154"/>
      <c r="C1018" s="154"/>
      <c r="D1018" s="162"/>
      <c r="E1018" s="154"/>
      <c r="F1018" s="154"/>
      <c r="G1018" s="154"/>
      <c r="H1018" s="154"/>
      <c r="I1018" s="154"/>
      <c r="J1018" s="154"/>
      <c r="K1018" s="154"/>
      <c r="L1018" s="154"/>
      <c r="M1018" s="154"/>
      <c r="N1018" s="154"/>
      <c r="O1018" s="154"/>
      <c r="P1018" s="154"/>
      <c r="Q1018" s="154"/>
      <c r="R1018" s="154"/>
      <c r="S1018" s="154"/>
      <c r="T1018" s="154"/>
      <c r="U1018" s="154"/>
      <c r="V1018" s="154"/>
      <c r="W1018" s="154"/>
      <c r="X1018" s="154"/>
      <c r="Y1018" s="154"/>
      <c r="Z1018" s="154"/>
      <c r="AA1018" s="154"/>
      <c r="AB1018" s="154"/>
      <c r="AC1018" s="154"/>
      <c r="AD1018" s="154"/>
      <c r="AE1018" s="154"/>
      <c r="AF1018" s="154"/>
      <c r="AG1018" s="195"/>
      <c r="AH1018" s="196"/>
      <c r="AI1018" s="197"/>
      <c r="AJ1018" s="110"/>
    </row>
    <row r="1019" spans="1:36" ht="18" customHeight="1">
      <c r="A1019" s="154"/>
      <c r="B1019" s="154"/>
      <c r="C1019" s="154"/>
      <c r="D1019" s="162"/>
      <c r="E1019" s="154"/>
      <c r="F1019" s="154"/>
      <c r="G1019" s="154"/>
      <c r="H1019" s="154"/>
      <c r="I1019" s="154"/>
      <c r="J1019" s="154"/>
      <c r="K1019" s="154"/>
      <c r="L1019" s="154"/>
      <c r="M1019" s="154"/>
      <c r="N1019" s="154"/>
      <c r="O1019" s="154"/>
      <c r="P1019" s="154"/>
      <c r="Q1019" s="154"/>
      <c r="R1019" s="154"/>
      <c r="S1019" s="154"/>
      <c r="T1019" s="154"/>
      <c r="U1019" s="154"/>
      <c r="V1019" s="154"/>
      <c r="W1019" s="154"/>
      <c r="X1019" s="154"/>
      <c r="Y1019" s="154"/>
      <c r="Z1019" s="154"/>
      <c r="AA1019" s="154"/>
      <c r="AB1019" s="154"/>
      <c r="AC1019" s="154"/>
      <c r="AD1019" s="154"/>
      <c r="AE1019" s="154"/>
      <c r="AF1019" s="154"/>
      <c r="AG1019" s="195"/>
      <c r="AH1019" s="196"/>
      <c r="AI1019" s="197"/>
      <c r="AJ1019" s="110"/>
    </row>
    <row r="1020" spans="1:36" ht="18" customHeight="1">
      <c r="A1020" s="154"/>
      <c r="B1020" s="154"/>
      <c r="C1020" s="154"/>
      <c r="D1020" s="162"/>
      <c r="E1020" s="154"/>
      <c r="F1020" s="154"/>
      <c r="G1020" s="154"/>
      <c r="H1020" s="154"/>
      <c r="I1020" s="154"/>
      <c r="J1020" s="154"/>
      <c r="K1020" s="154"/>
      <c r="L1020" s="154"/>
      <c r="M1020" s="154"/>
      <c r="N1020" s="154"/>
      <c r="O1020" s="154"/>
      <c r="P1020" s="154"/>
      <c r="Q1020" s="154"/>
      <c r="R1020" s="154"/>
      <c r="S1020" s="154"/>
      <c r="T1020" s="154"/>
      <c r="U1020" s="154"/>
      <c r="V1020" s="154"/>
      <c r="W1020" s="154"/>
      <c r="X1020" s="154"/>
      <c r="Y1020" s="154"/>
      <c r="Z1020" s="154"/>
      <c r="AA1020" s="154"/>
      <c r="AB1020" s="154"/>
      <c r="AC1020" s="154"/>
      <c r="AD1020" s="154"/>
      <c r="AE1020" s="154"/>
      <c r="AF1020" s="154"/>
      <c r="AG1020" s="195"/>
      <c r="AH1020" s="196"/>
      <c r="AI1020" s="197"/>
      <c r="AJ1020" s="110"/>
    </row>
    <row r="1021" spans="1:36" ht="18" customHeight="1">
      <c r="A1021" s="154"/>
      <c r="B1021" s="154"/>
      <c r="C1021" s="154"/>
      <c r="D1021" s="162"/>
      <c r="E1021" s="154"/>
      <c r="F1021" s="154"/>
      <c r="G1021" s="154"/>
      <c r="H1021" s="154"/>
      <c r="I1021" s="154"/>
      <c r="J1021" s="154"/>
      <c r="K1021" s="154"/>
      <c r="L1021" s="154"/>
      <c r="M1021" s="154"/>
      <c r="N1021" s="154"/>
      <c r="O1021" s="154"/>
      <c r="P1021" s="154"/>
      <c r="Q1021" s="154"/>
      <c r="R1021" s="154"/>
      <c r="S1021" s="154"/>
      <c r="T1021" s="154"/>
      <c r="U1021" s="154"/>
      <c r="V1021" s="154"/>
      <c r="W1021" s="154"/>
      <c r="X1021" s="154"/>
      <c r="Y1021" s="154"/>
      <c r="Z1021" s="154"/>
      <c r="AA1021" s="154"/>
      <c r="AB1021" s="154"/>
      <c r="AC1021" s="154"/>
      <c r="AD1021" s="154"/>
      <c r="AE1021" s="154"/>
      <c r="AF1021" s="154"/>
      <c r="AG1021" s="195"/>
      <c r="AH1021" s="196"/>
      <c r="AI1021" s="197"/>
      <c r="AJ1021" s="110"/>
    </row>
    <row r="1022" spans="1:36" ht="18" customHeight="1">
      <c r="A1022" s="154"/>
      <c r="B1022" s="154"/>
      <c r="C1022" s="154"/>
      <c r="D1022" s="162"/>
      <c r="E1022" s="154"/>
      <c r="F1022" s="154"/>
      <c r="G1022" s="154"/>
      <c r="H1022" s="154"/>
      <c r="I1022" s="154"/>
      <c r="J1022" s="154"/>
      <c r="K1022" s="154"/>
      <c r="L1022" s="154"/>
      <c r="M1022" s="154"/>
      <c r="N1022" s="154"/>
      <c r="O1022" s="154"/>
      <c r="P1022" s="154"/>
      <c r="Q1022" s="154"/>
      <c r="R1022" s="154"/>
      <c r="S1022" s="154"/>
      <c r="T1022" s="154"/>
      <c r="U1022" s="154"/>
      <c r="V1022" s="154"/>
      <c r="W1022" s="154"/>
      <c r="X1022" s="154"/>
      <c r="Y1022" s="154"/>
      <c r="Z1022" s="154"/>
      <c r="AA1022" s="154"/>
      <c r="AB1022" s="154"/>
      <c r="AC1022" s="154"/>
      <c r="AD1022" s="154"/>
      <c r="AE1022" s="154"/>
      <c r="AF1022" s="154"/>
      <c r="AG1022" s="195"/>
      <c r="AH1022" s="196"/>
      <c r="AI1022" s="197"/>
      <c r="AJ1022" s="110"/>
    </row>
    <row r="1023" spans="1:36" ht="18" customHeight="1">
      <c r="A1023" s="154"/>
      <c r="B1023" s="154"/>
      <c r="C1023" s="154"/>
      <c r="D1023" s="162"/>
      <c r="E1023" s="154"/>
      <c r="F1023" s="154"/>
      <c r="G1023" s="154"/>
      <c r="H1023" s="154"/>
      <c r="I1023" s="154"/>
      <c r="J1023" s="154"/>
      <c r="K1023" s="154"/>
      <c r="L1023" s="154"/>
      <c r="M1023" s="154"/>
      <c r="N1023" s="154"/>
      <c r="O1023" s="154"/>
      <c r="P1023" s="154"/>
      <c r="Q1023" s="154"/>
      <c r="R1023" s="154"/>
      <c r="S1023" s="154"/>
      <c r="T1023" s="154"/>
      <c r="U1023" s="154"/>
      <c r="V1023" s="154"/>
      <c r="W1023" s="154"/>
      <c r="X1023" s="154"/>
      <c r="Y1023" s="154"/>
      <c r="Z1023" s="154"/>
      <c r="AA1023" s="154"/>
      <c r="AB1023" s="154"/>
      <c r="AC1023" s="154"/>
      <c r="AD1023" s="154"/>
      <c r="AE1023" s="154"/>
      <c r="AF1023" s="154"/>
      <c r="AG1023" s="195"/>
      <c r="AH1023" s="196"/>
      <c r="AI1023" s="197"/>
      <c r="AJ1023" s="110"/>
    </row>
    <row r="1024" spans="1:36" ht="18" customHeight="1">
      <c r="A1024" s="154"/>
      <c r="B1024" s="154"/>
      <c r="C1024" s="154"/>
      <c r="D1024" s="162"/>
      <c r="E1024" s="154"/>
      <c r="F1024" s="154"/>
      <c r="G1024" s="154"/>
      <c r="H1024" s="154"/>
      <c r="I1024" s="154"/>
      <c r="J1024" s="154"/>
      <c r="K1024" s="154"/>
      <c r="L1024" s="154"/>
      <c r="M1024" s="154"/>
      <c r="N1024" s="154"/>
      <c r="O1024" s="154"/>
      <c r="P1024" s="154"/>
      <c r="Q1024" s="154"/>
      <c r="R1024" s="154"/>
      <c r="S1024" s="154"/>
      <c r="T1024" s="154"/>
      <c r="U1024" s="154"/>
      <c r="V1024" s="154"/>
      <c r="W1024" s="154"/>
      <c r="X1024" s="154"/>
      <c r="Y1024" s="154"/>
      <c r="Z1024" s="154"/>
      <c r="AA1024" s="154"/>
      <c r="AB1024" s="154"/>
      <c r="AC1024" s="154"/>
      <c r="AD1024" s="154"/>
      <c r="AE1024" s="154"/>
      <c r="AF1024" s="154"/>
      <c r="AG1024" s="195"/>
      <c r="AH1024" s="196"/>
      <c r="AI1024" s="197"/>
      <c r="AJ1024" s="110"/>
    </row>
    <row r="1025" spans="1:36" ht="18" customHeight="1">
      <c r="A1025" s="154"/>
      <c r="B1025" s="154"/>
      <c r="C1025" s="154"/>
      <c r="D1025" s="162"/>
      <c r="E1025" s="154"/>
      <c r="F1025" s="154"/>
      <c r="G1025" s="154"/>
      <c r="H1025" s="154"/>
      <c r="I1025" s="154"/>
      <c r="J1025" s="154"/>
      <c r="K1025" s="154"/>
      <c r="L1025" s="154"/>
      <c r="M1025" s="154"/>
      <c r="N1025" s="154"/>
      <c r="O1025" s="154"/>
      <c r="P1025" s="154"/>
      <c r="Q1025" s="154"/>
      <c r="R1025" s="154"/>
      <c r="S1025" s="154"/>
      <c r="T1025" s="154"/>
      <c r="U1025" s="154"/>
      <c r="V1025" s="154"/>
      <c r="W1025" s="154"/>
      <c r="X1025" s="154"/>
      <c r="Y1025" s="154"/>
      <c r="Z1025" s="154"/>
      <c r="AA1025" s="154"/>
      <c r="AB1025" s="154"/>
      <c r="AC1025" s="154"/>
      <c r="AD1025" s="154"/>
      <c r="AE1025" s="154"/>
      <c r="AF1025" s="154"/>
      <c r="AG1025" s="195"/>
      <c r="AH1025" s="196"/>
      <c r="AI1025" s="197"/>
      <c r="AJ1025" s="110"/>
    </row>
    <row r="1026" spans="1:36" ht="18" customHeight="1">
      <c r="A1026" s="154"/>
      <c r="B1026" s="154"/>
      <c r="C1026" s="154"/>
      <c r="D1026" s="162"/>
      <c r="E1026" s="154"/>
      <c r="F1026" s="154"/>
      <c r="G1026" s="154"/>
      <c r="H1026" s="154"/>
      <c r="I1026" s="154"/>
      <c r="J1026" s="154"/>
      <c r="K1026" s="154"/>
      <c r="L1026" s="154"/>
      <c r="M1026" s="154"/>
      <c r="N1026" s="154"/>
      <c r="O1026" s="154"/>
      <c r="P1026" s="154"/>
      <c r="Q1026" s="154"/>
      <c r="R1026" s="154"/>
      <c r="S1026" s="154"/>
      <c r="T1026" s="154"/>
      <c r="U1026" s="154"/>
      <c r="V1026" s="154"/>
      <c r="W1026" s="154"/>
      <c r="X1026" s="154"/>
      <c r="Y1026" s="154"/>
      <c r="Z1026" s="154"/>
      <c r="AA1026" s="154"/>
      <c r="AB1026" s="154"/>
      <c r="AC1026" s="154"/>
      <c r="AD1026" s="154"/>
      <c r="AE1026" s="154"/>
      <c r="AF1026" s="154"/>
      <c r="AG1026" s="195"/>
      <c r="AH1026" s="196"/>
      <c r="AI1026" s="197"/>
      <c r="AJ1026" s="110"/>
    </row>
    <row r="1027" spans="1:36" ht="18" customHeight="1">
      <c r="A1027" s="154"/>
      <c r="B1027" s="154"/>
      <c r="C1027" s="154"/>
      <c r="D1027" s="162"/>
      <c r="E1027" s="154"/>
      <c r="F1027" s="154"/>
      <c r="G1027" s="154"/>
      <c r="H1027" s="154"/>
      <c r="I1027" s="154"/>
      <c r="J1027" s="154"/>
      <c r="K1027" s="154"/>
      <c r="L1027" s="154"/>
      <c r="M1027" s="154"/>
      <c r="N1027" s="154"/>
      <c r="O1027" s="154"/>
      <c r="P1027" s="154"/>
      <c r="Q1027" s="154"/>
      <c r="R1027" s="154"/>
      <c r="S1027" s="154"/>
      <c r="T1027" s="154"/>
      <c r="U1027" s="154"/>
      <c r="V1027" s="154"/>
      <c r="W1027" s="154"/>
      <c r="X1027" s="154"/>
      <c r="Y1027" s="154"/>
      <c r="Z1027" s="154"/>
      <c r="AA1027" s="154"/>
      <c r="AB1027" s="154"/>
      <c r="AC1027" s="154"/>
      <c r="AD1027" s="154"/>
      <c r="AE1027" s="154"/>
      <c r="AF1027" s="154"/>
      <c r="AG1027" s="195"/>
      <c r="AH1027" s="196"/>
      <c r="AI1027" s="197"/>
      <c r="AJ1027" s="110"/>
    </row>
    <row r="1028" spans="1:36" ht="18" customHeight="1">
      <c r="A1028" s="154"/>
      <c r="B1028" s="154"/>
      <c r="C1028" s="154"/>
      <c r="D1028" s="162"/>
      <c r="E1028" s="154"/>
      <c r="F1028" s="154"/>
      <c r="G1028" s="154"/>
      <c r="H1028" s="154"/>
      <c r="I1028" s="154"/>
      <c r="J1028" s="154"/>
      <c r="K1028" s="154"/>
      <c r="L1028" s="154"/>
      <c r="M1028" s="154"/>
      <c r="N1028" s="154"/>
      <c r="O1028" s="154"/>
      <c r="P1028" s="154"/>
      <c r="Q1028" s="154"/>
      <c r="R1028" s="154"/>
      <c r="S1028" s="154"/>
      <c r="T1028" s="154"/>
      <c r="U1028" s="154"/>
      <c r="V1028" s="154"/>
      <c r="W1028" s="154"/>
      <c r="X1028" s="154"/>
      <c r="Y1028" s="154"/>
      <c r="Z1028" s="154"/>
      <c r="AA1028" s="154"/>
      <c r="AB1028" s="154"/>
      <c r="AC1028" s="154"/>
      <c r="AD1028" s="154"/>
      <c r="AE1028" s="154"/>
      <c r="AF1028" s="154"/>
      <c r="AG1028" s="195"/>
      <c r="AH1028" s="196"/>
      <c r="AI1028" s="197"/>
      <c r="AJ1028" s="110"/>
    </row>
    <row r="1029" spans="1:36" ht="18" customHeight="1">
      <c r="A1029" s="154"/>
      <c r="B1029" s="154"/>
      <c r="C1029" s="154"/>
      <c r="D1029" s="162"/>
      <c r="E1029" s="154"/>
      <c r="F1029" s="154"/>
      <c r="G1029" s="154"/>
      <c r="H1029" s="154"/>
      <c r="I1029" s="154"/>
      <c r="J1029" s="154"/>
      <c r="K1029" s="154"/>
      <c r="L1029" s="154"/>
      <c r="M1029" s="154"/>
      <c r="N1029" s="154"/>
      <c r="O1029" s="154"/>
      <c r="P1029" s="154"/>
      <c r="Q1029" s="154"/>
      <c r="R1029" s="154"/>
      <c r="S1029" s="154"/>
      <c r="T1029" s="154"/>
      <c r="U1029" s="154"/>
      <c r="V1029" s="154"/>
      <c r="W1029" s="154"/>
      <c r="X1029" s="154"/>
      <c r="Y1029" s="154"/>
      <c r="Z1029" s="154"/>
      <c r="AA1029" s="154"/>
      <c r="AB1029" s="154"/>
      <c r="AC1029" s="154"/>
      <c r="AD1029" s="154"/>
      <c r="AE1029" s="154"/>
      <c r="AF1029" s="154"/>
      <c r="AG1029" s="195"/>
      <c r="AH1029" s="196"/>
      <c r="AI1029" s="197"/>
      <c r="AJ1029" s="110"/>
    </row>
    <row r="1030" spans="1:36" ht="18" customHeight="1">
      <c r="A1030" s="154"/>
      <c r="B1030" s="154"/>
      <c r="C1030" s="154"/>
      <c r="D1030" s="162"/>
      <c r="E1030" s="154"/>
      <c r="F1030" s="154"/>
      <c r="G1030" s="154"/>
      <c r="H1030" s="154"/>
      <c r="I1030" s="154"/>
      <c r="J1030" s="154"/>
      <c r="K1030" s="154"/>
      <c r="L1030" s="154"/>
      <c r="M1030" s="154"/>
      <c r="N1030" s="154"/>
      <c r="O1030" s="154"/>
      <c r="P1030" s="154"/>
      <c r="Q1030" s="154"/>
      <c r="R1030" s="154"/>
      <c r="S1030" s="154"/>
      <c r="T1030" s="154"/>
      <c r="U1030" s="154"/>
      <c r="V1030" s="154"/>
      <c r="W1030" s="154"/>
      <c r="X1030" s="154"/>
      <c r="Y1030" s="154"/>
      <c r="Z1030" s="154"/>
      <c r="AA1030" s="154"/>
      <c r="AB1030" s="154"/>
      <c r="AC1030" s="154"/>
      <c r="AD1030" s="154"/>
      <c r="AE1030" s="154"/>
      <c r="AF1030" s="154"/>
      <c r="AG1030" s="195"/>
      <c r="AH1030" s="196"/>
      <c r="AI1030" s="197"/>
      <c r="AJ1030" s="110"/>
    </row>
    <row r="1031" spans="1:36" ht="18" customHeight="1">
      <c r="A1031" s="154"/>
      <c r="B1031" s="154"/>
      <c r="C1031" s="154"/>
      <c r="D1031" s="162"/>
      <c r="E1031" s="154"/>
      <c r="F1031" s="154"/>
      <c r="G1031" s="154"/>
      <c r="H1031" s="154"/>
      <c r="I1031" s="154"/>
      <c r="J1031" s="154"/>
      <c r="K1031" s="154"/>
      <c r="L1031" s="154"/>
      <c r="M1031" s="154"/>
      <c r="N1031" s="154"/>
      <c r="O1031" s="154"/>
      <c r="P1031" s="154"/>
      <c r="Q1031" s="154"/>
      <c r="R1031" s="154"/>
      <c r="S1031" s="154"/>
      <c r="T1031" s="154"/>
      <c r="U1031" s="154"/>
      <c r="V1031" s="154"/>
      <c r="W1031" s="154"/>
      <c r="X1031" s="154"/>
      <c r="Y1031" s="154"/>
      <c r="Z1031" s="154"/>
      <c r="AA1031" s="154"/>
      <c r="AB1031" s="154"/>
      <c r="AC1031" s="154"/>
      <c r="AD1031" s="154"/>
      <c r="AE1031" s="154"/>
      <c r="AF1031" s="154"/>
      <c r="AG1031" s="195"/>
      <c r="AH1031" s="196"/>
      <c r="AI1031" s="197"/>
      <c r="AJ1031" s="110"/>
    </row>
    <row r="1032" spans="1:36" ht="18" customHeight="1">
      <c r="A1032" s="154"/>
      <c r="B1032" s="154"/>
      <c r="C1032" s="154"/>
      <c r="D1032" s="162"/>
      <c r="E1032" s="154"/>
      <c r="F1032" s="154"/>
      <c r="G1032" s="154"/>
      <c r="H1032" s="154"/>
      <c r="I1032" s="154"/>
      <c r="J1032" s="154"/>
      <c r="K1032" s="154"/>
      <c r="L1032" s="154"/>
      <c r="M1032" s="154"/>
      <c r="N1032" s="154"/>
      <c r="O1032" s="154"/>
      <c r="P1032" s="154"/>
      <c r="Q1032" s="154"/>
      <c r="R1032" s="154"/>
      <c r="S1032" s="154"/>
      <c r="T1032" s="154"/>
      <c r="U1032" s="154"/>
      <c r="V1032" s="154"/>
      <c r="W1032" s="154"/>
      <c r="X1032" s="154"/>
      <c r="Y1032" s="154"/>
      <c r="Z1032" s="154"/>
      <c r="AA1032" s="154"/>
      <c r="AB1032" s="154"/>
      <c r="AC1032" s="154"/>
      <c r="AD1032" s="154"/>
      <c r="AE1032" s="154"/>
      <c r="AF1032" s="154"/>
      <c r="AG1032" s="195"/>
      <c r="AH1032" s="196"/>
      <c r="AI1032" s="197"/>
      <c r="AJ1032" s="110"/>
    </row>
    <row r="1033" spans="1:36" ht="18" customHeight="1">
      <c r="A1033" s="154"/>
      <c r="B1033" s="154"/>
      <c r="C1033" s="154"/>
      <c r="D1033" s="162"/>
      <c r="E1033" s="154"/>
      <c r="F1033" s="154"/>
      <c r="G1033" s="154"/>
      <c r="H1033" s="154"/>
      <c r="I1033" s="154"/>
      <c r="J1033" s="154"/>
      <c r="K1033" s="154"/>
      <c r="L1033" s="154"/>
      <c r="M1033" s="154"/>
      <c r="N1033" s="154"/>
      <c r="O1033" s="154"/>
      <c r="P1033" s="154"/>
      <c r="Q1033" s="154"/>
      <c r="R1033" s="154"/>
      <c r="S1033" s="154"/>
      <c r="T1033" s="154"/>
      <c r="U1033" s="154"/>
      <c r="V1033" s="154"/>
      <c r="W1033" s="154"/>
      <c r="X1033" s="154"/>
      <c r="Y1033" s="154"/>
      <c r="Z1033" s="154"/>
      <c r="AA1033" s="154"/>
      <c r="AB1033" s="154"/>
      <c r="AC1033" s="154"/>
      <c r="AD1033" s="154"/>
      <c r="AE1033" s="154"/>
      <c r="AF1033" s="154"/>
      <c r="AG1033" s="195"/>
      <c r="AH1033" s="196"/>
      <c r="AI1033" s="197"/>
      <c r="AJ1033" s="110"/>
    </row>
    <row r="1034" spans="1:36" ht="18" customHeight="1">
      <c r="A1034" s="154"/>
      <c r="B1034" s="154"/>
      <c r="C1034" s="154"/>
      <c r="D1034" s="162"/>
      <c r="E1034" s="154"/>
      <c r="F1034" s="154"/>
      <c r="G1034" s="154"/>
      <c r="H1034" s="154"/>
      <c r="I1034" s="154"/>
      <c r="J1034" s="154"/>
      <c r="K1034" s="154"/>
      <c r="L1034" s="154"/>
      <c r="M1034" s="154"/>
      <c r="N1034" s="154"/>
      <c r="O1034" s="154"/>
      <c r="P1034" s="154"/>
      <c r="Q1034" s="154"/>
      <c r="R1034" s="154"/>
      <c r="S1034" s="154"/>
      <c r="T1034" s="154"/>
      <c r="U1034" s="154"/>
      <c r="V1034" s="154"/>
      <c r="W1034" s="154"/>
      <c r="X1034" s="154"/>
      <c r="Y1034" s="154"/>
      <c r="Z1034" s="154"/>
      <c r="AA1034" s="154"/>
      <c r="AB1034" s="154"/>
      <c r="AC1034" s="154"/>
      <c r="AD1034" s="154"/>
      <c r="AE1034" s="154"/>
      <c r="AF1034" s="154"/>
      <c r="AG1034" s="195"/>
      <c r="AH1034" s="196"/>
      <c r="AI1034" s="197"/>
      <c r="AJ1034" s="110"/>
    </row>
    <row r="1035" spans="1:36" ht="18" customHeight="1">
      <c r="A1035" s="154"/>
      <c r="B1035" s="154"/>
      <c r="C1035" s="154"/>
      <c r="D1035" s="162"/>
      <c r="E1035" s="154"/>
      <c r="F1035" s="154"/>
      <c r="G1035" s="154"/>
      <c r="H1035" s="154"/>
      <c r="I1035" s="154"/>
      <c r="J1035" s="154"/>
      <c r="K1035" s="154"/>
      <c r="L1035" s="154"/>
      <c r="M1035" s="154"/>
      <c r="N1035" s="154"/>
      <c r="O1035" s="154"/>
      <c r="P1035" s="154"/>
      <c r="Q1035" s="154"/>
      <c r="R1035" s="154"/>
      <c r="S1035" s="154"/>
      <c r="T1035" s="154"/>
      <c r="U1035" s="154"/>
      <c r="V1035" s="154"/>
      <c r="W1035" s="154"/>
      <c r="X1035" s="154"/>
      <c r="Y1035" s="154"/>
      <c r="Z1035" s="154"/>
      <c r="AA1035" s="154"/>
      <c r="AB1035" s="154"/>
      <c r="AC1035" s="154"/>
      <c r="AD1035" s="154"/>
      <c r="AE1035" s="154"/>
      <c r="AF1035" s="154"/>
      <c r="AG1035" s="195"/>
      <c r="AH1035" s="196"/>
      <c r="AI1035" s="197"/>
      <c r="AJ1035" s="110"/>
    </row>
    <row r="1036" spans="1:36" ht="18" customHeight="1">
      <c r="A1036" s="154"/>
      <c r="B1036" s="154"/>
      <c r="C1036" s="154"/>
      <c r="D1036" s="162"/>
      <c r="E1036" s="154"/>
      <c r="F1036" s="154"/>
      <c r="G1036" s="154"/>
      <c r="H1036" s="154"/>
      <c r="I1036" s="154"/>
      <c r="J1036" s="154"/>
      <c r="K1036" s="154"/>
      <c r="L1036" s="154"/>
      <c r="M1036" s="154"/>
      <c r="N1036" s="154"/>
      <c r="O1036" s="154"/>
      <c r="P1036" s="154"/>
      <c r="Q1036" s="154"/>
      <c r="R1036" s="154"/>
      <c r="S1036" s="154"/>
      <c r="T1036" s="154"/>
      <c r="U1036" s="154"/>
      <c r="V1036" s="154"/>
      <c r="W1036" s="154"/>
      <c r="X1036" s="154"/>
      <c r="Y1036" s="154"/>
      <c r="Z1036" s="154"/>
      <c r="AA1036" s="154"/>
      <c r="AB1036" s="154"/>
      <c r="AC1036" s="154"/>
      <c r="AD1036" s="154"/>
      <c r="AE1036" s="154"/>
      <c r="AF1036" s="154"/>
      <c r="AG1036" s="195"/>
      <c r="AH1036" s="196"/>
      <c r="AI1036" s="197"/>
      <c r="AJ1036" s="110"/>
    </row>
    <row r="1037" spans="1:36" ht="18" customHeight="1">
      <c r="A1037" s="154"/>
      <c r="B1037" s="154"/>
      <c r="C1037" s="154"/>
      <c r="D1037" s="162"/>
      <c r="E1037" s="154"/>
      <c r="F1037" s="154"/>
      <c r="G1037" s="154"/>
      <c r="H1037" s="154"/>
      <c r="I1037" s="154"/>
      <c r="J1037" s="154"/>
      <c r="K1037" s="154"/>
      <c r="L1037" s="154"/>
      <c r="M1037" s="154"/>
      <c r="N1037" s="154"/>
      <c r="O1037" s="154"/>
      <c r="P1037" s="154"/>
      <c r="Q1037" s="154"/>
      <c r="R1037" s="154"/>
      <c r="S1037" s="154"/>
      <c r="T1037" s="154"/>
      <c r="U1037" s="154"/>
      <c r="V1037" s="154"/>
      <c r="W1037" s="154"/>
      <c r="X1037" s="154"/>
      <c r="Y1037" s="154"/>
      <c r="Z1037" s="154"/>
      <c r="AA1037" s="154"/>
      <c r="AB1037" s="154"/>
      <c r="AC1037" s="154"/>
      <c r="AD1037" s="154"/>
      <c r="AE1037" s="154"/>
      <c r="AF1037" s="154"/>
      <c r="AG1037" s="195"/>
      <c r="AH1037" s="196"/>
      <c r="AI1037" s="197"/>
      <c r="AJ1037" s="110"/>
    </row>
    <row r="1038" spans="1:36" ht="18" customHeight="1">
      <c r="A1038" s="154"/>
      <c r="B1038" s="154"/>
      <c r="C1038" s="154"/>
      <c r="D1038" s="162"/>
      <c r="E1038" s="154"/>
      <c r="F1038" s="154"/>
      <c r="G1038" s="154"/>
      <c r="H1038" s="154"/>
      <c r="I1038" s="154"/>
      <c r="J1038" s="154"/>
      <c r="K1038" s="154"/>
      <c r="L1038" s="154"/>
      <c r="M1038" s="154"/>
      <c r="N1038" s="154"/>
      <c r="O1038" s="154"/>
      <c r="P1038" s="154"/>
      <c r="Q1038" s="154"/>
      <c r="R1038" s="154"/>
      <c r="S1038" s="154"/>
      <c r="T1038" s="154"/>
      <c r="U1038" s="154"/>
      <c r="V1038" s="154"/>
      <c r="W1038" s="154"/>
      <c r="X1038" s="154"/>
      <c r="Y1038" s="154"/>
      <c r="Z1038" s="154"/>
      <c r="AA1038" s="154"/>
      <c r="AB1038" s="154"/>
      <c r="AC1038" s="154"/>
      <c r="AD1038" s="154"/>
      <c r="AE1038" s="154"/>
      <c r="AF1038" s="154"/>
      <c r="AG1038" s="195"/>
      <c r="AH1038" s="196"/>
      <c r="AI1038" s="197"/>
      <c r="AJ1038" s="110"/>
    </row>
    <row r="1039" spans="1:36" ht="18" customHeight="1">
      <c r="A1039" s="154"/>
      <c r="B1039" s="154"/>
      <c r="C1039" s="154"/>
      <c r="D1039" s="162"/>
      <c r="E1039" s="154"/>
      <c r="F1039" s="154"/>
      <c r="G1039" s="154"/>
      <c r="H1039" s="154"/>
      <c r="I1039" s="154"/>
      <c r="J1039" s="154"/>
      <c r="K1039" s="154"/>
      <c r="L1039" s="154"/>
      <c r="M1039" s="154"/>
      <c r="N1039" s="154"/>
      <c r="O1039" s="154"/>
      <c r="P1039" s="154"/>
      <c r="Q1039" s="154"/>
      <c r="R1039" s="154"/>
      <c r="S1039" s="154"/>
      <c r="T1039" s="154"/>
      <c r="U1039" s="154"/>
      <c r="V1039" s="154"/>
      <c r="W1039" s="154"/>
      <c r="X1039" s="154"/>
      <c r="Y1039" s="154"/>
      <c r="Z1039" s="154"/>
      <c r="AA1039" s="154"/>
      <c r="AB1039" s="154"/>
      <c r="AC1039" s="154"/>
      <c r="AD1039" s="154"/>
      <c r="AE1039" s="154"/>
      <c r="AF1039" s="154"/>
      <c r="AG1039" s="195"/>
      <c r="AH1039" s="196"/>
      <c r="AI1039" s="197"/>
      <c r="AJ1039" s="110"/>
    </row>
    <row r="1040" spans="1:36" ht="18" customHeight="1">
      <c r="A1040" s="154"/>
      <c r="B1040" s="154"/>
      <c r="C1040" s="154"/>
      <c r="D1040" s="162"/>
      <c r="E1040" s="154"/>
      <c r="F1040" s="154"/>
      <c r="G1040" s="154"/>
      <c r="H1040" s="154"/>
      <c r="I1040" s="154"/>
      <c r="J1040" s="154"/>
      <c r="K1040" s="154"/>
      <c r="L1040" s="154"/>
      <c r="M1040" s="154"/>
      <c r="N1040" s="154"/>
      <c r="O1040" s="154"/>
      <c r="P1040" s="154"/>
      <c r="Q1040" s="154"/>
      <c r="R1040" s="154"/>
      <c r="S1040" s="154"/>
      <c r="T1040" s="154"/>
      <c r="U1040" s="154"/>
      <c r="V1040" s="154"/>
      <c r="W1040" s="154"/>
      <c r="X1040" s="154"/>
      <c r="Y1040" s="154"/>
      <c r="Z1040" s="154"/>
      <c r="AA1040" s="154"/>
      <c r="AB1040" s="154"/>
      <c r="AC1040" s="154"/>
      <c r="AD1040" s="154"/>
      <c r="AE1040" s="154"/>
      <c r="AF1040" s="154"/>
      <c r="AG1040" s="195"/>
      <c r="AH1040" s="196"/>
      <c r="AI1040" s="197"/>
      <c r="AJ1040" s="110"/>
    </row>
    <row r="1041" spans="1:36" ht="18" customHeight="1">
      <c r="A1041" s="154"/>
      <c r="B1041" s="154"/>
      <c r="C1041" s="154"/>
      <c r="D1041" s="162"/>
      <c r="E1041" s="154"/>
      <c r="F1041" s="154"/>
      <c r="G1041" s="154"/>
      <c r="H1041" s="154"/>
      <c r="I1041" s="154"/>
      <c r="J1041" s="154"/>
      <c r="K1041" s="154"/>
      <c r="L1041" s="154"/>
      <c r="M1041" s="154"/>
      <c r="N1041" s="154"/>
      <c r="O1041" s="154"/>
      <c r="P1041" s="154"/>
      <c r="Q1041" s="154"/>
      <c r="R1041" s="154"/>
      <c r="S1041" s="154"/>
      <c r="T1041" s="154"/>
      <c r="U1041" s="154"/>
      <c r="V1041" s="154"/>
      <c r="W1041" s="154"/>
      <c r="X1041" s="154"/>
      <c r="Y1041" s="154"/>
      <c r="Z1041" s="154"/>
      <c r="AA1041" s="154"/>
      <c r="AB1041" s="154"/>
      <c r="AC1041" s="154"/>
      <c r="AD1041" s="154"/>
      <c r="AE1041" s="154"/>
      <c r="AF1041" s="154"/>
      <c r="AG1041" s="195"/>
      <c r="AH1041" s="196"/>
      <c r="AI1041" s="197"/>
      <c r="AJ1041" s="110"/>
    </row>
    <row r="1042" spans="1:36" ht="18" customHeight="1">
      <c r="A1042" s="154"/>
      <c r="B1042" s="154"/>
      <c r="C1042" s="154"/>
      <c r="D1042" s="162"/>
      <c r="E1042" s="154"/>
      <c r="F1042" s="154"/>
      <c r="G1042" s="154"/>
      <c r="H1042" s="154"/>
      <c r="I1042" s="154"/>
      <c r="J1042" s="154"/>
      <c r="K1042" s="154"/>
      <c r="L1042" s="154"/>
      <c r="M1042" s="154"/>
      <c r="N1042" s="154"/>
      <c r="O1042" s="154"/>
      <c r="P1042" s="154"/>
      <c r="Q1042" s="154"/>
      <c r="R1042" s="154"/>
      <c r="S1042" s="154"/>
      <c r="T1042" s="154"/>
      <c r="U1042" s="154"/>
      <c r="V1042" s="154"/>
      <c r="W1042" s="154"/>
      <c r="X1042" s="154"/>
      <c r="Y1042" s="154"/>
      <c r="Z1042" s="154"/>
      <c r="AA1042" s="154"/>
      <c r="AB1042" s="154"/>
      <c r="AC1042" s="154"/>
      <c r="AD1042" s="154"/>
      <c r="AE1042" s="154"/>
      <c r="AF1042" s="154"/>
      <c r="AG1042" s="195"/>
      <c r="AH1042" s="196"/>
      <c r="AI1042" s="197"/>
      <c r="AJ1042" s="110"/>
    </row>
    <row r="1043" spans="1:36" ht="18" customHeight="1">
      <c r="A1043" s="154"/>
      <c r="B1043" s="154"/>
      <c r="C1043" s="154"/>
      <c r="D1043" s="162"/>
      <c r="E1043" s="154"/>
      <c r="F1043" s="154"/>
      <c r="G1043" s="154"/>
      <c r="H1043" s="154"/>
      <c r="I1043" s="154"/>
      <c r="J1043" s="154"/>
      <c r="K1043" s="154"/>
      <c r="L1043" s="154"/>
      <c r="M1043" s="154"/>
      <c r="N1043" s="154"/>
      <c r="O1043" s="154"/>
      <c r="P1043" s="154"/>
      <c r="Q1043" s="154"/>
      <c r="R1043" s="154"/>
      <c r="S1043" s="154"/>
      <c r="T1043" s="154"/>
      <c r="U1043" s="154"/>
      <c r="V1043" s="154"/>
      <c r="W1043" s="154"/>
      <c r="X1043" s="154"/>
      <c r="Y1043" s="154"/>
      <c r="Z1043" s="154"/>
      <c r="AA1043" s="154"/>
      <c r="AB1043" s="154"/>
      <c r="AC1043" s="154"/>
      <c r="AD1043" s="154"/>
      <c r="AE1043" s="154"/>
      <c r="AF1043" s="154"/>
      <c r="AG1043" s="195"/>
      <c r="AH1043" s="196"/>
      <c r="AI1043" s="197"/>
      <c r="AJ1043" s="110"/>
    </row>
    <row r="1044" spans="1:36" ht="18" customHeight="1">
      <c r="A1044" s="154"/>
      <c r="B1044" s="154"/>
      <c r="C1044" s="154"/>
      <c r="D1044" s="162"/>
      <c r="E1044" s="154"/>
      <c r="F1044" s="154"/>
      <c r="G1044" s="154"/>
      <c r="H1044" s="154"/>
      <c r="I1044" s="154"/>
      <c r="J1044" s="154"/>
      <c r="K1044" s="154"/>
      <c r="L1044" s="154"/>
      <c r="M1044" s="154"/>
      <c r="N1044" s="154"/>
      <c r="O1044" s="154"/>
      <c r="P1044" s="154"/>
      <c r="Q1044" s="154"/>
      <c r="R1044" s="154"/>
      <c r="S1044" s="154"/>
      <c r="T1044" s="154"/>
      <c r="U1044" s="154"/>
      <c r="V1044" s="154"/>
      <c r="W1044" s="154"/>
      <c r="X1044" s="154"/>
      <c r="Y1044" s="154"/>
      <c r="Z1044" s="154"/>
      <c r="AA1044" s="154"/>
      <c r="AB1044" s="154"/>
      <c r="AC1044" s="154"/>
      <c r="AD1044" s="154"/>
      <c r="AE1044" s="154"/>
      <c r="AF1044" s="154"/>
      <c r="AG1044" s="195"/>
      <c r="AH1044" s="196"/>
      <c r="AI1044" s="197"/>
      <c r="AJ1044" s="110"/>
    </row>
    <row r="1045" spans="1:36" ht="18" customHeight="1">
      <c r="A1045" s="154"/>
      <c r="B1045" s="154"/>
      <c r="C1045" s="154"/>
      <c r="D1045" s="162"/>
      <c r="E1045" s="154"/>
      <c r="F1045" s="154"/>
      <c r="G1045" s="154"/>
      <c r="H1045" s="154"/>
      <c r="I1045" s="154"/>
      <c r="J1045" s="154"/>
      <c r="K1045" s="154"/>
      <c r="L1045" s="154"/>
      <c r="M1045" s="154"/>
      <c r="N1045" s="154"/>
      <c r="O1045" s="154"/>
      <c r="P1045" s="154"/>
      <c r="Q1045" s="154"/>
      <c r="R1045" s="154"/>
      <c r="S1045" s="154"/>
      <c r="T1045" s="154"/>
      <c r="U1045" s="154"/>
      <c r="V1045" s="154"/>
      <c r="W1045" s="154"/>
      <c r="X1045" s="154"/>
      <c r="Y1045" s="154"/>
      <c r="Z1045" s="154"/>
      <c r="AA1045" s="154"/>
      <c r="AB1045" s="154"/>
      <c r="AC1045" s="154"/>
      <c r="AD1045" s="154"/>
      <c r="AE1045" s="154"/>
      <c r="AF1045" s="154"/>
      <c r="AG1045" s="195"/>
      <c r="AH1045" s="196"/>
      <c r="AI1045" s="197"/>
      <c r="AJ1045" s="110"/>
    </row>
    <row r="1046" spans="1:36" ht="18" customHeight="1">
      <c r="A1046" s="154"/>
      <c r="B1046" s="154"/>
      <c r="C1046" s="154"/>
      <c r="D1046" s="162"/>
      <c r="E1046" s="154"/>
      <c r="F1046" s="154"/>
      <c r="G1046" s="154"/>
      <c r="H1046" s="154"/>
      <c r="I1046" s="154"/>
      <c r="J1046" s="154"/>
      <c r="K1046" s="154"/>
      <c r="L1046" s="154"/>
      <c r="M1046" s="154"/>
      <c r="N1046" s="154"/>
      <c r="O1046" s="154"/>
      <c r="P1046" s="154"/>
      <c r="Q1046" s="154"/>
      <c r="R1046" s="154"/>
      <c r="S1046" s="154"/>
      <c r="T1046" s="154"/>
      <c r="U1046" s="154"/>
      <c r="V1046" s="154"/>
      <c r="W1046" s="154"/>
      <c r="X1046" s="154"/>
      <c r="Y1046" s="154"/>
      <c r="Z1046" s="154"/>
      <c r="AA1046" s="154"/>
      <c r="AB1046" s="154"/>
      <c r="AC1046" s="154"/>
      <c r="AD1046" s="154"/>
      <c r="AE1046" s="154"/>
      <c r="AF1046" s="154"/>
      <c r="AG1046" s="195"/>
      <c r="AH1046" s="196"/>
      <c r="AI1046" s="197"/>
      <c r="AJ1046" s="110"/>
    </row>
    <row r="1047" spans="1:36" ht="18" customHeight="1">
      <c r="A1047" s="154"/>
      <c r="B1047" s="154"/>
      <c r="C1047" s="154"/>
      <c r="D1047" s="162"/>
      <c r="E1047" s="154"/>
      <c r="F1047" s="154"/>
      <c r="G1047" s="154"/>
      <c r="H1047" s="154"/>
      <c r="I1047" s="154"/>
      <c r="J1047" s="154"/>
      <c r="K1047" s="154"/>
      <c r="L1047" s="154"/>
      <c r="M1047" s="154"/>
      <c r="N1047" s="154"/>
      <c r="O1047" s="154"/>
      <c r="P1047" s="154"/>
      <c r="Q1047" s="154"/>
      <c r="R1047" s="154"/>
      <c r="S1047" s="154"/>
      <c r="T1047" s="154"/>
      <c r="U1047" s="154"/>
      <c r="V1047" s="154"/>
      <c r="W1047" s="154"/>
      <c r="X1047" s="154"/>
      <c r="Y1047" s="154"/>
      <c r="Z1047" s="154"/>
      <c r="AA1047" s="154"/>
      <c r="AB1047" s="154"/>
      <c r="AC1047" s="154"/>
      <c r="AD1047" s="154"/>
      <c r="AE1047" s="154"/>
      <c r="AF1047" s="154"/>
      <c r="AG1047" s="195"/>
      <c r="AH1047" s="196"/>
      <c r="AI1047" s="197"/>
      <c r="AJ1047" s="110"/>
    </row>
    <row r="1048" spans="1:36" ht="18" customHeight="1">
      <c r="A1048" s="154"/>
      <c r="B1048" s="154"/>
      <c r="C1048" s="154"/>
      <c r="D1048" s="162"/>
      <c r="E1048" s="154"/>
      <c r="F1048" s="154"/>
      <c r="G1048" s="154"/>
      <c r="H1048" s="154"/>
      <c r="I1048" s="154"/>
      <c r="J1048" s="154"/>
      <c r="K1048" s="154"/>
      <c r="L1048" s="154"/>
      <c r="M1048" s="154"/>
      <c r="N1048" s="154"/>
      <c r="O1048" s="154"/>
      <c r="P1048" s="154"/>
      <c r="Q1048" s="154"/>
      <c r="R1048" s="154"/>
      <c r="S1048" s="154"/>
      <c r="T1048" s="154"/>
      <c r="U1048" s="154"/>
      <c r="V1048" s="154"/>
      <c r="W1048" s="154"/>
      <c r="X1048" s="154"/>
      <c r="Y1048" s="154"/>
      <c r="Z1048" s="154"/>
      <c r="AA1048" s="154"/>
      <c r="AB1048" s="154"/>
      <c r="AC1048" s="154"/>
      <c r="AD1048" s="154"/>
      <c r="AE1048" s="154"/>
      <c r="AF1048" s="154"/>
      <c r="AG1048" s="195"/>
      <c r="AH1048" s="196"/>
      <c r="AI1048" s="197"/>
      <c r="AJ1048" s="110"/>
    </row>
    <row r="1049" spans="1:36" ht="18" customHeight="1">
      <c r="A1049" s="154"/>
      <c r="B1049" s="154"/>
      <c r="C1049" s="154"/>
      <c r="D1049" s="162"/>
      <c r="E1049" s="154"/>
      <c r="F1049" s="154"/>
      <c r="G1049" s="154"/>
      <c r="H1049" s="154"/>
      <c r="I1049" s="154"/>
      <c r="J1049" s="154"/>
      <c r="K1049" s="154"/>
      <c r="L1049" s="154"/>
      <c r="M1049" s="154"/>
      <c r="N1049" s="154"/>
      <c r="O1049" s="154"/>
      <c r="P1049" s="154"/>
      <c r="Q1049" s="154"/>
      <c r="R1049" s="154"/>
      <c r="S1049" s="154"/>
      <c r="T1049" s="154"/>
      <c r="U1049" s="154"/>
      <c r="V1049" s="154"/>
      <c r="W1049" s="154"/>
      <c r="X1049" s="154"/>
      <c r="Y1049" s="154"/>
      <c r="Z1049" s="154"/>
      <c r="AA1049" s="154"/>
      <c r="AB1049" s="154"/>
      <c r="AC1049" s="154"/>
      <c r="AD1049" s="154"/>
      <c r="AE1049" s="154"/>
      <c r="AF1049" s="154"/>
      <c r="AG1049" s="195"/>
      <c r="AH1049" s="196"/>
      <c r="AI1049" s="197"/>
      <c r="AJ1049" s="110"/>
    </row>
    <row r="1050" spans="1:36" ht="18" customHeight="1">
      <c r="A1050" s="154"/>
      <c r="B1050" s="154"/>
      <c r="C1050" s="154"/>
      <c r="D1050" s="162"/>
      <c r="E1050" s="154"/>
      <c r="F1050" s="154"/>
      <c r="G1050" s="154"/>
      <c r="H1050" s="154"/>
      <c r="I1050" s="154"/>
      <c r="J1050" s="154"/>
      <c r="K1050" s="154"/>
      <c r="L1050" s="154"/>
      <c r="M1050" s="154"/>
      <c r="N1050" s="154"/>
      <c r="O1050" s="154"/>
      <c r="P1050" s="154"/>
      <c r="Q1050" s="154"/>
      <c r="R1050" s="154"/>
      <c r="S1050" s="154"/>
      <c r="T1050" s="154"/>
      <c r="U1050" s="154"/>
      <c r="V1050" s="154"/>
      <c r="W1050" s="154"/>
      <c r="X1050" s="154"/>
      <c r="Y1050" s="154"/>
      <c r="Z1050" s="154"/>
      <c r="AA1050" s="154"/>
      <c r="AB1050" s="154"/>
      <c r="AC1050" s="154"/>
      <c r="AD1050" s="154"/>
      <c r="AE1050" s="154"/>
      <c r="AF1050" s="154"/>
      <c r="AG1050" s="195"/>
      <c r="AH1050" s="196"/>
      <c r="AI1050" s="197"/>
      <c r="AJ1050" s="110"/>
    </row>
    <row r="1051" spans="1:36" ht="18" customHeight="1">
      <c r="A1051" s="154"/>
      <c r="B1051" s="154"/>
      <c r="C1051" s="154"/>
      <c r="D1051" s="162"/>
      <c r="E1051" s="154"/>
      <c r="F1051" s="154"/>
      <c r="G1051" s="154"/>
      <c r="H1051" s="154"/>
      <c r="I1051" s="154"/>
      <c r="J1051" s="154"/>
      <c r="K1051" s="154"/>
      <c r="L1051" s="154"/>
      <c r="M1051" s="154"/>
      <c r="N1051" s="154"/>
      <c r="O1051" s="154"/>
      <c r="P1051" s="154"/>
      <c r="Q1051" s="154"/>
      <c r="R1051" s="154"/>
      <c r="S1051" s="154"/>
      <c r="T1051" s="154"/>
      <c r="U1051" s="154"/>
      <c r="V1051" s="154"/>
      <c r="W1051" s="154"/>
      <c r="X1051" s="154"/>
      <c r="Y1051" s="154"/>
      <c r="Z1051" s="154"/>
      <c r="AA1051" s="154"/>
      <c r="AB1051" s="154"/>
      <c r="AC1051" s="154"/>
      <c r="AD1051" s="154"/>
      <c r="AE1051" s="154"/>
      <c r="AF1051" s="154"/>
      <c r="AG1051" s="195"/>
      <c r="AH1051" s="196"/>
      <c r="AI1051" s="197"/>
      <c r="AJ1051" s="110"/>
    </row>
    <row r="1052" spans="1:36" ht="18" customHeight="1">
      <c r="A1052" s="154"/>
      <c r="B1052" s="154"/>
      <c r="C1052" s="154"/>
      <c r="D1052" s="162"/>
      <c r="E1052" s="154"/>
      <c r="F1052" s="154"/>
      <c r="G1052" s="154"/>
      <c r="H1052" s="154"/>
      <c r="I1052" s="154"/>
      <c r="J1052" s="154"/>
      <c r="K1052" s="154"/>
      <c r="L1052" s="154"/>
      <c r="M1052" s="154"/>
      <c r="N1052" s="154"/>
      <c r="O1052" s="154"/>
      <c r="P1052" s="154"/>
      <c r="Q1052" s="154"/>
      <c r="R1052" s="154"/>
      <c r="S1052" s="154"/>
      <c r="T1052" s="154"/>
      <c r="U1052" s="154"/>
      <c r="V1052" s="154"/>
      <c r="W1052" s="154"/>
      <c r="X1052" s="154"/>
      <c r="Y1052" s="154"/>
      <c r="Z1052" s="154"/>
      <c r="AA1052" s="154"/>
      <c r="AB1052" s="154"/>
      <c r="AC1052" s="154"/>
      <c r="AD1052" s="154"/>
      <c r="AE1052" s="154"/>
      <c r="AF1052" s="154"/>
      <c r="AG1052" s="195"/>
      <c r="AH1052" s="196"/>
      <c r="AI1052" s="197"/>
      <c r="AJ1052" s="110"/>
    </row>
    <row r="1053" spans="1:36" ht="18" customHeight="1">
      <c r="A1053" s="154"/>
      <c r="B1053" s="154"/>
      <c r="C1053" s="154"/>
      <c r="D1053" s="162"/>
      <c r="E1053" s="154"/>
      <c r="F1053" s="154"/>
      <c r="G1053" s="154"/>
      <c r="H1053" s="154"/>
      <c r="I1053" s="154"/>
      <c r="J1053" s="154"/>
      <c r="K1053" s="154"/>
      <c r="L1053" s="154"/>
      <c r="M1053" s="154"/>
      <c r="N1053" s="154"/>
      <c r="O1053" s="154"/>
      <c r="P1053" s="154"/>
      <c r="Q1053" s="154"/>
      <c r="R1053" s="154"/>
      <c r="S1053" s="154"/>
      <c r="T1053" s="154"/>
      <c r="U1053" s="154"/>
      <c r="V1053" s="154"/>
      <c r="W1053" s="154"/>
      <c r="X1053" s="154"/>
      <c r="Y1053" s="154"/>
      <c r="Z1053" s="154"/>
      <c r="AA1053" s="154"/>
      <c r="AB1053" s="154"/>
      <c r="AC1053" s="154"/>
      <c r="AD1053" s="154"/>
      <c r="AE1053" s="154"/>
      <c r="AF1053" s="154"/>
      <c r="AG1053" s="195"/>
      <c r="AH1053" s="196"/>
      <c r="AI1053" s="197"/>
      <c r="AJ1053" s="110"/>
    </row>
    <row r="1054" spans="1:36" ht="18" customHeight="1">
      <c r="A1054" s="154"/>
      <c r="B1054" s="154"/>
      <c r="C1054" s="154"/>
      <c r="D1054" s="162"/>
      <c r="E1054" s="154"/>
      <c r="F1054" s="154"/>
      <c r="G1054" s="154"/>
      <c r="H1054" s="154"/>
      <c r="I1054" s="154"/>
      <c r="J1054" s="154"/>
      <c r="K1054" s="154"/>
      <c r="L1054" s="154"/>
      <c r="M1054" s="154"/>
      <c r="N1054" s="154"/>
      <c r="O1054" s="154"/>
      <c r="P1054" s="154"/>
      <c r="Q1054" s="154"/>
      <c r="R1054" s="154"/>
      <c r="S1054" s="154"/>
      <c r="T1054" s="154"/>
      <c r="U1054" s="154"/>
      <c r="V1054" s="154"/>
      <c r="W1054" s="154"/>
      <c r="X1054" s="154"/>
      <c r="Y1054" s="154"/>
      <c r="Z1054" s="154"/>
      <c r="AA1054" s="154"/>
      <c r="AB1054" s="154"/>
      <c r="AC1054" s="154"/>
      <c r="AD1054" s="154"/>
      <c r="AE1054" s="154"/>
      <c r="AF1054" s="154"/>
      <c r="AG1054" s="195"/>
      <c r="AH1054" s="196"/>
      <c r="AI1054" s="197"/>
      <c r="AJ1054" s="110"/>
    </row>
    <row r="1055" spans="1:36" ht="18" customHeight="1">
      <c r="A1055" s="154"/>
      <c r="B1055" s="154"/>
      <c r="C1055" s="154"/>
      <c r="D1055" s="162"/>
      <c r="E1055" s="154"/>
      <c r="F1055" s="154"/>
      <c r="G1055" s="154"/>
      <c r="H1055" s="154"/>
      <c r="I1055" s="154"/>
      <c r="J1055" s="154"/>
      <c r="K1055" s="154"/>
      <c r="L1055" s="154"/>
      <c r="M1055" s="154"/>
      <c r="N1055" s="154"/>
      <c r="O1055" s="154"/>
      <c r="P1055" s="154"/>
      <c r="Q1055" s="154"/>
      <c r="R1055" s="154"/>
      <c r="S1055" s="154"/>
      <c r="T1055" s="154"/>
      <c r="U1055" s="154"/>
      <c r="V1055" s="154"/>
      <c r="W1055" s="154"/>
      <c r="X1055" s="154"/>
      <c r="Y1055" s="154"/>
      <c r="Z1055" s="154"/>
      <c r="AA1055" s="154"/>
      <c r="AB1055" s="154"/>
      <c r="AC1055" s="154"/>
      <c r="AD1055" s="154"/>
      <c r="AE1055" s="154"/>
      <c r="AF1055" s="154"/>
      <c r="AG1055" s="195"/>
      <c r="AH1055" s="196"/>
      <c r="AI1055" s="197"/>
      <c r="AJ1055" s="110"/>
    </row>
    <row r="1056" spans="1:36" ht="18" customHeight="1">
      <c r="A1056" s="154"/>
      <c r="B1056" s="154"/>
      <c r="C1056" s="154"/>
      <c r="D1056" s="162"/>
      <c r="E1056" s="154"/>
      <c r="F1056" s="154"/>
      <c r="G1056" s="154"/>
      <c r="H1056" s="154"/>
      <c r="I1056" s="154"/>
      <c r="J1056" s="154"/>
      <c r="K1056" s="154"/>
      <c r="L1056" s="154"/>
      <c r="M1056" s="154"/>
      <c r="N1056" s="154"/>
      <c r="O1056" s="154"/>
      <c r="P1056" s="154"/>
      <c r="Q1056" s="154"/>
      <c r="R1056" s="154"/>
      <c r="S1056" s="154"/>
      <c r="T1056" s="154"/>
      <c r="U1056" s="154"/>
      <c r="V1056" s="154"/>
      <c r="W1056" s="154"/>
      <c r="X1056" s="154"/>
      <c r="Y1056" s="154"/>
      <c r="Z1056" s="154"/>
      <c r="AA1056" s="154"/>
      <c r="AB1056" s="154"/>
      <c r="AC1056" s="154"/>
      <c r="AD1056" s="154"/>
      <c r="AE1056" s="154"/>
      <c r="AF1056" s="154"/>
      <c r="AG1056" s="195"/>
      <c r="AH1056" s="196"/>
      <c r="AI1056" s="197"/>
      <c r="AJ1056" s="110"/>
    </row>
    <row r="1057" spans="1:36" ht="18" customHeight="1">
      <c r="A1057" s="154"/>
      <c r="B1057" s="154"/>
      <c r="C1057" s="154"/>
      <c r="D1057" s="162"/>
      <c r="E1057" s="154"/>
      <c r="F1057" s="154"/>
      <c r="G1057" s="154"/>
      <c r="H1057" s="154"/>
      <c r="I1057" s="154"/>
      <c r="J1057" s="154"/>
      <c r="K1057" s="154"/>
      <c r="L1057" s="154"/>
      <c r="M1057" s="154"/>
      <c r="N1057" s="154"/>
      <c r="O1057" s="154"/>
      <c r="P1057" s="154"/>
      <c r="Q1057" s="154"/>
      <c r="R1057" s="154"/>
      <c r="S1057" s="154"/>
      <c r="T1057" s="154"/>
      <c r="U1057" s="154"/>
      <c r="V1057" s="154"/>
      <c r="W1057" s="154"/>
      <c r="X1057" s="154"/>
      <c r="Y1057" s="154"/>
      <c r="Z1057" s="154"/>
      <c r="AA1057" s="154"/>
      <c r="AB1057" s="154"/>
      <c r="AC1057" s="154"/>
      <c r="AD1057" s="154"/>
      <c r="AE1057" s="154"/>
      <c r="AF1057" s="154"/>
      <c r="AG1057" s="195"/>
      <c r="AH1057" s="196"/>
      <c r="AI1057" s="197"/>
      <c r="AJ1057" s="110"/>
    </row>
    <row r="1058" spans="1:36" ht="18" customHeight="1">
      <c r="A1058" s="154"/>
      <c r="B1058" s="154"/>
      <c r="C1058" s="154"/>
      <c r="D1058" s="162"/>
      <c r="E1058" s="154"/>
      <c r="F1058" s="154"/>
      <c r="G1058" s="154"/>
      <c r="H1058" s="154"/>
      <c r="I1058" s="154"/>
      <c r="J1058" s="154"/>
      <c r="K1058" s="154"/>
      <c r="L1058" s="154"/>
      <c r="M1058" s="154"/>
      <c r="N1058" s="154"/>
      <c r="O1058" s="154"/>
      <c r="P1058" s="154"/>
      <c r="Q1058" s="154"/>
      <c r="R1058" s="154"/>
      <c r="S1058" s="154"/>
      <c r="T1058" s="154"/>
      <c r="U1058" s="154"/>
      <c r="V1058" s="154"/>
      <c r="W1058" s="154"/>
      <c r="X1058" s="154"/>
      <c r="Y1058" s="154"/>
      <c r="Z1058" s="154"/>
      <c r="AA1058" s="154"/>
      <c r="AB1058" s="154"/>
      <c r="AC1058" s="154"/>
      <c r="AD1058" s="154"/>
      <c r="AE1058" s="154"/>
      <c r="AF1058" s="154"/>
      <c r="AG1058" s="195"/>
      <c r="AH1058" s="196"/>
      <c r="AI1058" s="197"/>
      <c r="AJ1058" s="110"/>
    </row>
    <row r="1059" spans="1:36" ht="18" customHeight="1">
      <c r="A1059" s="154"/>
      <c r="B1059" s="154"/>
      <c r="C1059" s="154"/>
      <c r="D1059" s="162"/>
      <c r="E1059" s="154"/>
      <c r="F1059" s="154"/>
      <c r="G1059" s="154"/>
      <c r="H1059" s="154"/>
      <c r="I1059" s="154"/>
      <c r="J1059" s="154"/>
      <c r="K1059" s="154"/>
      <c r="L1059" s="154"/>
      <c r="M1059" s="154"/>
      <c r="N1059" s="154"/>
      <c r="O1059" s="154"/>
      <c r="P1059" s="154"/>
      <c r="Q1059" s="154"/>
      <c r="R1059" s="154"/>
      <c r="S1059" s="154"/>
      <c r="T1059" s="154"/>
      <c r="U1059" s="154"/>
      <c r="V1059" s="154"/>
      <c r="W1059" s="154"/>
      <c r="X1059" s="154"/>
      <c r="Y1059" s="154"/>
      <c r="Z1059" s="154"/>
      <c r="AA1059" s="154"/>
      <c r="AB1059" s="154"/>
      <c r="AC1059" s="154"/>
      <c r="AD1059" s="154"/>
      <c r="AE1059" s="154"/>
      <c r="AF1059" s="154"/>
      <c r="AG1059" s="195"/>
      <c r="AH1059" s="196"/>
      <c r="AI1059" s="197"/>
      <c r="AJ1059" s="110"/>
    </row>
    <row r="1060" spans="1:36" ht="18" customHeight="1">
      <c r="A1060" s="154"/>
      <c r="B1060" s="154"/>
      <c r="C1060" s="154"/>
      <c r="D1060" s="162"/>
      <c r="E1060" s="154"/>
      <c r="F1060" s="154"/>
      <c r="G1060" s="154"/>
      <c r="H1060" s="154"/>
      <c r="I1060" s="154"/>
      <c r="J1060" s="154"/>
      <c r="K1060" s="154"/>
      <c r="L1060" s="154"/>
      <c r="M1060" s="154"/>
      <c r="N1060" s="154"/>
      <c r="O1060" s="154"/>
      <c r="P1060" s="154"/>
      <c r="Q1060" s="154"/>
      <c r="R1060" s="154"/>
      <c r="S1060" s="154"/>
      <c r="T1060" s="154"/>
      <c r="U1060" s="154"/>
      <c r="V1060" s="154"/>
      <c r="W1060" s="154"/>
      <c r="X1060" s="154"/>
      <c r="Y1060" s="154"/>
      <c r="Z1060" s="154"/>
      <c r="AA1060" s="154"/>
      <c r="AB1060" s="154"/>
      <c r="AC1060" s="154"/>
      <c r="AD1060" s="154"/>
      <c r="AE1060" s="154"/>
      <c r="AF1060" s="154"/>
      <c r="AG1060" s="195"/>
      <c r="AH1060" s="196"/>
      <c r="AI1060" s="197"/>
      <c r="AJ1060" s="110"/>
    </row>
    <row r="1061" spans="1:36" ht="18" customHeight="1">
      <c r="A1061" s="154"/>
      <c r="B1061" s="154"/>
      <c r="C1061" s="154"/>
      <c r="D1061" s="162"/>
      <c r="E1061" s="154"/>
      <c r="F1061" s="154"/>
      <c r="G1061" s="154"/>
      <c r="H1061" s="154"/>
      <c r="I1061" s="154"/>
      <c r="J1061" s="154"/>
      <c r="K1061" s="154"/>
      <c r="L1061" s="154"/>
      <c r="M1061" s="154"/>
      <c r="N1061" s="154"/>
      <c r="O1061" s="154"/>
      <c r="P1061" s="154"/>
      <c r="Q1061" s="154"/>
      <c r="R1061" s="154"/>
      <c r="S1061" s="154"/>
      <c r="T1061" s="154"/>
      <c r="U1061" s="154"/>
      <c r="V1061" s="154"/>
      <c r="W1061" s="154"/>
      <c r="X1061" s="154"/>
      <c r="Y1061" s="154"/>
      <c r="Z1061" s="154"/>
      <c r="AA1061" s="154"/>
      <c r="AB1061" s="154"/>
      <c r="AC1061" s="154"/>
      <c r="AD1061" s="154"/>
      <c r="AE1061" s="154"/>
      <c r="AF1061" s="154"/>
      <c r="AG1061" s="195"/>
      <c r="AH1061" s="196"/>
      <c r="AI1061" s="197"/>
      <c r="AJ1061" s="110"/>
    </row>
    <row r="1062" spans="1:36" ht="18" customHeight="1">
      <c r="A1062" s="154"/>
      <c r="B1062" s="154"/>
      <c r="C1062" s="154"/>
      <c r="D1062" s="162"/>
      <c r="E1062" s="154"/>
      <c r="F1062" s="154"/>
      <c r="G1062" s="154"/>
      <c r="H1062" s="154"/>
      <c r="I1062" s="154"/>
      <c r="J1062" s="154"/>
      <c r="K1062" s="154"/>
      <c r="L1062" s="154"/>
      <c r="M1062" s="154"/>
      <c r="N1062" s="154"/>
      <c r="O1062" s="154"/>
      <c r="P1062" s="154"/>
      <c r="Q1062" s="154"/>
      <c r="R1062" s="154"/>
      <c r="S1062" s="154"/>
      <c r="T1062" s="154"/>
      <c r="U1062" s="154"/>
      <c r="V1062" s="154"/>
      <c r="W1062" s="154"/>
      <c r="X1062" s="154"/>
      <c r="Y1062" s="154"/>
      <c r="Z1062" s="154"/>
      <c r="AA1062" s="154"/>
      <c r="AB1062" s="154"/>
      <c r="AC1062" s="154"/>
      <c r="AD1062" s="154"/>
      <c r="AE1062" s="154"/>
      <c r="AF1062" s="154"/>
      <c r="AG1062" s="195"/>
      <c r="AH1062" s="196"/>
      <c r="AI1062" s="197"/>
      <c r="AJ1062" s="110"/>
    </row>
    <row r="1063" spans="1:36" ht="18" customHeight="1">
      <c r="A1063" s="154"/>
      <c r="B1063" s="154"/>
      <c r="C1063" s="154"/>
      <c r="D1063" s="162"/>
      <c r="E1063" s="154"/>
      <c r="F1063" s="154"/>
      <c r="G1063" s="154"/>
      <c r="H1063" s="154"/>
      <c r="I1063" s="154"/>
      <c r="J1063" s="154"/>
      <c r="K1063" s="154"/>
      <c r="L1063" s="154"/>
      <c r="M1063" s="154"/>
      <c r="N1063" s="154"/>
      <c r="O1063" s="154"/>
      <c r="P1063" s="154"/>
      <c r="Q1063" s="154"/>
      <c r="R1063" s="154"/>
      <c r="S1063" s="154"/>
      <c r="T1063" s="154"/>
      <c r="U1063" s="154"/>
      <c r="V1063" s="154"/>
      <c r="W1063" s="154"/>
      <c r="X1063" s="154"/>
      <c r="Y1063" s="154"/>
      <c r="Z1063" s="154"/>
      <c r="AA1063" s="154"/>
      <c r="AB1063" s="154"/>
      <c r="AC1063" s="154"/>
      <c r="AD1063" s="154"/>
      <c r="AE1063" s="154"/>
      <c r="AF1063" s="154"/>
      <c r="AG1063" s="195"/>
      <c r="AH1063" s="196"/>
      <c r="AI1063" s="197"/>
      <c r="AJ1063" s="110"/>
    </row>
    <row r="1064" spans="1:36" ht="18" customHeight="1">
      <c r="A1064" s="154"/>
      <c r="B1064" s="154"/>
      <c r="C1064" s="154"/>
      <c r="D1064" s="162"/>
      <c r="E1064" s="154"/>
      <c r="F1064" s="154"/>
      <c r="G1064" s="154"/>
      <c r="H1064" s="154"/>
      <c r="I1064" s="154"/>
      <c r="J1064" s="154"/>
      <c r="K1064" s="154"/>
      <c r="L1064" s="154"/>
      <c r="M1064" s="154"/>
      <c r="N1064" s="154"/>
      <c r="O1064" s="154"/>
      <c r="P1064" s="154"/>
      <c r="Q1064" s="154"/>
      <c r="R1064" s="154"/>
      <c r="S1064" s="154"/>
      <c r="T1064" s="154"/>
      <c r="U1064" s="154"/>
      <c r="V1064" s="154"/>
      <c r="W1064" s="154"/>
      <c r="X1064" s="154"/>
      <c r="Y1064" s="154"/>
      <c r="Z1064" s="154"/>
      <c r="AA1064" s="154"/>
      <c r="AB1064" s="154"/>
      <c r="AC1064" s="154"/>
      <c r="AD1064" s="154"/>
      <c r="AE1064" s="154"/>
      <c r="AF1064" s="154"/>
      <c r="AG1064" s="195"/>
      <c r="AH1064" s="196"/>
      <c r="AI1064" s="197"/>
      <c r="AJ1064" s="110"/>
    </row>
    <row r="1065" spans="1:36" ht="18" customHeight="1">
      <c r="A1065" s="154"/>
      <c r="B1065" s="154"/>
      <c r="C1065" s="154"/>
      <c r="D1065" s="162"/>
      <c r="E1065" s="154"/>
      <c r="F1065" s="154"/>
      <c r="G1065" s="154"/>
      <c r="H1065" s="154"/>
      <c r="I1065" s="154"/>
      <c r="J1065" s="154"/>
      <c r="K1065" s="154"/>
      <c r="L1065" s="154"/>
      <c r="M1065" s="154"/>
      <c r="N1065" s="154"/>
      <c r="O1065" s="154"/>
      <c r="P1065" s="154"/>
      <c r="Q1065" s="154"/>
      <c r="R1065" s="154"/>
      <c r="S1065" s="154"/>
      <c r="T1065" s="154"/>
      <c r="U1065" s="154"/>
      <c r="V1065" s="154"/>
      <c r="W1065" s="154"/>
      <c r="X1065" s="154"/>
      <c r="Y1065" s="154"/>
      <c r="Z1065" s="154"/>
      <c r="AA1065" s="154"/>
      <c r="AB1065" s="154"/>
      <c r="AC1065" s="154"/>
      <c r="AD1065" s="154"/>
      <c r="AE1065" s="154"/>
      <c r="AF1065" s="154"/>
      <c r="AG1065" s="195"/>
      <c r="AH1065" s="196"/>
      <c r="AI1065" s="197"/>
      <c r="AJ1065" s="110"/>
    </row>
    <row r="1066" spans="1:36" ht="18" customHeight="1">
      <c r="A1066" s="154"/>
      <c r="B1066" s="154"/>
      <c r="C1066" s="154"/>
      <c r="D1066" s="162"/>
      <c r="E1066" s="154"/>
      <c r="F1066" s="154"/>
      <c r="G1066" s="154"/>
      <c r="H1066" s="154"/>
      <c r="I1066" s="154"/>
      <c r="J1066" s="154"/>
      <c r="K1066" s="154"/>
      <c r="L1066" s="154"/>
      <c r="M1066" s="154"/>
      <c r="N1066" s="154"/>
      <c r="O1066" s="154"/>
      <c r="P1066" s="154"/>
      <c r="Q1066" s="154"/>
      <c r="R1066" s="154"/>
      <c r="S1066" s="154"/>
      <c r="T1066" s="154"/>
      <c r="U1066" s="154"/>
      <c r="V1066" s="154"/>
      <c r="W1066" s="154"/>
      <c r="X1066" s="154"/>
      <c r="Y1066" s="154"/>
      <c r="Z1066" s="154"/>
      <c r="AA1066" s="154"/>
      <c r="AB1066" s="154"/>
      <c r="AC1066" s="154"/>
      <c r="AD1066" s="154"/>
      <c r="AE1066" s="154"/>
      <c r="AF1066" s="154"/>
      <c r="AG1066" s="195"/>
      <c r="AH1066" s="196"/>
      <c r="AI1066" s="197"/>
      <c r="AJ1066" s="110"/>
    </row>
    <row r="1067" spans="1:36" ht="18" customHeight="1">
      <c r="A1067" s="154"/>
      <c r="B1067" s="154"/>
      <c r="C1067" s="154"/>
      <c r="D1067" s="162"/>
      <c r="E1067" s="154"/>
      <c r="F1067" s="154"/>
      <c r="G1067" s="154"/>
      <c r="H1067" s="154"/>
      <c r="I1067" s="154"/>
      <c r="J1067" s="154"/>
      <c r="K1067" s="154"/>
      <c r="L1067" s="154"/>
      <c r="M1067" s="154"/>
      <c r="N1067" s="154"/>
      <c r="O1067" s="154"/>
      <c r="P1067" s="154"/>
      <c r="Q1067" s="154"/>
      <c r="R1067" s="154"/>
      <c r="S1067" s="154"/>
      <c r="T1067" s="154"/>
      <c r="U1067" s="154"/>
      <c r="V1067" s="154"/>
      <c r="W1067" s="154"/>
      <c r="X1067" s="154"/>
      <c r="Y1067" s="154"/>
      <c r="Z1067" s="154"/>
      <c r="AA1067" s="154"/>
      <c r="AB1067" s="154"/>
      <c r="AC1067" s="154"/>
      <c r="AD1067" s="154"/>
      <c r="AE1067" s="154"/>
      <c r="AF1067" s="154"/>
      <c r="AG1067" s="195"/>
      <c r="AH1067" s="196"/>
      <c r="AI1067" s="197"/>
      <c r="AJ1067" s="110"/>
    </row>
    <row r="1068" spans="1:36" ht="18" customHeight="1">
      <c r="A1068" s="154"/>
      <c r="B1068" s="154"/>
      <c r="C1068" s="154"/>
      <c r="D1068" s="162"/>
      <c r="E1068" s="154"/>
      <c r="F1068" s="154"/>
      <c r="G1068" s="154"/>
      <c r="H1068" s="154"/>
      <c r="I1068" s="154"/>
      <c r="J1068" s="154"/>
      <c r="K1068" s="154"/>
      <c r="L1068" s="154"/>
      <c r="M1068" s="154"/>
      <c r="N1068" s="154"/>
      <c r="O1068" s="154"/>
      <c r="P1068" s="154"/>
      <c r="Q1068" s="154"/>
      <c r="R1068" s="154"/>
      <c r="S1068" s="154"/>
      <c r="T1068" s="154"/>
      <c r="U1068" s="154"/>
      <c r="V1068" s="154"/>
      <c r="W1068" s="154"/>
      <c r="X1068" s="154"/>
      <c r="Y1068" s="154"/>
      <c r="Z1068" s="154"/>
      <c r="AA1068" s="154"/>
      <c r="AB1068" s="154"/>
      <c r="AC1068" s="154"/>
      <c r="AD1068" s="154"/>
      <c r="AE1068" s="154"/>
      <c r="AF1068" s="154"/>
      <c r="AG1068" s="195"/>
      <c r="AH1068" s="196"/>
      <c r="AI1068" s="197"/>
      <c r="AJ1068" s="110"/>
    </row>
    <row r="1069" spans="1:36" ht="18" customHeight="1">
      <c r="A1069" s="154"/>
      <c r="B1069" s="154"/>
      <c r="C1069" s="154"/>
      <c r="D1069" s="162"/>
      <c r="E1069" s="154"/>
      <c r="F1069" s="154"/>
      <c r="G1069" s="154"/>
      <c r="H1069" s="154"/>
      <c r="I1069" s="154"/>
      <c r="J1069" s="154"/>
      <c r="K1069" s="154"/>
      <c r="L1069" s="154"/>
      <c r="M1069" s="154"/>
      <c r="N1069" s="154"/>
      <c r="O1069" s="154"/>
      <c r="P1069" s="154"/>
      <c r="Q1069" s="154"/>
      <c r="R1069" s="154"/>
      <c r="S1069" s="154"/>
      <c r="T1069" s="154"/>
      <c r="U1069" s="154"/>
      <c r="V1069" s="154"/>
      <c r="W1069" s="154"/>
      <c r="X1069" s="154"/>
      <c r="Y1069" s="154"/>
      <c r="Z1069" s="154"/>
      <c r="AA1069" s="154"/>
      <c r="AB1069" s="154"/>
      <c r="AC1069" s="154"/>
      <c r="AD1069" s="154"/>
      <c r="AE1069" s="154"/>
      <c r="AF1069" s="154"/>
      <c r="AG1069" s="195"/>
      <c r="AH1069" s="196"/>
      <c r="AI1069" s="197"/>
      <c r="AJ1069" s="110"/>
    </row>
    <row r="1070" spans="1:36" ht="18" customHeight="1">
      <c r="A1070" s="154"/>
      <c r="B1070" s="154"/>
      <c r="C1070" s="154"/>
      <c r="D1070" s="162"/>
      <c r="E1070" s="154"/>
      <c r="F1070" s="154"/>
      <c r="G1070" s="154"/>
      <c r="H1070" s="154"/>
      <c r="I1070" s="154"/>
      <c r="J1070" s="154"/>
      <c r="K1070" s="154"/>
      <c r="L1070" s="154"/>
      <c r="M1070" s="154"/>
      <c r="N1070" s="154"/>
      <c r="O1070" s="154"/>
      <c r="P1070" s="154"/>
      <c r="Q1070" s="154"/>
      <c r="R1070" s="154"/>
      <c r="S1070" s="154"/>
      <c r="T1070" s="154"/>
      <c r="U1070" s="154"/>
      <c r="V1070" s="154"/>
      <c r="W1070" s="154"/>
      <c r="X1070" s="154"/>
      <c r="Y1070" s="154"/>
      <c r="Z1070" s="154"/>
      <c r="AA1070" s="154"/>
      <c r="AB1070" s="154"/>
      <c r="AC1070" s="154"/>
      <c r="AD1070" s="154"/>
      <c r="AE1070" s="154"/>
      <c r="AF1070" s="154"/>
      <c r="AG1070" s="195"/>
      <c r="AH1070" s="196"/>
      <c r="AI1070" s="197"/>
      <c r="AJ1070" s="110"/>
    </row>
    <row r="1071" spans="1:36" ht="18" customHeight="1">
      <c r="A1071" s="154"/>
      <c r="B1071" s="154"/>
      <c r="C1071" s="154"/>
      <c r="D1071" s="162"/>
      <c r="E1071" s="154"/>
      <c r="F1071" s="154"/>
      <c r="G1071" s="154"/>
      <c r="H1071" s="154"/>
      <c r="I1071" s="154"/>
      <c r="J1071" s="154"/>
      <c r="K1071" s="154"/>
      <c r="L1071" s="154"/>
      <c r="M1071" s="154"/>
      <c r="N1071" s="154"/>
      <c r="O1071" s="154"/>
      <c r="P1071" s="154"/>
      <c r="Q1071" s="154"/>
      <c r="R1071" s="154"/>
      <c r="S1071" s="154"/>
      <c r="T1071" s="154"/>
      <c r="U1071" s="154"/>
      <c r="V1071" s="154"/>
      <c r="W1071" s="154"/>
      <c r="X1071" s="154"/>
      <c r="Y1071" s="154"/>
      <c r="Z1071" s="154"/>
      <c r="AA1071" s="154"/>
      <c r="AB1071" s="154"/>
      <c r="AC1071" s="154"/>
      <c r="AD1071" s="154"/>
      <c r="AE1071" s="154"/>
      <c r="AF1071" s="154"/>
      <c r="AG1071" s="195"/>
      <c r="AH1071" s="196"/>
      <c r="AI1071" s="197"/>
      <c r="AJ1071" s="110"/>
    </row>
    <row r="1072" spans="1:36" ht="18" customHeight="1">
      <c r="A1072" s="154"/>
      <c r="B1072" s="154"/>
      <c r="C1072" s="154"/>
      <c r="D1072" s="162"/>
      <c r="E1072" s="154"/>
      <c r="F1072" s="154"/>
      <c r="G1072" s="154"/>
      <c r="H1072" s="154"/>
      <c r="I1072" s="154"/>
      <c r="J1072" s="154"/>
      <c r="K1072" s="154"/>
      <c r="L1072" s="154"/>
      <c r="M1072" s="154"/>
      <c r="N1072" s="154"/>
      <c r="O1072" s="154"/>
      <c r="P1072" s="154"/>
      <c r="Q1072" s="154"/>
      <c r="R1072" s="154"/>
      <c r="S1072" s="154"/>
      <c r="T1072" s="154"/>
      <c r="U1072" s="154"/>
      <c r="V1072" s="154"/>
      <c r="W1072" s="154"/>
      <c r="X1072" s="154"/>
      <c r="Y1072" s="154"/>
      <c r="Z1072" s="154"/>
      <c r="AA1072" s="154"/>
      <c r="AB1072" s="154"/>
      <c r="AC1072" s="154"/>
      <c r="AD1072" s="154"/>
      <c r="AE1072" s="154"/>
      <c r="AF1072" s="154"/>
      <c r="AG1072" s="195"/>
      <c r="AH1072" s="196"/>
      <c r="AI1072" s="197"/>
      <c r="AJ1072" s="110"/>
    </row>
    <row r="1073" spans="1:36" ht="18" customHeight="1">
      <c r="A1073" s="154"/>
      <c r="B1073" s="154"/>
      <c r="C1073" s="154"/>
      <c r="D1073" s="162"/>
      <c r="E1073" s="154"/>
      <c r="F1073" s="154"/>
      <c r="G1073" s="154"/>
      <c r="H1073" s="154"/>
      <c r="I1073" s="154"/>
      <c r="J1073" s="154"/>
      <c r="K1073" s="154"/>
      <c r="L1073" s="154"/>
      <c r="M1073" s="154"/>
      <c r="N1073" s="154"/>
      <c r="O1073" s="154"/>
      <c r="P1073" s="154"/>
      <c r="Q1073" s="154"/>
      <c r="R1073" s="154"/>
      <c r="S1073" s="154"/>
      <c r="T1073" s="154"/>
      <c r="U1073" s="154"/>
      <c r="V1073" s="154"/>
      <c r="W1073" s="154"/>
      <c r="X1073" s="154"/>
      <c r="Y1073" s="154"/>
      <c r="Z1073" s="154"/>
      <c r="AA1073" s="154"/>
      <c r="AB1073" s="154"/>
      <c r="AC1073" s="154"/>
      <c r="AD1073" s="154"/>
      <c r="AE1073" s="154"/>
      <c r="AF1073" s="154"/>
      <c r="AG1073" s="195"/>
      <c r="AH1073" s="196"/>
      <c r="AI1073" s="197"/>
      <c r="AJ1073" s="110"/>
    </row>
    <row r="1074" spans="1:36" ht="18" customHeight="1">
      <c r="A1074" s="154"/>
      <c r="B1074" s="154"/>
      <c r="C1074" s="154"/>
      <c r="D1074" s="162"/>
      <c r="E1074" s="154"/>
      <c r="F1074" s="154"/>
      <c r="G1074" s="154"/>
      <c r="H1074" s="154"/>
      <c r="I1074" s="154"/>
      <c r="J1074" s="154"/>
      <c r="K1074" s="154"/>
      <c r="L1074" s="154"/>
      <c r="M1074" s="154"/>
      <c r="N1074" s="154"/>
      <c r="O1074" s="154"/>
      <c r="P1074" s="154"/>
      <c r="Q1074" s="154"/>
      <c r="R1074" s="154"/>
      <c r="S1074" s="154"/>
      <c r="T1074" s="154"/>
      <c r="U1074" s="154"/>
      <c r="V1074" s="154"/>
      <c r="W1074" s="154"/>
      <c r="X1074" s="154"/>
      <c r="Y1074" s="154"/>
      <c r="Z1074" s="154"/>
      <c r="AA1074" s="154"/>
      <c r="AB1074" s="154"/>
      <c r="AC1074" s="154"/>
      <c r="AD1074" s="154"/>
      <c r="AE1074" s="154"/>
      <c r="AF1074" s="154"/>
      <c r="AG1074" s="195"/>
      <c r="AH1074" s="196"/>
      <c r="AI1074" s="197"/>
      <c r="AJ1074" s="110"/>
    </row>
    <row r="1075" spans="1:36" ht="18" customHeight="1">
      <c r="A1075" s="154"/>
      <c r="B1075" s="154"/>
      <c r="C1075" s="154"/>
      <c r="D1075" s="162"/>
      <c r="E1075" s="154"/>
      <c r="F1075" s="154"/>
      <c r="G1075" s="154"/>
      <c r="H1075" s="154"/>
      <c r="I1075" s="154"/>
      <c r="J1075" s="154"/>
      <c r="K1075" s="154"/>
      <c r="L1075" s="154"/>
      <c r="M1075" s="154"/>
      <c r="N1075" s="154"/>
      <c r="O1075" s="154"/>
      <c r="P1075" s="154"/>
      <c r="Q1075" s="154"/>
      <c r="R1075" s="154"/>
      <c r="S1075" s="154"/>
      <c r="T1075" s="154"/>
      <c r="U1075" s="154"/>
      <c r="V1075" s="154"/>
      <c r="W1075" s="154"/>
      <c r="X1075" s="154"/>
      <c r="Y1075" s="154"/>
      <c r="Z1075" s="154"/>
      <c r="AA1075" s="154"/>
      <c r="AB1075" s="154"/>
      <c r="AC1075" s="154"/>
      <c r="AD1075" s="154"/>
      <c r="AE1075" s="154"/>
      <c r="AF1075" s="154"/>
      <c r="AG1075" s="195"/>
      <c r="AH1075" s="196"/>
      <c r="AI1075" s="197"/>
      <c r="AJ1075" s="110"/>
    </row>
    <row r="1076" spans="1:36" ht="18" customHeight="1">
      <c r="A1076" s="154"/>
      <c r="B1076" s="154"/>
      <c r="C1076" s="154"/>
      <c r="D1076" s="162"/>
      <c r="E1076" s="154"/>
      <c r="F1076" s="154"/>
      <c r="G1076" s="154"/>
      <c r="H1076" s="154"/>
      <c r="I1076" s="154"/>
      <c r="J1076" s="154"/>
      <c r="K1076" s="154"/>
      <c r="L1076" s="154"/>
      <c r="M1076" s="154"/>
      <c r="N1076" s="154"/>
      <c r="O1076" s="154"/>
      <c r="P1076" s="154"/>
      <c r="Q1076" s="154"/>
      <c r="R1076" s="154"/>
      <c r="S1076" s="154"/>
      <c r="T1076" s="154"/>
      <c r="U1076" s="154"/>
      <c r="V1076" s="154"/>
      <c r="W1076" s="154"/>
      <c r="X1076" s="154"/>
      <c r="Y1076" s="154"/>
      <c r="Z1076" s="154"/>
      <c r="AA1076" s="154"/>
      <c r="AB1076" s="154"/>
      <c r="AC1076" s="154"/>
      <c r="AD1076" s="154"/>
      <c r="AE1076" s="154"/>
      <c r="AF1076" s="154"/>
      <c r="AG1076" s="195"/>
      <c r="AH1076" s="196"/>
      <c r="AI1076" s="197"/>
      <c r="AJ1076" s="110"/>
    </row>
    <row r="1077" spans="1:36" ht="18" customHeight="1">
      <c r="A1077" s="154"/>
      <c r="B1077" s="154"/>
      <c r="C1077" s="154"/>
      <c r="D1077" s="162"/>
      <c r="E1077" s="154"/>
      <c r="F1077" s="154"/>
      <c r="G1077" s="154"/>
      <c r="H1077" s="154"/>
      <c r="I1077" s="154"/>
      <c r="J1077" s="154"/>
      <c r="K1077" s="154"/>
      <c r="L1077" s="154"/>
      <c r="M1077" s="154"/>
      <c r="N1077" s="154"/>
      <c r="O1077" s="154"/>
      <c r="P1077" s="154"/>
      <c r="Q1077" s="154"/>
      <c r="R1077" s="154"/>
      <c r="S1077" s="154"/>
      <c r="T1077" s="154"/>
      <c r="U1077" s="154"/>
      <c r="V1077" s="154"/>
      <c r="W1077" s="154"/>
      <c r="X1077" s="154"/>
      <c r="Y1077" s="154"/>
      <c r="Z1077" s="154"/>
      <c r="AA1077" s="154"/>
      <c r="AB1077" s="154"/>
      <c r="AC1077" s="154"/>
      <c r="AD1077" s="154"/>
      <c r="AE1077" s="154"/>
      <c r="AF1077" s="154"/>
      <c r="AG1077" s="195"/>
      <c r="AH1077" s="196"/>
      <c r="AI1077" s="197"/>
      <c r="AJ1077" s="110"/>
    </row>
    <row r="1078" spans="1:36" ht="18" customHeight="1">
      <c r="A1078" s="154"/>
      <c r="B1078" s="154"/>
      <c r="C1078" s="154"/>
      <c r="D1078" s="162"/>
      <c r="E1078" s="154"/>
      <c r="F1078" s="154"/>
      <c r="G1078" s="154"/>
      <c r="H1078" s="154"/>
      <c r="I1078" s="154"/>
      <c r="J1078" s="154"/>
      <c r="K1078" s="154"/>
      <c r="L1078" s="154"/>
      <c r="M1078" s="154"/>
      <c r="N1078" s="154"/>
      <c r="O1078" s="154"/>
      <c r="P1078" s="154"/>
      <c r="Q1078" s="154"/>
      <c r="R1078" s="154"/>
      <c r="S1078" s="154"/>
      <c r="T1078" s="154"/>
      <c r="U1078" s="154"/>
      <c r="V1078" s="154"/>
      <c r="W1078" s="154"/>
      <c r="X1078" s="154"/>
      <c r="Y1078" s="154"/>
      <c r="Z1078" s="154"/>
      <c r="AA1078" s="154"/>
      <c r="AB1078" s="154"/>
      <c r="AC1078" s="154"/>
      <c r="AD1078" s="154"/>
      <c r="AE1078" s="154"/>
      <c r="AF1078" s="154"/>
      <c r="AG1078" s="195"/>
      <c r="AH1078" s="196"/>
      <c r="AI1078" s="197"/>
      <c r="AJ1078" s="110"/>
    </row>
    <row r="1079" spans="1:36" ht="18" customHeight="1">
      <c r="A1079" s="154"/>
      <c r="B1079" s="154"/>
      <c r="C1079" s="154"/>
      <c r="D1079" s="162"/>
      <c r="E1079" s="154"/>
      <c r="F1079" s="154"/>
      <c r="G1079" s="154"/>
      <c r="H1079" s="154"/>
      <c r="I1079" s="154"/>
      <c r="J1079" s="154"/>
      <c r="K1079" s="154"/>
      <c r="L1079" s="154"/>
      <c r="M1079" s="154"/>
      <c r="N1079" s="154"/>
      <c r="O1079" s="154"/>
      <c r="P1079" s="154"/>
      <c r="Q1079" s="154"/>
      <c r="R1079" s="154"/>
      <c r="S1079" s="154"/>
      <c r="T1079" s="154"/>
      <c r="U1079" s="154"/>
      <c r="V1079" s="154"/>
      <c r="W1079" s="154"/>
      <c r="X1079" s="154"/>
      <c r="Y1079" s="154"/>
      <c r="Z1079" s="154"/>
      <c r="AA1079" s="154"/>
      <c r="AB1079" s="154"/>
      <c r="AC1079" s="154"/>
      <c r="AD1079" s="154"/>
      <c r="AE1079" s="154"/>
      <c r="AF1079" s="154"/>
      <c r="AG1079" s="195"/>
      <c r="AH1079" s="196"/>
      <c r="AI1079" s="197"/>
      <c r="AJ1079" s="110"/>
    </row>
    <row r="1080" spans="1:36" ht="18" customHeight="1">
      <c r="A1080" s="154"/>
      <c r="B1080" s="154"/>
      <c r="C1080" s="154"/>
      <c r="D1080" s="162"/>
      <c r="E1080" s="154"/>
      <c r="F1080" s="154"/>
      <c r="G1080" s="154"/>
      <c r="H1080" s="154"/>
      <c r="I1080" s="154"/>
      <c r="J1080" s="154"/>
      <c r="K1080" s="154"/>
      <c r="L1080" s="154"/>
      <c r="M1080" s="154"/>
      <c r="N1080" s="154"/>
      <c r="O1080" s="154"/>
      <c r="P1080" s="154"/>
      <c r="Q1080" s="154"/>
      <c r="R1080" s="154"/>
      <c r="S1080" s="154"/>
      <c r="T1080" s="154"/>
      <c r="U1080" s="154"/>
      <c r="V1080" s="154"/>
      <c r="W1080" s="154"/>
      <c r="X1080" s="154"/>
      <c r="Y1080" s="154"/>
      <c r="Z1080" s="154"/>
      <c r="AA1080" s="154"/>
      <c r="AB1080" s="154"/>
      <c r="AC1080" s="154"/>
      <c r="AD1080" s="154"/>
      <c r="AE1080" s="154"/>
      <c r="AF1080" s="154"/>
      <c r="AG1080" s="195"/>
      <c r="AH1080" s="196"/>
      <c r="AI1080" s="197"/>
      <c r="AJ1080" s="110"/>
    </row>
    <row r="1081" spans="1:36" ht="18" customHeight="1">
      <c r="A1081" s="154"/>
      <c r="B1081" s="154"/>
      <c r="C1081" s="154"/>
      <c r="D1081" s="162"/>
      <c r="E1081" s="154"/>
      <c r="F1081" s="154"/>
      <c r="G1081" s="154"/>
      <c r="H1081" s="154"/>
      <c r="I1081" s="154"/>
      <c r="J1081" s="154"/>
      <c r="K1081" s="154"/>
      <c r="L1081" s="154"/>
      <c r="M1081" s="154"/>
      <c r="N1081" s="154"/>
      <c r="O1081" s="154"/>
      <c r="P1081" s="154"/>
      <c r="Q1081" s="154"/>
      <c r="R1081" s="154"/>
      <c r="S1081" s="154"/>
      <c r="T1081" s="154"/>
      <c r="U1081" s="154"/>
      <c r="V1081" s="154"/>
      <c r="W1081" s="154"/>
      <c r="X1081" s="154"/>
      <c r="Y1081" s="154"/>
      <c r="Z1081" s="154"/>
      <c r="AA1081" s="154"/>
      <c r="AB1081" s="154"/>
      <c r="AC1081" s="154"/>
      <c r="AD1081" s="154"/>
      <c r="AE1081" s="154"/>
      <c r="AF1081" s="154"/>
      <c r="AG1081" s="195"/>
      <c r="AH1081" s="196"/>
      <c r="AI1081" s="197"/>
      <c r="AJ1081" s="110"/>
    </row>
    <row r="1082" spans="1:36" ht="18" customHeight="1">
      <c r="A1082" s="154"/>
      <c r="B1082" s="154"/>
      <c r="C1082" s="154"/>
      <c r="D1082" s="162"/>
      <c r="E1082" s="154"/>
      <c r="F1082" s="154"/>
      <c r="G1082" s="154"/>
      <c r="H1082" s="154"/>
      <c r="I1082" s="154"/>
      <c r="J1082" s="154"/>
      <c r="K1082" s="154"/>
      <c r="L1082" s="154"/>
      <c r="M1082" s="154"/>
      <c r="N1082" s="154"/>
      <c r="O1082" s="154"/>
      <c r="P1082" s="154"/>
      <c r="Q1082" s="154"/>
      <c r="R1082" s="154"/>
      <c r="S1082" s="154"/>
      <c r="T1082" s="154"/>
      <c r="U1082" s="154"/>
      <c r="V1082" s="154"/>
      <c r="W1082" s="154"/>
      <c r="X1082" s="154"/>
      <c r="Y1082" s="154"/>
      <c r="Z1082" s="154"/>
      <c r="AA1082" s="154"/>
      <c r="AB1082" s="154"/>
      <c r="AC1082" s="154"/>
      <c r="AD1082" s="154"/>
      <c r="AE1082" s="154"/>
      <c r="AF1082" s="154"/>
      <c r="AG1082" s="195"/>
      <c r="AH1082" s="196"/>
      <c r="AI1082" s="197"/>
      <c r="AJ1082" s="110"/>
    </row>
    <row r="1083" spans="1:36" ht="18" customHeight="1">
      <c r="A1083" s="154"/>
      <c r="B1083" s="154"/>
      <c r="C1083" s="154"/>
      <c r="D1083" s="162"/>
      <c r="E1083" s="154"/>
      <c r="F1083" s="154"/>
      <c r="G1083" s="154"/>
      <c r="H1083" s="154"/>
      <c r="I1083" s="154"/>
      <c r="J1083" s="154"/>
      <c r="K1083" s="154"/>
      <c r="L1083" s="154"/>
      <c r="M1083" s="154"/>
      <c r="N1083" s="154"/>
      <c r="O1083" s="154"/>
      <c r="P1083" s="154"/>
      <c r="Q1083" s="154"/>
      <c r="R1083" s="154"/>
      <c r="S1083" s="154"/>
      <c r="T1083" s="154"/>
      <c r="U1083" s="154"/>
      <c r="V1083" s="154"/>
      <c r="W1083" s="154"/>
      <c r="X1083" s="154"/>
      <c r="Y1083" s="154"/>
      <c r="Z1083" s="154"/>
      <c r="AA1083" s="154"/>
      <c r="AB1083" s="154"/>
      <c r="AC1083" s="154"/>
      <c r="AD1083" s="154"/>
      <c r="AE1083" s="154"/>
      <c r="AF1083" s="154"/>
      <c r="AG1083" s="195"/>
      <c r="AH1083" s="196"/>
      <c r="AI1083" s="197"/>
      <c r="AJ1083" s="110"/>
    </row>
    <row r="1084" spans="1:36" ht="18" customHeight="1">
      <c r="A1084" s="154"/>
      <c r="B1084" s="154"/>
      <c r="C1084" s="154"/>
      <c r="D1084" s="162"/>
      <c r="E1084" s="154"/>
      <c r="F1084" s="154"/>
      <c r="G1084" s="154"/>
      <c r="H1084" s="154"/>
      <c r="I1084" s="154"/>
      <c r="J1084" s="154"/>
      <c r="K1084" s="154"/>
      <c r="L1084" s="154"/>
      <c r="M1084" s="154"/>
      <c r="N1084" s="154"/>
      <c r="O1084" s="154"/>
      <c r="P1084" s="154"/>
      <c r="Q1084" s="154"/>
      <c r="R1084" s="154"/>
      <c r="S1084" s="154"/>
      <c r="T1084" s="154"/>
      <c r="U1084" s="154"/>
      <c r="V1084" s="154"/>
      <c r="W1084" s="154"/>
      <c r="X1084" s="154"/>
      <c r="Y1084" s="154"/>
      <c r="Z1084" s="154"/>
      <c r="AA1084" s="154"/>
      <c r="AB1084" s="154"/>
      <c r="AC1084" s="154"/>
      <c r="AD1084" s="154"/>
      <c r="AE1084" s="154"/>
      <c r="AF1084" s="154"/>
      <c r="AG1084" s="195"/>
      <c r="AH1084" s="196"/>
      <c r="AI1084" s="197"/>
      <c r="AJ1084" s="110"/>
    </row>
    <row r="1085" spans="1:36" ht="18" customHeight="1">
      <c r="A1085" s="154"/>
      <c r="B1085" s="154"/>
      <c r="C1085" s="154"/>
      <c r="D1085" s="162"/>
      <c r="E1085" s="154"/>
      <c r="F1085" s="154"/>
      <c r="G1085" s="154"/>
      <c r="H1085" s="154"/>
      <c r="I1085" s="154"/>
      <c r="J1085" s="154"/>
      <c r="K1085" s="154"/>
      <c r="L1085" s="154"/>
      <c r="M1085" s="154"/>
      <c r="N1085" s="154"/>
      <c r="O1085" s="154"/>
      <c r="P1085" s="154"/>
      <c r="Q1085" s="154"/>
      <c r="R1085" s="154"/>
      <c r="S1085" s="154"/>
      <c r="T1085" s="154"/>
      <c r="U1085" s="154"/>
      <c r="V1085" s="154"/>
      <c r="W1085" s="154"/>
      <c r="X1085" s="154"/>
      <c r="Y1085" s="154"/>
      <c r="Z1085" s="154"/>
      <c r="AA1085" s="154"/>
      <c r="AB1085" s="154"/>
      <c r="AC1085" s="154"/>
      <c r="AD1085" s="154"/>
      <c r="AE1085" s="154"/>
      <c r="AF1085" s="154"/>
      <c r="AG1085" s="195"/>
      <c r="AH1085" s="196"/>
      <c r="AI1085" s="197"/>
      <c r="AJ1085" s="110"/>
    </row>
    <row r="1086" spans="1:36" ht="18" customHeight="1">
      <c r="A1086" s="154"/>
      <c r="B1086" s="154"/>
      <c r="C1086" s="154"/>
      <c r="D1086" s="162"/>
      <c r="E1086" s="154"/>
      <c r="F1086" s="154"/>
      <c r="G1086" s="154"/>
      <c r="H1086" s="154"/>
      <c r="I1086" s="154"/>
      <c r="J1086" s="154"/>
      <c r="K1086" s="154"/>
      <c r="L1086" s="154"/>
      <c r="M1086" s="154"/>
      <c r="N1086" s="154"/>
      <c r="O1086" s="154"/>
      <c r="P1086" s="154"/>
      <c r="Q1086" s="154"/>
      <c r="R1086" s="154"/>
      <c r="S1086" s="154"/>
      <c r="T1086" s="154"/>
      <c r="U1086" s="154"/>
      <c r="V1086" s="154"/>
      <c r="W1086" s="154"/>
      <c r="X1086" s="154"/>
      <c r="Y1086" s="154"/>
      <c r="Z1086" s="154"/>
      <c r="AA1086" s="154"/>
      <c r="AB1086" s="154"/>
      <c r="AC1086" s="154"/>
      <c r="AD1086" s="154"/>
      <c r="AE1086" s="154"/>
      <c r="AF1086" s="154"/>
      <c r="AG1086" s="195"/>
      <c r="AH1086" s="196"/>
      <c r="AI1086" s="197"/>
      <c r="AJ1086" s="110"/>
    </row>
    <row r="1087" spans="1:36" ht="18" customHeight="1">
      <c r="A1087" s="154"/>
      <c r="B1087" s="154"/>
      <c r="C1087" s="154"/>
      <c r="D1087" s="162"/>
      <c r="E1087" s="154"/>
      <c r="F1087" s="154"/>
      <c r="G1087" s="154"/>
      <c r="H1087" s="154"/>
      <c r="I1087" s="154"/>
      <c r="J1087" s="154"/>
      <c r="K1087" s="154"/>
      <c r="L1087" s="154"/>
      <c r="M1087" s="154"/>
      <c r="N1087" s="154"/>
      <c r="O1087" s="154"/>
      <c r="P1087" s="154"/>
      <c r="Q1087" s="154"/>
      <c r="R1087" s="154"/>
      <c r="S1087" s="154"/>
      <c r="T1087" s="154"/>
      <c r="U1087" s="154"/>
      <c r="V1087" s="154"/>
      <c r="W1087" s="154"/>
      <c r="X1087" s="154"/>
      <c r="Y1087" s="154"/>
      <c r="Z1087" s="154"/>
      <c r="AA1087" s="154"/>
      <c r="AB1087" s="154"/>
      <c r="AC1087" s="154"/>
      <c r="AD1087" s="154"/>
      <c r="AE1087" s="154"/>
      <c r="AF1087" s="154"/>
      <c r="AG1087" s="195"/>
      <c r="AH1087" s="196"/>
      <c r="AI1087" s="197"/>
      <c r="AJ1087" s="110"/>
    </row>
    <row r="1088" spans="1:36" ht="18" customHeight="1">
      <c r="A1088" s="154"/>
      <c r="B1088" s="154"/>
      <c r="C1088" s="154"/>
      <c r="D1088" s="162"/>
      <c r="E1088" s="154"/>
      <c r="F1088" s="154"/>
      <c r="G1088" s="154"/>
      <c r="H1088" s="154"/>
      <c r="I1088" s="154"/>
      <c r="J1088" s="154"/>
      <c r="K1088" s="154"/>
      <c r="L1088" s="154"/>
      <c r="M1088" s="154"/>
      <c r="N1088" s="154"/>
      <c r="O1088" s="154"/>
      <c r="P1088" s="154"/>
      <c r="Q1088" s="154"/>
      <c r="R1088" s="154"/>
      <c r="S1088" s="154"/>
      <c r="T1088" s="154"/>
      <c r="U1088" s="154"/>
      <c r="V1088" s="154"/>
      <c r="W1088" s="154"/>
      <c r="X1088" s="154"/>
      <c r="Y1088" s="154"/>
      <c r="Z1088" s="154"/>
      <c r="AA1088" s="154"/>
      <c r="AB1088" s="154"/>
      <c r="AC1088" s="154"/>
      <c r="AD1088" s="154"/>
      <c r="AE1088" s="154"/>
      <c r="AF1088" s="154"/>
      <c r="AG1088" s="195"/>
      <c r="AH1088" s="196"/>
      <c r="AI1088" s="197"/>
      <c r="AJ1088" s="110"/>
    </row>
    <row r="1089" spans="1:36" ht="18" customHeight="1">
      <c r="A1089" s="154"/>
      <c r="B1089" s="154"/>
      <c r="C1089" s="154"/>
      <c r="D1089" s="162"/>
      <c r="E1089" s="154"/>
      <c r="F1089" s="154"/>
      <c r="G1089" s="154"/>
      <c r="H1089" s="154"/>
      <c r="I1089" s="154"/>
      <c r="J1089" s="154"/>
      <c r="K1089" s="154"/>
      <c r="L1089" s="154"/>
      <c r="M1089" s="154"/>
      <c r="N1089" s="154"/>
      <c r="O1089" s="154"/>
      <c r="P1089" s="154"/>
      <c r="Q1089" s="154"/>
      <c r="R1089" s="154"/>
      <c r="S1089" s="154"/>
      <c r="T1089" s="154"/>
      <c r="U1089" s="154"/>
      <c r="V1089" s="154"/>
      <c r="W1089" s="154"/>
      <c r="X1089" s="154"/>
      <c r="Y1089" s="154"/>
      <c r="Z1089" s="154"/>
      <c r="AA1089" s="154"/>
      <c r="AB1089" s="154"/>
      <c r="AC1089" s="154"/>
      <c r="AD1089" s="154"/>
      <c r="AE1089" s="154"/>
      <c r="AF1089" s="154"/>
      <c r="AG1089" s="195"/>
      <c r="AH1089" s="196"/>
      <c r="AI1089" s="197"/>
      <c r="AJ1089" s="110"/>
    </row>
    <row r="1090" spans="1:36" ht="18" customHeight="1">
      <c r="A1090" s="154"/>
      <c r="B1090" s="154"/>
      <c r="C1090" s="154"/>
      <c r="D1090" s="162"/>
      <c r="E1090" s="154"/>
      <c r="F1090" s="154"/>
      <c r="G1090" s="154"/>
      <c r="H1090" s="154"/>
      <c r="I1090" s="154"/>
      <c r="J1090" s="154"/>
      <c r="K1090" s="154"/>
      <c r="L1090" s="154"/>
      <c r="M1090" s="154"/>
      <c r="N1090" s="154"/>
      <c r="O1090" s="154"/>
      <c r="P1090" s="154"/>
      <c r="Q1090" s="154"/>
      <c r="R1090" s="154"/>
      <c r="S1090" s="154"/>
      <c r="T1090" s="154"/>
      <c r="U1090" s="154"/>
      <c r="V1090" s="154"/>
      <c r="W1090" s="154"/>
      <c r="X1090" s="154"/>
      <c r="Y1090" s="154"/>
      <c r="Z1090" s="154"/>
      <c r="AA1090" s="154"/>
      <c r="AB1090" s="154"/>
      <c r="AC1090" s="154"/>
      <c r="AD1090" s="154"/>
      <c r="AE1090" s="154"/>
      <c r="AF1090" s="154"/>
      <c r="AG1090" s="195"/>
      <c r="AH1090" s="196"/>
      <c r="AI1090" s="197"/>
      <c r="AJ1090" s="110"/>
    </row>
    <row r="1091" spans="1:36" ht="18" customHeight="1">
      <c r="A1091" s="154"/>
      <c r="B1091" s="154"/>
      <c r="C1091" s="154"/>
      <c r="D1091" s="162"/>
      <c r="E1091" s="154"/>
      <c r="F1091" s="154"/>
      <c r="G1091" s="154"/>
      <c r="H1091" s="154"/>
      <c r="I1091" s="154"/>
      <c r="J1091" s="154"/>
      <c r="K1091" s="154"/>
      <c r="L1091" s="154"/>
      <c r="M1091" s="154"/>
      <c r="N1091" s="154"/>
      <c r="O1091" s="154"/>
      <c r="P1091" s="154"/>
      <c r="Q1091" s="154"/>
      <c r="R1091" s="154"/>
      <c r="S1091" s="154"/>
      <c r="T1091" s="154"/>
      <c r="U1091" s="154"/>
      <c r="V1091" s="154"/>
      <c r="W1091" s="154"/>
      <c r="X1091" s="154"/>
      <c r="Y1091" s="154"/>
      <c r="Z1091" s="154"/>
      <c r="AA1091" s="154"/>
      <c r="AB1091" s="154"/>
      <c r="AC1091" s="154"/>
      <c r="AD1091" s="154"/>
      <c r="AE1091" s="154"/>
      <c r="AF1091" s="154"/>
      <c r="AG1091" s="195"/>
      <c r="AH1091" s="196"/>
      <c r="AI1091" s="197"/>
      <c r="AJ1091" s="110"/>
    </row>
    <row r="1092" spans="1:36" ht="18" customHeight="1">
      <c r="A1092" s="154"/>
      <c r="B1092" s="154"/>
      <c r="C1092" s="154"/>
      <c r="D1092" s="162"/>
      <c r="E1092" s="154"/>
      <c r="F1092" s="154"/>
      <c r="G1092" s="154"/>
      <c r="H1092" s="154"/>
      <c r="I1092" s="154"/>
      <c r="J1092" s="154"/>
      <c r="K1092" s="154"/>
      <c r="L1092" s="154"/>
      <c r="M1092" s="154"/>
      <c r="N1092" s="154"/>
      <c r="O1092" s="154"/>
      <c r="P1092" s="154"/>
      <c r="Q1092" s="154"/>
      <c r="R1092" s="154"/>
      <c r="S1092" s="154"/>
      <c r="T1092" s="154"/>
      <c r="U1092" s="154"/>
      <c r="V1092" s="154"/>
      <c r="W1092" s="154"/>
      <c r="X1092" s="154"/>
      <c r="Y1092" s="154"/>
      <c r="Z1092" s="154"/>
      <c r="AA1092" s="154"/>
      <c r="AB1092" s="154"/>
      <c r="AC1092" s="154"/>
      <c r="AD1092" s="154"/>
      <c r="AE1092" s="154"/>
      <c r="AF1092" s="154"/>
      <c r="AG1092" s="195"/>
      <c r="AH1092" s="196"/>
      <c r="AI1092" s="197"/>
      <c r="AJ1092" s="110"/>
    </row>
    <row r="1093" spans="1:36" ht="18" customHeight="1">
      <c r="A1093" s="154"/>
      <c r="B1093" s="154"/>
      <c r="C1093" s="154"/>
      <c r="D1093" s="162"/>
      <c r="E1093" s="154"/>
      <c r="F1093" s="154"/>
      <c r="G1093" s="154"/>
      <c r="H1093" s="154"/>
      <c r="I1093" s="154"/>
      <c r="J1093" s="154"/>
      <c r="K1093" s="154"/>
      <c r="L1093" s="154"/>
      <c r="M1093" s="154"/>
      <c r="N1093" s="154"/>
      <c r="O1093" s="154"/>
      <c r="P1093" s="154"/>
      <c r="Q1093" s="154"/>
      <c r="R1093" s="154"/>
      <c r="S1093" s="154"/>
      <c r="T1093" s="154"/>
      <c r="U1093" s="154"/>
      <c r="V1093" s="154"/>
      <c r="W1093" s="154"/>
      <c r="X1093" s="154"/>
      <c r="Y1093" s="154"/>
      <c r="Z1093" s="154"/>
      <c r="AA1093" s="154"/>
      <c r="AB1093" s="154"/>
      <c r="AC1093" s="154"/>
      <c r="AD1093" s="154"/>
      <c r="AE1093" s="154"/>
      <c r="AF1093" s="154"/>
      <c r="AG1093" s="195"/>
      <c r="AH1093" s="196"/>
      <c r="AI1093" s="197"/>
      <c r="AJ1093" s="110"/>
    </row>
    <row r="1094" spans="1:36" ht="18" customHeight="1">
      <c r="A1094" s="154"/>
      <c r="B1094" s="154"/>
      <c r="C1094" s="154"/>
      <c r="D1094" s="162"/>
      <c r="E1094" s="154"/>
      <c r="F1094" s="154"/>
      <c r="G1094" s="154"/>
      <c r="H1094" s="154"/>
      <c r="I1094" s="154"/>
      <c r="J1094" s="154"/>
      <c r="K1094" s="154"/>
      <c r="L1094" s="154"/>
      <c r="M1094" s="154"/>
      <c r="N1094" s="154"/>
      <c r="O1094" s="154"/>
      <c r="P1094" s="154"/>
      <c r="Q1094" s="154"/>
      <c r="R1094" s="154"/>
      <c r="S1094" s="154"/>
      <c r="T1094" s="154"/>
      <c r="U1094" s="154"/>
      <c r="V1094" s="154"/>
      <c r="W1094" s="154"/>
      <c r="X1094" s="154"/>
      <c r="Y1094" s="154"/>
      <c r="Z1094" s="154"/>
      <c r="AA1094" s="154"/>
      <c r="AB1094" s="154"/>
      <c r="AC1094" s="154"/>
      <c r="AD1094" s="154"/>
      <c r="AE1094" s="154"/>
      <c r="AF1094" s="154"/>
      <c r="AG1094" s="195"/>
      <c r="AH1094" s="196"/>
      <c r="AI1094" s="197"/>
      <c r="AJ1094" s="110"/>
    </row>
    <row r="1095" spans="1:36" ht="18" customHeight="1">
      <c r="A1095" s="154"/>
      <c r="B1095" s="154"/>
      <c r="C1095" s="154"/>
      <c r="D1095" s="162"/>
      <c r="E1095" s="154"/>
      <c r="F1095" s="154"/>
      <c r="G1095" s="154"/>
      <c r="H1095" s="154"/>
      <c r="I1095" s="154"/>
      <c r="J1095" s="154"/>
      <c r="K1095" s="154"/>
      <c r="L1095" s="154"/>
      <c r="M1095" s="154"/>
      <c r="N1095" s="154"/>
      <c r="O1095" s="154"/>
      <c r="P1095" s="154"/>
      <c r="Q1095" s="154"/>
      <c r="R1095" s="154"/>
      <c r="S1095" s="154"/>
      <c r="T1095" s="154"/>
      <c r="U1095" s="154"/>
      <c r="V1095" s="154"/>
      <c r="W1095" s="154"/>
      <c r="X1095" s="154"/>
      <c r="Y1095" s="154"/>
      <c r="Z1095" s="154"/>
      <c r="AA1095" s="154"/>
      <c r="AB1095" s="154"/>
      <c r="AC1095" s="154"/>
      <c r="AD1095" s="154"/>
      <c r="AE1095" s="154"/>
      <c r="AF1095" s="154"/>
      <c r="AG1095" s="195"/>
      <c r="AH1095" s="196"/>
      <c r="AI1095" s="197"/>
      <c r="AJ1095" s="110"/>
    </row>
    <row r="1096" spans="1:36" ht="18" customHeight="1">
      <c r="A1096" s="154"/>
      <c r="B1096" s="154"/>
      <c r="C1096" s="154"/>
      <c r="D1096" s="162"/>
      <c r="E1096" s="154"/>
      <c r="F1096" s="154"/>
      <c r="G1096" s="154"/>
      <c r="H1096" s="154"/>
      <c r="I1096" s="154"/>
      <c r="J1096" s="154"/>
      <c r="K1096" s="154"/>
      <c r="L1096" s="154"/>
      <c r="M1096" s="154"/>
      <c r="N1096" s="154"/>
      <c r="O1096" s="154"/>
      <c r="P1096" s="154"/>
      <c r="Q1096" s="154"/>
      <c r="R1096" s="154"/>
      <c r="S1096" s="154"/>
      <c r="T1096" s="154"/>
      <c r="U1096" s="154"/>
      <c r="V1096" s="154"/>
      <c r="W1096" s="154"/>
      <c r="X1096" s="154"/>
      <c r="Y1096" s="154"/>
      <c r="Z1096" s="154"/>
      <c r="AA1096" s="154"/>
      <c r="AB1096" s="154"/>
      <c r="AC1096" s="154"/>
      <c r="AD1096" s="154"/>
      <c r="AE1096" s="154"/>
      <c r="AF1096" s="154"/>
      <c r="AG1096" s="195"/>
      <c r="AH1096" s="196"/>
      <c r="AI1096" s="197"/>
      <c r="AJ1096" s="110"/>
    </row>
    <row r="1097" spans="1:36" ht="18" customHeight="1">
      <c r="A1097" s="154"/>
      <c r="B1097" s="154"/>
      <c r="C1097" s="154"/>
      <c r="D1097" s="162"/>
      <c r="E1097" s="154"/>
      <c r="F1097" s="154"/>
      <c r="G1097" s="154"/>
      <c r="H1097" s="154"/>
      <c r="I1097" s="154"/>
      <c r="J1097" s="154"/>
      <c r="K1097" s="154"/>
      <c r="L1097" s="154"/>
      <c r="M1097" s="154"/>
      <c r="N1097" s="154"/>
      <c r="O1097" s="154"/>
      <c r="P1097" s="154"/>
      <c r="Q1097" s="154"/>
      <c r="R1097" s="154"/>
      <c r="S1097" s="154"/>
      <c r="T1097" s="154"/>
      <c r="U1097" s="154"/>
      <c r="V1097" s="154"/>
      <c r="W1097" s="154"/>
      <c r="X1097" s="154"/>
      <c r="Y1097" s="154"/>
      <c r="Z1097" s="154"/>
      <c r="AA1097" s="154"/>
      <c r="AB1097" s="154"/>
      <c r="AC1097" s="154"/>
      <c r="AD1097" s="154"/>
      <c r="AE1097" s="154"/>
      <c r="AF1097" s="154"/>
      <c r="AG1097" s="195"/>
      <c r="AH1097" s="196"/>
      <c r="AI1097" s="197"/>
      <c r="AJ1097" s="110"/>
    </row>
    <row r="1098" spans="1:36" ht="18" customHeight="1">
      <c r="A1098" s="154"/>
      <c r="B1098" s="154"/>
      <c r="C1098" s="154"/>
      <c r="D1098" s="162"/>
      <c r="E1098" s="154"/>
      <c r="F1098" s="154"/>
      <c r="G1098" s="154"/>
      <c r="H1098" s="154"/>
      <c r="I1098" s="154"/>
      <c r="J1098" s="154"/>
      <c r="K1098" s="154"/>
      <c r="L1098" s="154"/>
      <c r="M1098" s="154"/>
      <c r="N1098" s="154"/>
      <c r="O1098" s="154"/>
      <c r="P1098" s="154"/>
      <c r="Q1098" s="154"/>
      <c r="R1098" s="154"/>
      <c r="S1098" s="154"/>
      <c r="T1098" s="154"/>
      <c r="U1098" s="154"/>
      <c r="V1098" s="154"/>
      <c r="W1098" s="154"/>
      <c r="X1098" s="154"/>
      <c r="Y1098" s="154"/>
      <c r="Z1098" s="154"/>
      <c r="AA1098" s="154"/>
      <c r="AB1098" s="154"/>
      <c r="AC1098" s="154"/>
      <c r="AD1098" s="154"/>
      <c r="AE1098" s="154"/>
      <c r="AF1098" s="154"/>
      <c r="AG1098" s="195"/>
      <c r="AH1098" s="196"/>
      <c r="AI1098" s="197"/>
      <c r="AJ1098" s="110"/>
    </row>
    <row r="1099" spans="1:36" ht="18" customHeight="1">
      <c r="A1099" s="154"/>
      <c r="B1099" s="154"/>
      <c r="C1099" s="154"/>
      <c r="D1099" s="162"/>
      <c r="E1099" s="154"/>
      <c r="F1099" s="154"/>
      <c r="G1099" s="154"/>
      <c r="H1099" s="154"/>
      <c r="I1099" s="154"/>
      <c r="J1099" s="154"/>
      <c r="K1099" s="154"/>
      <c r="L1099" s="154"/>
      <c r="M1099" s="154"/>
      <c r="N1099" s="154"/>
      <c r="O1099" s="154"/>
      <c r="P1099" s="154"/>
      <c r="Q1099" s="154"/>
      <c r="R1099" s="154"/>
      <c r="S1099" s="154"/>
      <c r="T1099" s="154"/>
      <c r="U1099" s="154"/>
      <c r="V1099" s="154"/>
      <c r="W1099" s="154"/>
      <c r="X1099" s="154"/>
      <c r="Y1099" s="154"/>
      <c r="Z1099" s="154"/>
      <c r="AA1099" s="154"/>
      <c r="AB1099" s="154"/>
      <c r="AC1099" s="154"/>
      <c r="AD1099" s="154"/>
      <c r="AE1099" s="154"/>
      <c r="AF1099" s="154"/>
      <c r="AG1099" s="195"/>
      <c r="AH1099" s="196"/>
      <c r="AI1099" s="197"/>
      <c r="AJ1099" s="110"/>
    </row>
    <row r="1100" spans="1:36" ht="18" customHeight="1">
      <c r="A1100" s="154"/>
      <c r="B1100" s="154"/>
      <c r="C1100" s="154"/>
      <c r="D1100" s="162"/>
      <c r="E1100" s="154"/>
      <c r="F1100" s="154"/>
      <c r="G1100" s="154"/>
      <c r="H1100" s="154"/>
      <c r="I1100" s="154"/>
      <c r="J1100" s="154"/>
      <c r="K1100" s="154"/>
      <c r="L1100" s="154"/>
      <c r="M1100" s="154"/>
      <c r="N1100" s="154"/>
      <c r="O1100" s="154"/>
      <c r="P1100" s="154"/>
      <c r="Q1100" s="154"/>
      <c r="R1100" s="154"/>
      <c r="S1100" s="154"/>
      <c r="T1100" s="154"/>
      <c r="U1100" s="154"/>
      <c r="V1100" s="154"/>
      <c r="W1100" s="154"/>
      <c r="X1100" s="154"/>
      <c r="Y1100" s="154"/>
      <c r="Z1100" s="154"/>
      <c r="AA1100" s="154"/>
      <c r="AB1100" s="154"/>
      <c r="AC1100" s="154"/>
      <c r="AD1100" s="154"/>
      <c r="AE1100" s="154"/>
      <c r="AF1100" s="154"/>
      <c r="AG1100" s="195"/>
      <c r="AH1100" s="196"/>
      <c r="AI1100" s="197"/>
      <c r="AJ1100" s="110"/>
    </row>
    <row r="1101" spans="1:36" ht="18" customHeight="1">
      <c r="A1101" s="154"/>
      <c r="B1101" s="154"/>
      <c r="C1101" s="154"/>
      <c r="D1101" s="162"/>
      <c r="E1101" s="154"/>
      <c r="F1101" s="154"/>
      <c r="G1101" s="154"/>
      <c r="H1101" s="154"/>
      <c r="I1101" s="154"/>
      <c r="J1101" s="154"/>
      <c r="K1101" s="154"/>
      <c r="L1101" s="154"/>
      <c r="M1101" s="154"/>
      <c r="N1101" s="154"/>
      <c r="O1101" s="154"/>
      <c r="P1101" s="154"/>
      <c r="Q1101" s="154"/>
      <c r="R1101" s="154"/>
      <c r="S1101" s="154"/>
      <c r="T1101" s="154"/>
      <c r="U1101" s="154"/>
      <c r="V1101" s="154"/>
      <c r="W1101" s="154"/>
      <c r="X1101" s="154"/>
      <c r="Y1101" s="154"/>
      <c r="Z1101" s="154"/>
      <c r="AA1101" s="154"/>
      <c r="AB1101" s="154"/>
      <c r="AC1101" s="154"/>
      <c r="AD1101" s="154"/>
      <c r="AE1101" s="154"/>
      <c r="AF1101" s="154"/>
      <c r="AG1101" s="195"/>
      <c r="AH1101" s="196"/>
      <c r="AI1101" s="197"/>
      <c r="AJ1101" s="110"/>
    </row>
    <row r="1102" spans="1:36" ht="18" customHeight="1">
      <c r="A1102" s="154"/>
      <c r="B1102" s="154"/>
      <c r="C1102" s="154"/>
      <c r="D1102" s="162"/>
      <c r="E1102" s="154"/>
      <c r="F1102" s="154"/>
      <c r="G1102" s="154"/>
      <c r="H1102" s="154"/>
      <c r="I1102" s="154"/>
      <c r="J1102" s="154"/>
      <c r="K1102" s="154"/>
      <c r="L1102" s="154"/>
      <c r="M1102" s="154"/>
      <c r="N1102" s="154"/>
      <c r="O1102" s="154"/>
      <c r="P1102" s="154"/>
      <c r="Q1102" s="154"/>
      <c r="R1102" s="154"/>
      <c r="S1102" s="154"/>
      <c r="T1102" s="154"/>
      <c r="U1102" s="154"/>
      <c r="V1102" s="154"/>
      <c r="W1102" s="154"/>
      <c r="X1102" s="154"/>
      <c r="Y1102" s="154"/>
      <c r="Z1102" s="154"/>
      <c r="AA1102" s="154"/>
      <c r="AB1102" s="154"/>
      <c r="AC1102" s="154"/>
      <c r="AD1102" s="154"/>
      <c r="AE1102" s="154"/>
      <c r="AF1102" s="154"/>
      <c r="AG1102" s="195"/>
      <c r="AH1102" s="196"/>
      <c r="AI1102" s="197"/>
      <c r="AJ1102" s="110"/>
    </row>
    <row r="1103" spans="1:36" ht="18" customHeight="1">
      <c r="A1103" s="154"/>
      <c r="B1103" s="154"/>
      <c r="C1103" s="154"/>
      <c r="D1103" s="162"/>
      <c r="E1103" s="154"/>
      <c r="F1103" s="154"/>
      <c r="G1103" s="154"/>
      <c r="H1103" s="154"/>
      <c r="I1103" s="154"/>
      <c r="J1103" s="154"/>
      <c r="K1103" s="154"/>
      <c r="L1103" s="154"/>
      <c r="M1103" s="154"/>
      <c r="N1103" s="154"/>
      <c r="O1103" s="154"/>
      <c r="P1103" s="154"/>
      <c r="Q1103" s="154"/>
      <c r="R1103" s="154"/>
      <c r="S1103" s="154"/>
      <c r="T1103" s="154"/>
      <c r="U1103" s="154"/>
      <c r="V1103" s="154"/>
      <c r="W1103" s="154"/>
      <c r="X1103" s="154"/>
      <c r="Y1103" s="154"/>
      <c r="Z1103" s="154"/>
      <c r="AA1103" s="154"/>
      <c r="AB1103" s="154"/>
      <c r="AC1103" s="154"/>
      <c r="AD1103" s="154"/>
      <c r="AE1103" s="154"/>
      <c r="AF1103" s="154"/>
      <c r="AG1103" s="195"/>
      <c r="AH1103" s="196"/>
      <c r="AI1103" s="197"/>
      <c r="AJ1103" s="110"/>
    </row>
    <row r="1104" spans="1:36" ht="18" customHeight="1">
      <c r="A1104" s="154"/>
      <c r="B1104" s="154"/>
      <c r="C1104" s="154"/>
      <c r="D1104" s="162"/>
      <c r="E1104" s="154"/>
      <c r="F1104" s="154"/>
      <c r="G1104" s="154"/>
      <c r="H1104" s="154"/>
      <c r="I1104" s="154"/>
      <c r="J1104" s="154"/>
      <c r="K1104" s="154"/>
      <c r="L1104" s="154"/>
      <c r="M1104" s="154"/>
      <c r="N1104" s="154"/>
      <c r="O1104" s="154"/>
      <c r="P1104" s="154"/>
      <c r="Q1104" s="154"/>
      <c r="R1104" s="154"/>
      <c r="S1104" s="154"/>
      <c r="T1104" s="154"/>
      <c r="U1104" s="154"/>
      <c r="V1104" s="154"/>
      <c r="W1104" s="154"/>
      <c r="X1104" s="154"/>
      <c r="Y1104" s="154"/>
      <c r="Z1104" s="154"/>
      <c r="AA1104" s="154"/>
      <c r="AB1104" s="154"/>
      <c r="AC1104" s="154"/>
      <c r="AD1104" s="154"/>
      <c r="AE1104" s="154"/>
      <c r="AF1104" s="154"/>
      <c r="AG1104" s="195"/>
      <c r="AH1104" s="196"/>
      <c r="AI1104" s="197"/>
      <c r="AJ1104" s="110"/>
    </row>
    <row r="1105" spans="1:36" ht="18" customHeight="1">
      <c r="A1105" s="154"/>
      <c r="B1105" s="154"/>
      <c r="C1105" s="154"/>
      <c r="D1105" s="162"/>
      <c r="E1105" s="154"/>
      <c r="F1105" s="154"/>
      <c r="G1105" s="154"/>
      <c r="H1105" s="154"/>
      <c r="I1105" s="154"/>
      <c r="J1105" s="154"/>
      <c r="K1105" s="154"/>
      <c r="L1105" s="154"/>
      <c r="M1105" s="154"/>
      <c r="N1105" s="154"/>
      <c r="O1105" s="154"/>
      <c r="P1105" s="154"/>
      <c r="Q1105" s="154"/>
      <c r="R1105" s="154"/>
      <c r="S1105" s="154"/>
      <c r="T1105" s="154"/>
      <c r="U1105" s="154"/>
      <c r="V1105" s="154"/>
      <c r="W1105" s="154"/>
      <c r="X1105" s="154"/>
      <c r="Y1105" s="154"/>
      <c r="Z1105" s="154"/>
      <c r="AA1105" s="154"/>
      <c r="AB1105" s="154"/>
      <c r="AC1105" s="154"/>
      <c r="AD1105" s="154"/>
      <c r="AE1105" s="154"/>
      <c r="AF1105" s="154"/>
      <c r="AG1105" s="195"/>
      <c r="AH1105" s="196"/>
      <c r="AI1105" s="197"/>
      <c r="AJ1105" s="110"/>
    </row>
    <row r="1106" spans="1:36" ht="18" customHeight="1">
      <c r="A1106" s="154"/>
      <c r="B1106" s="154"/>
      <c r="C1106" s="154"/>
      <c r="D1106" s="162"/>
      <c r="E1106" s="154"/>
      <c r="F1106" s="154"/>
      <c r="G1106" s="154"/>
      <c r="H1106" s="154"/>
      <c r="I1106" s="154"/>
      <c r="J1106" s="154"/>
      <c r="K1106" s="154"/>
      <c r="L1106" s="154"/>
      <c r="M1106" s="154"/>
      <c r="N1106" s="154"/>
      <c r="O1106" s="154"/>
      <c r="P1106" s="154"/>
      <c r="Q1106" s="154"/>
      <c r="R1106" s="154"/>
      <c r="S1106" s="154"/>
      <c r="T1106" s="154"/>
      <c r="U1106" s="154"/>
      <c r="V1106" s="154"/>
      <c r="W1106" s="154"/>
      <c r="X1106" s="154"/>
      <c r="Y1106" s="154"/>
      <c r="Z1106" s="154"/>
      <c r="AA1106" s="154"/>
      <c r="AB1106" s="154"/>
      <c r="AC1106" s="154"/>
      <c r="AD1106" s="154"/>
      <c r="AE1106" s="154"/>
      <c r="AF1106" s="154"/>
      <c r="AG1106" s="195"/>
      <c r="AH1106" s="196"/>
      <c r="AI1106" s="197"/>
      <c r="AJ1106" s="110"/>
    </row>
    <row r="1107" spans="1:36" ht="18" customHeight="1">
      <c r="A1107" s="154"/>
      <c r="B1107" s="154"/>
      <c r="C1107" s="154"/>
      <c r="D1107" s="162"/>
      <c r="E1107" s="154"/>
      <c r="F1107" s="154"/>
      <c r="G1107" s="154"/>
      <c r="H1107" s="154"/>
      <c r="I1107" s="154"/>
      <c r="J1107" s="154"/>
      <c r="K1107" s="154"/>
      <c r="L1107" s="154"/>
      <c r="M1107" s="154"/>
      <c r="N1107" s="154"/>
      <c r="O1107" s="154"/>
      <c r="P1107" s="154"/>
      <c r="Q1107" s="154"/>
      <c r="R1107" s="154"/>
      <c r="S1107" s="154"/>
      <c r="T1107" s="154"/>
      <c r="U1107" s="154"/>
      <c r="V1107" s="154"/>
      <c r="W1107" s="154"/>
      <c r="X1107" s="154"/>
      <c r="Y1107" s="154"/>
      <c r="Z1107" s="154"/>
      <c r="AA1107" s="154"/>
      <c r="AB1107" s="154"/>
      <c r="AC1107" s="154"/>
      <c r="AD1107" s="154"/>
      <c r="AE1107" s="154"/>
      <c r="AF1107" s="154"/>
      <c r="AG1107" s="195"/>
      <c r="AH1107" s="196"/>
      <c r="AI1107" s="197"/>
      <c r="AJ1107" s="110"/>
    </row>
    <row r="1108" spans="1:36" ht="18" customHeight="1">
      <c r="A1108" s="154"/>
      <c r="B1108" s="154"/>
      <c r="C1108" s="154"/>
      <c r="D1108" s="162"/>
      <c r="E1108" s="154"/>
      <c r="F1108" s="154"/>
      <c r="G1108" s="154"/>
      <c r="H1108" s="154"/>
      <c r="I1108" s="154"/>
      <c r="J1108" s="154"/>
      <c r="K1108" s="154"/>
      <c r="L1108" s="154"/>
      <c r="M1108" s="154"/>
      <c r="N1108" s="154"/>
      <c r="O1108" s="154"/>
      <c r="P1108" s="154"/>
      <c r="Q1108" s="154"/>
      <c r="R1108" s="154"/>
      <c r="S1108" s="154"/>
      <c r="T1108" s="154"/>
      <c r="U1108" s="154"/>
      <c r="V1108" s="154"/>
      <c r="W1108" s="154"/>
      <c r="X1108" s="154"/>
      <c r="Y1108" s="154"/>
      <c r="Z1108" s="154"/>
      <c r="AA1108" s="154"/>
      <c r="AB1108" s="154"/>
      <c r="AC1108" s="154"/>
      <c r="AD1108" s="154"/>
      <c r="AE1108" s="154"/>
      <c r="AF1108" s="154"/>
      <c r="AG1108" s="195"/>
      <c r="AH1108" s="196"/>
      <c r="AI1108" s="197"/>
      <c r="AJ1108" s="110"/>
    </row>
    <row r="1109" spans="1:36" ht="18" customHeight="1">
      <c r="A1109" s="154"/>
      <c r="B1109" s="154"/>
      <c r="C1109" s="154"/>
      <c r="D1109" s="162"/>
      <c r="E1109" s="154"/>
      <c r="F1109" s="154"/>
      <c r="G1109" s="154"/>
      <c r="H1109" s="154"/>
      <c r="I1109" s="154"/>
      <c r="J1109" s="154"/>
      <c r="K1109" s="154"/>
      <c r="L1109" s="154"/>
      <c r="M1109" s="154"/>
      <c r="N1109" s="154"/>
      <c r="O1109" s="154"/>
      <c r="P1109" s="154"/>
      <c r="Q1109" s="154"/>
      <c r="R1109" s="154"/>
      <c r="S1109" s="154"/>
      <c r="T1109" s="154"/>
      <c r="U1109" s="154"/>
      <c r="V1109" s="154"/>
      <c r="W1109" s="154"/>
      <c r="X1109" s="154"/>
      <c r="Y1109" s="154"/>
      <c r="Z1109" s="154"/>
      <c r="AA1109" s="154"/>
      <c r="AB1109" s="154"/>
      <c r="AC1109" s="154"/>
      <c r="AD1109" s="154"/>
      <c r="AE1109" s="154"/>
      <c r="AF1109" s="154"/>
      <c r="AG1109" s="195"/>
      <c r="AH1109" s="196"/>
      <c r="AI1109" s="197"/>
      <c r="AJ1109" s="110"/>
    </row>
    <row r="1110" spans="1:36" ht="18" customHeight="1">
      <c r="A1110" s="154"/>
      <c r="B1110" s="154"/>
      <c r="C1110" s="154"/>
      <c r="D1110" s="162"/>
      <c r="E1110" s="154"/>
      <c r="F1110" s="154"/>
      <c r="G1110" s="154"/>
      <c r="H1110" s="154"/>
      <c r="I1110" s="154"/>
      <c r="J1110" s="154"/>
      <c r="K1110" s="154"/>
      <c r="L1110" s="154"/>
      <c r="M1110" s="154"/>
      <c r="N1110" s="154"/>
      <c r="O1110" s="154"/>
      <c r="P1110" s="154"/>
      <c r="Q1110" s="154"/>
      <c r="R1110" s="154"/>
      <c r="S1110" s="154"/>
      <c r="T1110" s="154"/>
      <c r="U1110" s="154"/>
      <c r="V1110" s="154"/>
      <c r="W1110" s="154"/>
      <c r="X1110" s="154"/>
      <c r="Y1110" s="154"/>
      <c r="Z1110" s="154"/>
      <c r="AA1110" s="154"/>
      <c r="AB1110" s="154"/>
      <c r="AC1110" s="154"/>
      <c r="AD1110" s="154"/>
      <c r="AE1110" s="154"/>
      <c r="AF1110" s="154"/>
      <c r="AG1110" s="195"/>
      <c r="AH1110" s="196"/>
      <c r="AI1110" s="197"/>
      <c r="AJ1110" s="110"/>
    </row>
    <row r="1111" spans="1:36" ht="18" customHeight="1">
      <c r="A1111" s="154"/>
      <c r="B1111" s="154"/>
      <c r="C1111" s="154"/>
      <c r="D1111" s="162"/>
      <c r="E1111" s="154"/>
      <c r="F1111" s="154"/>
      <c r="G1111" s="154"/>
      <c r="H1111" s="154"/>
      <c r="I1111" s="154"/>
      <c r="J1111" s="154"/>
      <c r="K1111" s="154"/>
      <c r="L1111" s="154"/>
      <c r="M1111" s="154"/>
      <c r="N1111" s="154"/>
      <c r="O1111" s="154"/>
      <c r="P1111" s="154"/>
      <c r="Q1111" s="154"/>
      <c r="R1111" s="154"/>
      <c r="S1111" s="154"/>
      <c r="T1111" s="154"/>
      <c r="U1111" s="154"/>
      <c r="V1111" s="154"/>
      <c r="W1111" s="154"/>
      <c r="X1111" s="154"/>
      <c r="Y1111" s="154"/>
      <c r="Z1111" s="154"/>
      <c r="AA1111" s="154"/>
      <c r="AB1111" s="154"/>
      <c r="AC1111" s="154"/>
      <c r="AD1111" s="154"/>
      <c r="AE1111" s="154"/>
      <c r="AF1111" s="154"/>
      <c r="AG1111" s="195"/>
      <c r="AH1111" s="196"/>
      <c r="AI1111" s="197"/>
      <c r="AJ1111" s="110"/>
    </row>
    <row r="1112" spans="1:36" ht="18" customHeight="1">
      <c r="A1112" s="154"/>
      <c r="B1112" s="154"/>
      <c r="C1112" s="154"/>
      <c r="D1112" s="162"/>
      <c r="E1112" s="154"/>
      <c r="F1112" s="154"/>
      <c r="G1112" s="154"/>
      <c r="H1112" s="154"/>
      <c r="I1112" s="154"/>
      <c r="J1112" s="154"/>
      <c r="K1112" s="154"/>
      <c r="L1112" s="154"/>
      <c r="M1112" s="154"/>
      <c r="N1112" s="154"/>
      <c r="O1112" s="154"/>
      <c r="P1112" s="154"/>
      <c r="Q1112" s="154"/>
      <c r="R1112" s="154"/>
      <c r="S1112" s="154"/>
      <c r="T1112" s="154"/>
      <c r="U1112" s="154"/>
      <c r="V1112" s="154"/>
      <c r="W1112" s="154"/>
      <c r="X1112" s="154"/>
      <c r="Y1112" s="154"/>
      <c r="Z1112" s="154"/>
      <c r="AA1112" s="154"/>
      <c r="AB1112" s="154"/>
      <c r="AC1112" s="154"/>
      <c r="AD1112" s="154"/>
      <c r="AE1112" s="154"/>
      <c r="AF1112" s="154"/>
      <c r="AG1112" s="195"/>
      <c r="AH1112" s="196"/>
      <c r="AI1112" s="197"/>
      <c r="AJ1112" s="110"/>
    </row>
    <row r="1113" spans="1:36" ht="18" customHeight="1">
      <c r="A1113" s="154"/>
      <c r="B1113" s="154"/>
      <c r="C1113" s="154"/>
      <c r="D1113" s="162"/>
      <c r="E1113" s="154"/>
      <c r="F1113" s="154"/>
      <c r="G1113" s="154"/>
      <c r="H1113" s="154"/>
      <c r="I1113" s="154"/>
      <c r="J1113" s="154"/>
      <c r="K1113" s="154"/>
      <c r="L1113" s="154"/>
      <c r="M1113" s="154"/>
      <c r="N1113" s="154"/>
      <c r="O1113" s="154"/>
      <c r="P1113" s="154"/>
      <c r="Q1113" s="154"/>
      <c r="R1113" s="154"/>
      <c r="S1113" s="154"/>
      <c r="T1113" s="154"/>
      <c r="U1113" s="154"/>
      <c r="V1113" s="154"/>
      <c r="W1113" s="154"/>
      <c r="X1113" s="154"/>
      <c r="Y1113" s="154"/>
      <c r="Z1113" s="154"/>
      <c r="AA1113" s="154"/>
      <c r="AB1113" s="154"/>
      <c r="AC1113" s="154"/>
      <c r="AD1113" s="154"/>
      <c r="AE1113" s="154"/>
      <c r="AF1113" s="154"/>
      <c r="AG1113" s="195"/>
      <c r="AH1113" s="196"/>
      <c r="AI1113" s="197"/>
      <c r="AJ1113" s="110"/>
    </row>
    <row r="1114" spans="1:36" ht="18" customHeight="1">
      <c r="A1114" s="154"/>
      <c r="B1114" s="154"/>
      <c r="C1114" s="154"/>
      <c r="D1114" s="162"/>
      <c r="E1114" s="154"/>
      <c r="F1114" s="154"/>
      <c r="G1114" s="154"/>
      <c r="H1114" s="154"/>
      <c r="I1114" s="154"/>
      <c r="J1114" s="154"/>
      <c r="K1114" s="154"/>
      <c r="L1114" s="154"/>
      <c r="M1114" s="154"/>
      <c r="N1114" s="154"/>
      <c r="O1114" s="154"/>
      <c r="P1114" s="154"/>
      <c r="Q1114" s="154"/>
      <c r="R1114" s="154"/>
      <c r="S1114" s="154"/>
      <c r="T1114" s="154"/>
      <c r="U1114" s="154"/>
      <c r="V1114" s="154"/>
      <c r="W1114" s="154"/>
      <c r="X1114" s="154"/>
      <c r="Y1114" s="154"/>
      <c r="Z1114" s="154"/>
      <c r="AA1114" s="154"/>
      <c r="AB1114" s="154"/>
      <c r="AC1114" s="154"/>
      <c r="AD1114" s="154"/>
      <c r="AE1114" s="154"/>
      <c r="AF1114" s="154"/>
      <c r="AG1114" s="195"/>
      <c r="AH1114" s="196"/>
      <c r="AI1114" s="197"/>
      <c r="AJ1114" s="110"/>
    </row>
    <row r="1115" spans="1:36" ht="18" customHeight="1">
      <c r="A1115" s="154"/>
      <c r="B1115" s="154"/>
      <c r="C1115" s="154"/>
      <c r="D1115" s="162"/>
      <c r="E1115" s="154"/>
      <c r="F1115" s="154"/>
      <c r="G1115" s="154"/>
      <c r="H1115" s="154"/>
      <c r="I1115" s="154"/>
      <c r="J1115" s="154"/>
      <c r="K1115" s="154"/>
      <c r="L1115" s="154"/>
      <c r="M1115" s="154"/>
      <c r="N1115" s="154"/>
      <c r="O1115" s="154"/>
      <c r="P1115" s="154"/>
      <c r="Q1115" s="154"/>
      <c r="R1115" s="154"/>
      <c r="S1115" s="154"/>
      <c r="T1115" s="154"/>
      <c r="U1115" s="154"/>
      <c r="V1115" s="154"/>
      <c r="W1115" s="154"/>
      <c r="X1115" s="154"/>
      <c r="Y1115" s="154"/>
      <c r="Z1115" s="154"/>
      <c r="AA1115" s="154"/>
      <c r="AB1115" s="154"/>
      <c r="AC1115" s="154"/>
      <c r="AD1115" s="154"/>
      <c r="AE1115" s="154"/>
      <c r="AF1115" s="154"/>
      <c r="AG1115" s="195"/>
      <c r="AH1115" s="196"/>
      <c r="AI1115" s="197"/>
      <c r="AJ1115" s="110"/>
    </row>
    <row r="1116" spans="1:36" ht="18" customHeight="1">
      <c r="A1116" s="154"/>
      <c r="B1116" s="154"/>
      <c r="C1116" s="154"/>
      <c r="D1116" s="162"/>
      <c r="E1116" s="154"/>
      <c r="F1116" s="154"/>
      <c r="G1116" s="154"/>
      <c r="H1116" s="154"/>
      <c r="I1116" s="154"/>
      <c r="J1116" s="154"/>
      <c r="K1116" s="154"/>
      <c r="L1116" s="154"/>
      <c r="M1116" s="154"/>
      <c r="N1116" s="154"/>
      <c r="O1116" s="154"/>
      <c r="P1116" s="154"/>
      <c r="Q1116" s="154"/>
      <c r="R1116" s="154"/>
      <c r="S1116" s="154"/>
      <c r="T1116" s="154"/>
      <c r="U1116" s="154"/>
      <c r="V1116" s="154"/>
      <c r="W1116" s="154"/>
      <c r="X1116" s="154"/>
      <c r="Y1116" s="154"/>
      <c r="Z1116" s="154"/>
      <c r="AA1116" s="154"/>
      <c r="AB1116" s="154"/>
      <c r="AC1116" s="154"/>
      <c r="AD1116" s="154"/>
      <c r="AE1116" s="154"/>
      <c r="AF1116" s="154"/>
      <c r="AG1116" s="195"/>
      <c r="AH1116" s="196"/>
      <c r="AI1116" s="197"/>
      <c r="AJ1116" s="110"/>
    </row>
    <row r="1117" spans="1:36" ht="18" customHeight="1">
      <c r="A1117" s="154"/>
      <c r="B1117" s="154"/>
      <c r="C1117" s="154"/>
      <c r="D1117" s="162"/>
      <c r="E1117" s="154"/>
      <c r="F1117" s="154"/>
      <c r="G1117" s="154"/>
      <c r="H1117" s="154"/>
      <c r="I1117" s="154"/>
      <c r="J1117" s="154"/>
      <c r="K1117" s="154"/>
      <c r="L1117" s="154"/>
      <c r="M1117" s="154"/>
      <c r="N1117" s="154"/>
      <c r="O1117" s="154"/>
      <c r="P1117" s="154"/>
      <c r="Q1117" s="154"/>
      <c r="R1117" s="154"/>
      <c r="S1117" s="154"/>
      <c r="T1117" s="154"/>
      <c r="U1117" s="154"/>
      <c r="V1117" s="154"/>
      <c r="W1117" s="154"/>
      <c r="X1117" s="154"/>
      <c r="Y1117" s="154"/>
      <c r="Z1117" s="154"/>
      <c r="AA1117" s="154"/>
      <c r="AB1117" s="154"/>
      <c r="AC1117" s="154"/>
      <c r="AD1117" s="154"/>
      <c r="AE1117" s="154"/>
      <c r="AF1117" s="154"/>
      <c r="AG1117" s="195"/>
      <c r="AH1117" s="196"/>
      <c r="AI1117" s="197"/>
      <c r="AJ1117" s="110"/>
    </row>
    <row r="1118" spans="1:36" ht="18" customHeight="1">
      <c r="A1118" s="154"/>
      <c r="B1118" s="154"/>
      <c r="C1118" s="154"/>
      <c r="D1118" s="162"/>
      <c r="E1118" s="154"/>
      <c r="F1118" s="154"/>
      <c r="G1118" s="154"/>
      <c r="H1118" s="154"/>
      <c r="I1118" s="154"/>
      <c r="J1118" s="154"/>
      <c r="K1118" s="154"/>
      <c r="L1118" s="154"/>
      <c r="M1118" s="154"/>
      <c r="N1118" s="154"/>
      <c r="O1118" s="154"/>
      <c r="P1118" s="154"/>
      <c r="Q1118" s="154"/>
      <c r="R1118" s="154"/>
      <c r="S1118" s="154"/>
      <c r="T1118" s="154"/>
      <c r="U1118" s="154"/>
      <c r="V1118" s="154"/>
      <c r="W1118" s="154"/>
      <c r="X1118" s="154"/>
      <c r="Y1118" s="154"/>
      <c r="Z1118" s="154"/>
      <c r="AA1118" s="154"/>
      <c r="AB1118" s="154"/>
      <c r="AC1118" s="154"/>
      <c r="AD1118" s="154"/>
      <c r="AE1118" s="154"/>
      <c r="AF1118" s="154"/>
      <c r="AG1118" s="195"/>
      <c r="AH1118" s="196"/>
      <c r="AI1118" s="197"/>
      <c r="AJ1118" s="110"/>
    </row>
    <row r="1119" spans="1:36" ht="18" customHeight="1">
      <c r="A1119" s="154"/>
      <c r="B1119" s="154"/>
      <c r="C1119" s="154"/>
      <c r="D1119" s="162"/>
      <c r="E1119" s="154"/>
      <c r="F1119" s="154"/>
      <c r="G1119" s="154"/>
      <c r="H1119" s="154"/>
      <c r="I1119" s="154"/>
      <c r="J1119" s="154"/>
      <c r="K1119" s="154"/>
      <c r="L1119" s="154"/>
      <c r="M1119" s="154"/>
      <c r="N1119" s="154"/>
      <c r="O1119" s="154"/>
      <c r="P1119" s="154"/>
      <c r="Q1119" s="154"/>
      <c r="R1119" s="154"/>
      <c r="S1119" s="154"/>
      <c r="T1119" s="154"/>
      <c r="U1119" s="154"/>
      <c r="V1119" s="154"/>
      <c r="W1119" s="154"/>
      <c r="X1119" s="154"/>
      <c r="Y1119" s="154"/>
      <c r="Z1119" s="154"/>
      <c r="AA1119" s="154"/>
      <c r="AB1119" s="154"/>
      <c r="AC1119" s="154"/>
      <c r="AD1119" s="154"/>
      <c r="AE1119" s="154"/>
      <c r="AF1119" s="154"/>
      <c r="AG1119" s="195"/>
      <c r="AH1119" s="196"/>
      <c r="AI1119" s="197"/>
      <c r="AJ1119" s="110"/>
    </row>
    <row r="1120" spans="1:36" ht="18" customHeight="1">
      <c r="A1120" s="154"/>
      <c r="B1120" s="154"/>
      <c r="C1120" s="154"/>
      <c r="D1120" s="162"/>
      <c r="E1120" s="154"/>
      <c r="F1120" s="154"/>
      <c r="G1120" s="154"/>
      <c r="H1120" s="154"/>
      <c r="I1120" s="154"/>
      <c r="J1120" s="154"/>
      <c r="K1120" s="154"/>
      <c r="L1120" s="154"/>
      <c r="M1120" s="154"/>
      <c r="N1120" s="154"/>
      <c r="O1120" s="154"/>
      <c r="P1120" s="154"/>
      <c r="Q1120" s="154"/>
      <c r="R1120" s="154"/>
      <c r="S1120" s="154"/>
      <c r="T1120" s="154"/>
      <c r="U1120" s="154"/>
      <c r="V1120" s="154"/>
      <c r="W1120" s="154"/>
      <c r="X1120" s="154"/>
      <c r="Y1120" s="154"/>
      <c r="Z1120" s="154"/>
      <c r="AA1120" s="154"/>
      <c r="AB1120" s="154"/>
      <c r="AC1120" s="154"/>
      <c r="AD1120" s="154"/>
      <c r="AE1120" s="154"/>
      <c r="AF1120" s="154"/>
      <c r="AG1120" s="195"/>
      <c r="AH1120" s="196"/>
      <c r="AI1120" s="197"/>
      <c r="AJ1120" s="110"/>
    </row>
    <row r="1121" spans="1:36" ht="18" customHeight="1">
      <c r="A1121" s="154"/>
      <c r="B1121" s="154"/>
      <c r="C1121" s="154"/>
      <c r="D1121" s="162"/>
      <c r="E1121" s="154"/>
      <c r="F1121" s="154"/>
      <c r="G1121" s="154"/>
      <c r="H1121" s="154"/>
      <c r="I1121" s="154"/>
      <c r="J1121" s="154"/>
      <c r="K1121" s="154"/>
      <c r="L1121" s="154"/>
      <c r="M1121" s="154"/>
      <c r="N1121" s="154"/>
      <c r="O1121" s="154"/>
      <c r="P1121" s="154"/>
      <c r="Q1121" s="154"/>
      <c r="R1121" s="154"/>
      <c r="S1121" s="154"/>
      <c r="T1121" s="154"/>
      <c r="U1121" s="154"/>
      <c r="V1121" s="154"/>
      <c r="W1121" s="154"/>
      <c r="X1121" s="154"/>
      <c r="Y1121" s="154"/>
      <c r="Z1121" s="154"/>
      <c r="AA1121" s="154"/>
      <c r="AB1121" s="154"/>
      <c r="AC1121" s="154"/>
      <c r="AD1121" s="154"/>
      <c r="AE1121" s="154"/>
      <c r="AF1121" s="154"/>
      <c r="AG1121" s="195"/>
      <c r="AH1121" s="196"/>
      <c r="AI1121" s="197"/>
      <c r="AJ1121" s="110"/>
    </row>
    <row r="1122" spans="1:36" ht="18" customHeight="1">
      <c r="A1122" s="154"/>
      <c r="B1122" s="154"/>
      <c r="C1122" s="154"/>
      <c r="D1122" s="162"/>
      <c r="E1122" s="154"/>
      <c r="F1122" s="154"/>
      <c r="G1122" s="154"/>
      <c r="H1122" s="154"/>
      <c r="I1122" s="154"/>
      <c r="J1122" s="154"/>
      <c r="K1122" s="154"/>
      <c r="L1122" s="154"/>
      <c r="M1122" s="154"/>
      <c r="N1122" s="154"/>
      <c r="O1122" s="154"/>
      <c r="P1122" s="154"/>
      <c r="Q1122" s="154"/>
      <c r="R1122" s="154"/>
      <c r="S1122" s="154"/>
      <c r="T1122" s="154"/>
      <c r="U1122" s="154"/>
      <c r="V1122" s="154"/>
      <c r="W1122" s="154"/>
      <c r="X1122" s="154"/>
      <c r="Y1122" s="154"/>
      <c r="Z1122" s="154"/>
      <c r="AA1122" s="154"/>
      <c r="AB1122" s="154"/>
      <c r="AC1122" s="154"/>
      <c r="AD1122" s="154"/>
      <c r="AE1122" s="154"/>
      <c r="AF1122" s="154"/>
      <c r="AG1122" s="195"/>
      <c r="AH1122" s="196"/>
      <c r="AI1122" s="197"/>
      <c r="AJ1122" s="110"/>
    </row>
    <row r="1123" spans="1:36" ht="18" customHeight="1">
      <c r="A1123" s="154"/>
      <c r="B1123" s="154"/>
      <c r="C1123" s="154"/>
      <c r="D1123" s="162"/>
      <c r="E1123" s="154"/>
      <c r="F1123" s="154"/>
      <c r="G1123" s="154"/>
      <c r="H1123" s="154"/>
      <c r="I1123" s="154"/>
      <c r="J1123" s="154"/>
      <c r="K1123" s="154"/>
      <c r="L1123" s="154"/>
      <c r="M1123" s="154"/>
      <c r="N1123" s="154"/>
      <c r="O1123" s="154"/>
      <c r="P1123" s="154"/>
      <c r="Q1123" s="154"/>
      <c r="R1123" s="154"/>
      <c r="S1123" s="154"/>
      <c r="T1123" s="154"/>
      <c r="U1123" s="154"/>
      <c r="V1123" s="154"/>
      <c r="W1123" s="154"/>
      <c r="X1123" s="154"/>
      <c r="Y1123" s="154"/>
      <c r="Z1123" s="154"/>
      <c r="AA1123" s="154"/>
      <c r="AB1123" s="154"/>
      <c r="AC1123" s="154"/>
      <c r="AD1123" s="154"/>
      <c r="AE1123" s="154"/>
      <c r="AF1123" s="154"/>
      <c r="AG1123" s="195"/>
      <c r="AH1123" s="196"/>
      <c r="AI1123" s="197"/>
      <c r="AJ1123" s="110"/>
    </row>
    <row r="1124" spans="1:36" ht="18" customHeight="1">
      <c r="A1124" s="154"/>
      <c r="B1124" s="154"/>
      <c r="C1124" s="154"/>
      <c r="D1124" s="162"/>
      <c r="E1124" s="154"/>
      <c r="F1124" s="154"/>
      <c r="G1124" s="154"/>
      <c r="H1124" s="154"/>
      <c r="I1124" s="154"/>
      <c r="J1124" s="154"/>
      <c r="K1124" s="154"/>
      <c r="L1124" s="154"/>
      <c r="M1124" s="154"/>
      <c r="N1124" s="154"/>
      <c r="O1124" s="154"/>
      <c r="P1124" s="154"/>
      <c r="Q1124" s="154"/>
      <c r="R1124" s="154"/>
      <c r="S1124" s="154"/>
      <c r="T1124" s="154"/>
      <c r="U1124" s="154"/>
      <c r="V1124" s="154"/>
      <c r="W1124" s="154"/>
      <c r="X1124" s="154"/>
      <c r="Y1124" s="154"/>
      <c r="Z1124" s="154"/>
      <c r="AA1124" s="154"/>
      <c r="AB1124" s="154"/>
      <c r="AC1124" s="154"/>
      <c r="AD1124" s="154"/>
      <c r="AE1124" s="154"/>
      <c r="AF1124" s="154"/>
      <c r="AG1124" s="195"/>
      <c r="AH1124" s="196"/>
      <c r="AI1124" s="197"/>
      <c r="AJ1124" s="110"/>
    </row>
    <row r="1125" spans="1:36" ht="18" customHeight="1">
      <c r="A1125" s="154"/>
      <c r="B1125" s="154"/>
      <c r="C1125" s="154"/>
      <c r="D1125" s="162"/>
      <c r="E1125" s="154"/>
      <c r="F1125" s="154"/>
      <c r="G1125" s="154"/>
      <c r="H1125" s="154"/>
      <c r="I1125" s="154"/>
      <c r="J1125" s="154"/>
      <c r="K1125" s="154"/>
      <c r="L1125" s="154"/>
      <c r="M1125" s="154"/>
      <c r="N1125" s="154"/>
      <c r="O1125" s="154"/>
      <c r="P1125" s="154"/>
      <c r="Q1125" s="154"/>
      <c r="R1125" s="154"/>
      <c r="S1125" s="154"/>
      <c r="T1125" s="154"/>
      <c r="U1125" s="154"/>
      <c r="V1125" s="154"/>
      <c r="W1125" s="154"/>
      <c r="X1125" s="154"/>
      <c r="Y1125" s="154"/>
      <c r="Z1125" s="154"/>
      <c r="AA1125" s="154"/>
      <c r="AB1125" s="154"/>
      <c r="AC1125" s="154"/>
      <c r="AD1125" s="154"/>
      <c r="AE1125" s="154"/>
      <c r="AF1125" s="154"/>
      <c r="AG1125" s="195"/>
      <c r="AH1125" s="196"/>
      <c r="AI1125" s="197"/>
      <c r="AJ1125" s="110"/>
    </row>
    <row r="1126" spans="1:36" ht="18" customHeight="1">
      <c r="A1126" s="154"/>
      <c r="B1126" s="154"/>
      <c r="C1126" s="154"/>
      <c r="D1126" s="162"/>
      <c r="E1126" s="154"/>
      <c r="F1126" s="154"/>
      <c r="G1126" s="154"/>
      <c r="H1126" s="154"/>
      <c r="I1126" s="154"/>
      <c r="J1126" s="154"/>
      <c r="K1126" s="154"/>
      <c r="L1126" s="154"/>
      <c r="M1126" s="154"/>
      <c r="N1126" s="154"/>
      <c r="O1126" s="154"/>
      <c r="P1126" s="154"/>
      <c r="Q1126" s="154"/>
      <c r="R1126" s="154"/>
      <c r="S1126" s="154"/>
      <c r="T1126" s="154"/>
      <c r="U1126" s="154"/>
      <c r="V1126" s="154"/>
      <c r="W1126" s="154"/>
      <c r="X1126" s="154"/>
      <c r="Y1126" s="154"/>
      <c r="Z1126" s="154"/>
      <c r="AA1126" s="154"/>
      <c r="AB1126" s="154"/>
      <c r="AC1126" s="154"/>
      <c r="AD1126" s="154"/>
      <c r="AE1126" s="154"/>
      <c r="AF1126" s="154"/>
      <c r="AG1126" s="195"/>
      <c r="AH1126" s="196"/>
      <c r="AI1126" s="197"/>
      <c r="AJ1126" s="110"/>
    </row>
    <row r="1127" spans="1:36" ht="18" customHeight="1">
      <c r="A1127" s="154"/>
      <c r="B1127" s="154"/>
      <c r="C1127" s="154"/>
      <c r="D1127" s="162"/>
      <c r="E1127" s="154"/>
      <c r="F1127" s="154"/>
      <c r="G1127" s="154"/>
      <c r="H1127" s="154"/>
      <c r="I1127" s="154"/>
      <c r="J1127" s="154"/>
      <c r="K1127" s="154"/>
      <c r="L1127" s="154"/>
      <c r="M1127" s="154"/>
      <c r="N1127" s="154"/>
      <c r="O1127" s="154"/>
      <c r="P1127" s="154"/>
      <c r="Q1127" s="154"/>
      <c r="R1127" s="154"/>
      <c r="S1127" s="154"/>
      <c r="T1127" s="154"/>
      <c r="U1127" s="154"/>
      <c r="V1127" s="154"/>
      <c r="W1127" s="154"/>
      <c r="X1127" s="154"/>
      <c r="Y1127" s="154"/>
      <c r="Z1127" s="154"/>
      <c r="AA1127" s="154"/>
      <c r="AB1127" s="154"/>
      <c r="AC1127" s="154"/>
      <c r="AD1127" s="154"/>
      <c r="AE1127" s="154"/>
      <c r="AF1127" s="154"/>
      <c r="AG1127" s="195"/>
      <c r="AH1127" s="196"/>
      <c r="AI1127" s="197"/>
      <c r="AJ1127" s="110"/>
    </row>
    <row r="1128" spans="1:36" ht="18" customHeight="1">
      <c r="A1128" s="154"/>
      <c r="B1128" s="154"/>
      <c r="C1128" s="154"/>
      <c r="D1128" s="162"/>
      <c r="E1128" s="154"/>
      <c r="F1128" s="154"/>
      <c r="G1128" s="154"/>
      <c r="H1128" s="154"/>
      <c r="I1128" s="154"/>
      <c r="J1128" s="154"/>
      <c r="K1128" s="154"/>
      <c r="L1128" s="154"/>
      <c r="M1128" s="154"/>
      <c r="N1128" s="154"/>
      <c r="O1128" s="154"/>
      <c r="P1128" s="154"/>
      <c r="Q1128" s="154"/>
      <c r="R1128" s="154"/>
      <c r="S1128" s="154"/>
      <c r="T1128" s="154"/>
      <c r="U1128" s="154"/>
      <c r="V1128" s="154"/>
      <c r="W1128" s="154"/>
      <c r="X1128" s="154"/>
      <c r="Y1128" s="154"/>
      <c r="Z1128" s="154"/>
      <c r="AA1128" s="154"/>
      <c r="AB1128" s="154"/>
      <c r="AC1128" s="154"/>
      <c r="AD1128" s="154"/>
      <c r="AE1128" s="154"/>
      <c r="AF1128" s="154"/>
      <c r="AG1128" s="195"/>
      <c r="AH1128" s="196"/>
      <c r="AI1128" s="197"/>
      <c r="AJ1128" s="110"/>
    </row>
    <row r="1129" spans="1:36" ht="18" customHeight="1">
      <c r="A1129" s="154"/>
      <c r="B1129" s="154"/>
      <c r="C1129" s="154"/>
      <c r="D1129" s="162"/>
      <c r="E1129" s="154"/>
      <c r="F1129" s="154"/>
      <c r="G1129" s="154"/>
      <c r="H1129" s="154"/>
      <c r="I1129" s="154"/>
      <c r="J1129" s="154"/>
      <c r="K1129" s="154"/>
      <c r="L1129" s="154"/>
      <c r="M1129" s="154"/>
      <c r="N1129" s="154"/>
      <c r="O1129" s="154"/>
      <c r="P1129" s="154"/>
      <c r="Q1129" s="154"/>
      <c r="R1129" s="154"/>
      <c r="S1129" s="154"/>
      <c r="T1129" s="154"/>
      <c r="U1129" s="154"/>
      <c r="V1129" s="154"/>
      <c r="W1129" s="154"/>
      <c r="X1129" s="154"/>
      <c r="Y1129" s="154"/>
      <c r="Z1129" s="154"/>
      <c r="AA1129" s="154"/>
      <c r="AB1129" s="154"/>
      <c r="AC1129" s="154"/>
      <c r="AD1129" s="154"/>
      <c r="AE1129" s="154"/>
      <c r="AF1129" s="154"/>
      <c r="AG1129" s="195"/>
      <c r="AH1129" s="196"/>
      <c r="AI1129" s="197"/>
      <c r="AJ1129" s="110"/>
    </row>
    <row r="1130" spans="1:36" ht="18" customHeight="1">
      <c r="A1130" s="154"/>
      <c r="B1130" s="154"/>
      <c r="C1130" s="154"/>
      <c r="D1130" s="162"/>
      <c r="E1130" s="154"/>
      <c r="F1130" s="154"/>
      <c r="G1130" s="154"/>
      <c r="H1130" s="154"/>
      <c r="I1130" s="154"/>
      <c r="J1130" s="154"/>
      <c r="K1130" s="154"/>
      <c r="L1130" s="154"/>
      <c r="M1130" s="154"/>
      <c r="N1130" s="154"/>
      <c r="O1130" s="154"/>
      <c r="P1130" s="154"/>
      <c r="Q1130" s="154"/>
      <c r="R1130" s="154"/>
      <c r="S1130" s="154"/>
      <c r="T1130" s="154"/>
      <c r="U1130" s="154"/>
      <c r="V1130" s="154"/>
      <c r="W1130" s="154"/>
      <c r="X1130" s="154"/>
      <c r="Y1130" s="154"/>
      <c r="Z1130" s="154"/>
      <c r="AA1130" s="154"/>
      <c r="AB1130" s="154"/>
      <c r="AC1130" s="154"/>
      <c r="AD1130" s="154"/>
      <c r="AE1130" s="154"/>
      <c r="AF1130" s="154"/>
      <c r="AG1130" s="195"/>
      <c r="AH1130" s="196"/>
      <c r="AI1130" s="197"/>
      <c r="AJ1130" s="110"/>
    </row>
    <row r="1131" spans="1:36" ht="18" customHeight="1">
      <c r="A1131" s="154"/>
      <c r="B1131" s="154"/>
      <c r="C1131" s="154"/>
      <c r="D1131" s="162"/>
      <c r="E1131" s="154"/>
      <c r="F1131" s="154"/>
      <c r="G1131" s="154"/>
      <c r="H1131" s="154"/>
      <c r="I1131" s="154"/>
      <c r="J1131" s="154"/>
      <c r="K1131" s="154"/>
      <c r="L1131" s="154"/>
      <c r="M1131" s="154"/>
      <c r="N1131" s="154"/>
      <c r="O1131" s="154"/>
      <c r="P1131" s="154"/>
      <c r="Q1131" s="154"/>
      <c r="R1131" s="154"/>
      <c r="S1131" s="154"/>
      <c r="T1131" s="154"/>
      <c r="U1131" s="154"/>
      <c r="V1131" s="154"/>
      <c r="W1131" s="154"/>
      <c r="X1131" s="154"/>
      <c r="Y1131" s="154"/>
      <c r="Z1131" s="154"/>
      <c r="AA1131" s="154"/>
      <c r="AB1131" s="154"/>
      <c r="AC1131" s="154"/>
      <c r="AD1131" s="154"/>
      <c r="AE1131" s="154"/>
      <c r="AF1131" s="154"/>
      <c r="AG1131" s="195"/>
      <c r="AH1131" s="196"/>
      <c r="AI1131" s="197"/>
      <c r="AJ1131" s="110"/>
    </row>
    <row r="1132" spans="1:36" ht="18" customHeight="1">
      <c r="A1132" s="154"/>
      <c r="B1132" s="154"/>
      <c r="C1132" s="154"/>
      <c r="D1132" s="162"/>
      <c r="E1132" s="154"/>
      <c r="F1132" s="154"/>
      <c r="G1132" s="154"/>
      <c r="H1132" s="154"/>
      <c r="I1132" s="154"/>
      <c r="J1132" s="154"/>
      <c r="K1132" s="154"/>
      <c r="L1132" s="154"/>
      <c r="M1132" s="154"/>
      <c r="N1132" s="154"/>
      <c r="O1132" s="154"/>
      <c r="P1132" s="154"/>
      <c r="Q1132" s="154"/>
      <c r="R1132" s="154"/>
      <c r="S1132" s="154"/>
      <c r="T1132" s="154"/>
      <c r="U1132" s="154"/>
      <c r="V1132" s="154"/>
      <c r="W1132" s="154"/>
      <c r="X1132" s="154"/>
      <c r="Y1132" s="154"/>
      <c r="Z1132" s="154"/>
      <c r="AA1132" s="154"/>
      <c r="AB1132" s="154"/>
      <c r="AC1132" s="154"/>
      <c r="AD1132" s="154"/>
      <c r="AE1132" s="154"/>
      <c r="AF1132" s="154"/>
      <c r="AG1132" s="195"/>
      <c r="AH1132" s="196"/>
      <c r="AI1132" s="197"/>
      <c r="AJ1132" s="110"/>
    </row>
    <row r="1133" spans="1:36" ht="18" customHeight="1">
      <c r="A1133" s="154"/>
      <c r="B1133" s="154"/>
      <c r="C1133" s="154"/>
      <c r="D1133" s="162"/>
      <c r="E1133" s="154"/>
      <c r="F1133" s="154"/>
      <c r="G1133" s="154"/>
      <c r="H1133" s="154"/>
      <c r="I1133" s="154"/>
      <c r="J1133" s="154"/>
      <c r="K1133" s="154"/>
      <c r="L1133" s="154"/>
      <c r="M1133" s="154"/>
      <c r="N1133" s="154"/>
      <c r="O1133" s="154"/>
      <c r="P1133" s="154"/>
      <c r="Q1133" s="154"/>
      <c r="R1133" s="154"/>
      <c r="S1133" s="154"/>
      <c r="T1133" s="154"/>
      <c r="U1133" s="154"/>
      <c r="V1133" s="154"/>
      <c r="W1133" s="154"/>
      <c r="X1133" s="154"/>
      <c r="Y1133" s="154"/>
      <c r="Z1133" s="154"/>
      <c r="AA1133" s="154"/>
      <c r="AB1133" s="154"/>
      <c r="AC1133" s="154"/>
      <c r="AD1133" s="154"/>
      <c r="AE1133" s="154"/>
      <c r="AF1133" s="154"/>
      <c r="AG1133" s="195"/>
      <c r="AH1133" s="196"/>
      <c r="AI1133" s="197"/>
      <c r="AJ1133" s="110"/>
    </row>
    <row r="1134" spans="1:36" ht="18" customHeight="1">
      <c r="A1134" s="154"/>
      <c r="B1134" s="154"/>
      <c r="C1134" s="154"/>
      <c r="D1134" s="162"/>
      <c r="E1134" s="154"/>
      <c r="F1134" s="154"/>
      <c r="G1134" s="154"/>
      <c r="H1134" s="154"/>
      <c r="I1134" s="154"/>
      <c r="J1134" s="154"/>
      <c r="K1134" s="154"/>
      <c r="L1134" s="154"/>
      <c r="M1134" s="154"/>
      <c r="N1134" s="154"/>
      <c r="O1134" s="154"/>
      <c r="P1134" s="154"/>
      <c r="Q1134" s="154"/>
      <c r="R1134" s="154"/>
      <c r="S1134" s="154"/>
      <c r="T1134" s="154"/>
      <c r="U1134" s="154"/>
      <c r="V1134" s="154"/>
      <c r="W1134" s="154"/>
      <c r="X1134" s="154"/>
      <c r="Y1134" s="154"/>
      <c r="Z1134" s="154"/>
      <c r="AA1134" s="154"/>
      <c r="AB1134" s="154"/>
      <c r="AC1134" s="154"/>
      <c r="AD1134" s="154"/>
      <c r="AE1134" s="154"/>
      <c r="AF1134" s="154"/>
      <c r="AG1134" s="195"/>
      <c r="AH1134" s="196"/>
      <c r="AI1134" s="197"/>
      <c r="AJ1134" s="110"/>
    </row>
    <row r="1135" spans="1:36" ht="18" customHeight="1">
      <c r="A1135" s="154"/>
      <c r="B1135" s="154"/>
      <c r="C1135" s="154"/>
      <c r="D1135" s="162"/>
      <c r="E1135" s="154"/>
      <c r="F1135" s="154"/>
      <c r="G1135" s="154"/>
      <c r="H1135" s="154"/>
      <c r="I1135" s="154"/>
      <c r="J1135" s="154"/>
      <c r="K1135" s="154"/>
      <c r="L1135" s="154"/>
      <c r="M1135" s="154"/>
      <c r="N1135" s="154"/>
      <c r="O1135" s="154"/>
      <c r="P1135" s="154"/>
      <c r="Q1135" s="154"/>
      <c r="R1135" s="154"/>
      <c r="S1135" s="154"/>
      <c r="T1135" s="154"/>
      <c r="U1135" s="154"/>
      <c r="V1135" s="154"/>
      <c r="W1135" s="154"/>
      <c r="X1135" s="154"/>
      <c r="Y1135" s="154"/>
      <c r="Z1135" s="154"/>
      <c r="AA1135" s="154"/>
      <c r="AB1135" s="154"/>
      <c r="AC1135" s="154"/>
      <c r="AD1135" s="154"/>
      <c r="AE1135" s="154"/>
      <c r="AF1135" s="154"/>
      <c r="AG1135" s="195"/>
      <c r="AH1135" s="196"/>
      <c r="AI1135" s="197"/>
      <c r="AJ1135" s="110"/>
    </row>
    <row r="1136" spans="1:36" ht="18" customHeight="1">
      <c r="A1136" s="154"/>
      <c r="B1136" s="154"/>
      <c r="C1136" s="154"/>
      <c r="D1136" s="162"/>
      <c r="E1136" s="154"/>
      <c r="F1136" s="154"/>
      <c r="G1136" s="154"/>
      <c r="H1136" s="154"/>
      <c r="I1136" s="154"/>
      <c r="J1136" s="154"/>
      <c r="K1136" s="154"/>
      <c r="L1136" s="154"/>
      <c r="M1136" s="154"/>
      <c r="N1136" s="154"/>
      <c r="O1136" s="154"/>
      <c r="P1136" s="154"/>
      <c r="Q1136" s="154"/>
      <c r="R1136" s="154"/>
      <c r="S1136" s="154"/>
      <c r="T1136" s="154"/>
      <c r="U1136" s="154"/>
      <c r="V1136" s="154"/>
      <c r="W1136" s="154"/>
      <c r="X1136" s="154"/>
      <c r="Y1136" s="154"/>
      <c r="Z1136" s="154"/>
      <c r="AA1136" s="154"/>
      <c r="AB1136" s="154"/>
      <c r="AC1136" s="154"/>
      <c r="AD1136" s="154"/>
      <c r="AE1136" s="154"/>
      <c r="AF1136" s="154"/>
      <c r="AG1136" s="195"/>
      <c r="AH1136" s="196"/>
      <c r="AI1136" s="197"/>
      <c r="AJ1136" s="110"/>
    </row>
    <row r="1137" spans="1:36" ht="18" customHeight="1">
      <c r="A1137" s="154"/>
      <c r="B1137" s="154"/>
      <c r="C1137" s="154"/>
      <c r="D1137" s="162"/>
      <c r="E1137" s="154"/>
      <c r="F1137" s="154"/>
      <c r="G1137" s="154"/>
      <c r="H1137" s="154"/>
      <c r="I1137" s="154"/>
      <c r="J1137" s="154"/>
      <c r="K1137" s="154"/>
      <c r="L1137" s="154"/>
      <c r="M1137" s="154"/>
      <c r="N1137" s="154"/>
      <c r="O1137" s="154"/>
      <c r="P1137" s="154"/>
      <c r="Q1137" s="154"/>
      <c r="R1137" s="154"/>
      <c r="S1137" s="154"/>
      <c r="T1137" s="154"/>
      <c r="U1137" s="154"/>
      <c r="V1137" s="154"/>
      <c r="W1137" s="154"/>
      <c r="X1137" s="154"/>
      <c r="Y1137" s="154"/>
      <c r="Z1137" s="154"/>
      <c r="AA1137" s="154"/>
      <c r="AB1137" s="154"/>
      <c r="AC1137" s="154"/>
      <c r="AD1137" s="154"/>
      <c r="AE1137" s="154"/>
      <c r="AF1137" s="154"/>
      <c r="AG1137" s="195"/>
      <c r="AH1137" s="196"/>
      <c r="AI1137" s="197"/>
      <c r="AJ1137" s="110"/>
    </row>
    <row r="1138" spans="1:36" ht="18" customHeight="1">
      <c r="A1138" s="154"/>
      <c r="B1138" s="154"/>
      <c r="C1138" s="154"/>
      <c r="D1138" s="162"/>
      <c r="E1138" s="154"/>
      <c r="F1138" s="154"/>
      <c r="G1138" s="154"/>
      <c r="H1138" s="154"/>
      <c r="I1138" s="154"/>
      <c r="J1138" s="154"/>
      <c r="K1138" s="154"/>
      <c r="L1138" s="154"/>
      <c r="M1138" s="154"/>
      <c r="N1138" s="154"/>
      <c r="O1138" s="154"/>
      <c r="P1138" s="154"/>
      <c r="Q1138" s="154"/>
      <c r="R1138" s="154"/>
      <c r="S1138" s="154"/>
      <c r="T1138" s="154"/>
      <c r="U1138" s="154"/>
      <c r="V1138" s="154"/>
      <c r="W1138" s="154"/>
      <c r="X1138" s="154"/>
      <c r="Y1138" s="154"/>
      <c r="Z1138" s="154"/>
      <c r="AA1138" s="154"/>
      <c r="AB1138" s="154"/>
      <c r="AC1138" s="154"/>
      <c r="AD1138" s="154"/>
      <c r="AE1138" s="154"/>
      <c r="AF1138" s="154"/>
      <c r="AG1138" s="195"/>
      <c r="AH1138" s="196"/>
      <c r="AI1138" s="197"/>
      <c r="AJ1138" s="110"/>
    </row>
    <row r="1139" spans="1:36" ht="18" customHeight="1">
      <c r="A1139" s="154"/>
      <c r="B1139" s="154"/>
      <c r="C1139" s="154"/>
      <c r="D1139" s="162"/>
      <c r="E1139" s="154"/>
      <c r="F1139" s="154"/>
      <c r="G1139" s="154"/>
      <c r="H1139" s="154"/>
      <c r="I1139" s="154"/>
      <c r="J1139" s="154"/>
      <c r="K1139" s="154"/>
      <c r="L1139" s="154"/>
      <c r="M1139" s="154"/>
      <c r="N1139" s="154"/>
      <c r="O1139" s="154"/>
      <c r="P1139" s="154"/>
      <c r="Q1139" s="154"/>
      <c r="R1139" s="154"/>
      <c r="S1139" s="154"/>
      <c r="T1139" s="154"/>
      <c r="U1139" s="154"/>
      <c r="V1139" s="154"/>
      <c r="W1139" s="154"/>
      <c r="X1139" s="154"/>
      <c r="Y1139" s="154"/>
      <c r="Z1139" s="154"/>
      <c r="AA1139" s="154"/>
      <c r="AB1139" s="154"/>
      <c r="AC1139" s="154"/>
      <c r="AD1139" s="154"/>
      <c r="AE1139" s="154"/>
      <c r="AF1139" s="154"/>
      <c r="AG1139" s="195"/>
      <c r="AH1139" s="196"/>
      <c r="AI1139" s="197"/>
      <c r="AJ1139" s="110"/>
    </row>
    <row r="1140" spans="1:36" ht="18" customHeight="1">
      <c r="A1140" s="154"/>
      <c r="B1140" s="154"/>
      <c r="C1140" s="154"/>
      <c r="D1140" s="162"/>
      <c r="E1140" s="154"/>
      <c r="F1140" s="154"/>
      <c r="G1140" s="154"/>
      <c r="H1140" s="154"/>
      <c r="I1140" s="154"/>
      <c r="J1140" s="154"/>
      <c r="K1140" s="154"/>
      <c r="L1140" s="154"/>
      <c r="M1140" s="154"/>
      <c r="N1140" s="154"/>
      <c r="O1140" s="154"/>
      <c r="P1140" s="154"/>
      <c r="Q1140" s="154"/>
      <c r="R1140" s="154"/>
      <c r="S1140" s="154"/>
      <c r="T1140" s="154"/>
      <c r="U1140" s="154"/>
      <c r="V1140" s="154"/>
      <c r="W1140" s="154"/>
      <c r="X1140" s="154"/>
      <c r="Y1140" s="154"/>
      <c r="Z1140" s="154"/>
      <c r="AA1140" s="154"/>
      <c r="AB1140" s="154"/>
      <c r="AC1140" s="154"/>
      <c r="AD1140" s="154"/>
      <c r="AE1140" s="154"/>
      <c r="AF1140" s="154"/>
      <c r="AG1140" s="195"/>
      <c r="AH1140" s="196"/>
      <c r="AI1140" s="197"/>
      <c r="AJ1140" s="110"/>
    </row>
    <row r="1141" spans="1:36" ht="18" customHeight="1">
      <c r="A1141" s="154"/>
      <c r="B1141" s="154"/>
      <c r="C1141" s="154"/>
      <c r="D1141" s="162"/>
      <c r="E1141" s="154"/>
      <c r="F1141" s="154"/>
      <c r="G1141" s="154"/>
      <c r="H1141" s="154"/>
      <c r="I1141" s="154"/>
      <c r="J1141" s="154"/>
      <c r="K1141" s="154"/>
      <c r="L1141" s="154"/>
      <c r="M1141" s="154"/>
      <c r="N1141" s="154"/>
      <c r="O1141" s="154"/>
      <c r="P1141" s="154"/>
      <c r="Q1141" s="154"/>
      <c r="R1141" s="154"/>
      <c r="S1141" s="154"/>
      <c r="T1141" s="154"/>
      <c r="U1141" s="154"/>
      <c r="V1141" s="154"/>
      <c r="W1141" s="154"/>
      <c r="X1141" s="154"/>
      <c r="Y1141" s="154"/>
      <c r="Z1141" s="154"/>
      <c r="AA1141" s="154"/>
      <c r="AB1141" s="154"/>
      <c r="AC1141" s="154"/>
      <c r="AD1141" s="154"/>
      <c r="AE1141" s="154"/>
      <c r="AF1141" s="154"/>
      <c r="AG1141" s="195"/>
      <c r="AH1141" s="196"/>
      <c r="AI1141" s="197"/>
      <c r="AJ1141" s="110"/>
    </row>
    <row r="1142" spans="1:36" ht="18" customHeight="1">
      <c r="A1142" s="154"/>
      <c r="B1142" s="154"/>
      <c r="C1142" s="154"/>
      <c r="D1142" s="162"/>
      <c r="E1142" s="154"/>
      <c r="F1142" s="154"/>
      <c r="G1142" s="154"/>
      <c r="H1142" s="154"/>
      <c r="I1142" s="154"/>
      <c r="J1142" s="154"/>
      <c r="K1142" s="154"/>
      <c r="L1142" s="154"/>
      <c r="M1142" s="154"/>
      <c r="N1142" s="154"/>
      <c r="O1142" s="154"/>
      <c r="P1142" s="154"/>
      <c r="Q1142" s="154"/>
      <c r="R1142" s="154"/>
      <c r="S1142" s="154"/>
      <c r="T1142" s="154"/>
      <c r="U1142" s="154"/>
      <c r="V1142" s="154"/>
      <c r="W1142" s="154"/>
      <c r="X1142" s="154"/>
      <c r="Y1142" s="154"/>
      <c r="Z1142" s="154"/>
      <c r="AA1142" s="154"/>
      <c r="AB1142" s="154"/>
      <c r="AC1142" s="154"/>
      <c r="AD1142" s="154"/>
      <c r="AE1142" s="154"/>
      <c r="AF1142" s="154"/>
      <c r="AG1142" s="195"/>
      <c r="AH1142" s="196"/>
      <c r="AI1142" s="197"/>
      <c r="AJ1142" s="110"/>
    </row>
    <row r="1143" spans="1:36" ht="18" customHeight="1">
      <c r="A1143" s="154"/>
      <c r="B1143" s="154"/>
      <c r="C1143" s="154"/>
      <c r="D1143" s="162"/>
      <c r="E1143" s="154"/>
      <c r="F1143" s="154"/>
      <c r="G1143" s="154"/>
      <c r="H1143" s="154"/>
      <c r="I1143" s="154"/>
      <c r="J1143" s="154"/>
      <c r="K1143" s="154"/>
      <c r="L1143" s="154"/>
      <c r="M1143" s="154"/>
      <c r="N1143" s="154"/>
      <c r="O1143" s="154"/>
      <c r="P1143" s="154"/>
      <c r="Q1143" s="154"/>
      <c r="R1143" s="154"/>
      <c r="S1143" s="154"/>
      <c r="T1143" s="154"/>
      <c r="U1143" s="154"/>
      <c r="V1143" s="154"/>
      <c r="W1143" s="154"/>
      <c r="X1143" s="154"/>
      <c r="Y1143" s="154"/>
      <c r="Z1143" s="154"/>
      <c r="AA1143" s="154"/>
      <c r="AB1143" s="154"/>
      <c r="AC1143" s="154"/>
      <c r="AD1143" s="154"/>
      <c r="AE1143" s="154"/>
      <c r="AF1143" s="154"/>
      <c r="AG1143" s="195"/>
      <c r="AH1143" s="196"/>
      <c r="AI1143" s="197"/>
      <c r="AJ1143" s="110"/>
    </row>
    <row r="1144" spans="1:36" ht="18" customHeight="1">
      <c r="A1144" s="154"/>
      <c r="B1144" s="154"/>
      <c r="C1144" s="154"/>
      <c r="D1144" s="162"/>
      <c r="E1144" s="154"/>
      <c r="F1144" s="154"/>
      <c r="G1144" s="154"/>
      <c r="H1144" s="154"/>
      <c r="I1144" s="154"/>
      <c r="J1144" s="154"/>
      <c r="K1144" s="154"/>
      <c r="L1144" s="154"/>
      <c r="M1144" s="154"/>
      <c r="N1144" s="154"/>
      <c r="O1144" s="154"/>
      <c r="P1144" s="154"/>
      <c r="Q1144" s="154"/>
      <c r="R1144" s="154"/>
      <c r="S1144" s="154"/>
      <c r="T1144" s="154"/>
      <c r="U1144" s="154"/>
      <c r="V1144" s="154"/>
      <c r="W1144" s="154"/>
      <c r="X1144" s="154"/>
      <c r="Y1144" s="154"/>
      <c r="Z1144" s="154"/>
      <c r="AA1144" s="154"/>
      <c r="AB1144" s="154"/>
      <c r="AC1144" s="154"/>
      <c r="AD1144" s="154"/>
      <c r="AE1144" s="154"/>
      <c r="AF1144" s="154"/>
      <c r="AG1144" s="195"/>
      <c r="AH1144" s="196"/>
      <c r="AI1144" s="197"/>
      <c r="AJ1144" s="110"/>
    </row>
    <row r="1145" spans="1:36" ht="18" customHeight="1">
      <c r="A1145" s="154"/>
      <c r="B1145" s="154"/>
      <c r="C1145" s="154"/>
      <c r="D1145" s="162"/>
      <c r="E1145" s="154"/>
      <c r="F1145" s="154"/>
      <c r="G1145" s="154"/>
      <c r="H1145" s="154"/>
      <c r="I1145" s="154"/>
      <c r="J1145" s="154"/>
      <c r="K1145" s="154"/>
      <c r="L1145" s="154"/>
      <c r="M1145" s="154"/>
      <c r="N1145" s="154"/>
      <c r="O1145" s="154"/>
      <c r="P1145" s="154"/>
      <c r="Q1145" s="154"/>
      <c r="R1145" s="154"/>
      <c r="S1145" s="154"/>
      <c r="T1145" s="154"/>
      <c r="U1145" s="154"/>
      <c r="V1145" s="154"/>
      <c r="W1145" s="154"/>
      <c r="X1145" s="154"/>
      <c r="Y1145" s="154"/>
      <c r="Z1145" s="154"/>
      <c r="AA1145" s="154"/>
      <c r="AB1145" s="154"/>
      <c r="AC1145" s="154"/>
      <c r="AD1145" s="154"/>
      <c r="AE1145" s="154"/>
      <c r="AF1145" s="154"/>
      <c r="AG1145" s="195"/>
      <c r="AH1145" s="196"/>
      <c r="AI1145" s="197"/>
      <c r="AJ1145" s="110"/>
    </row>
    <row r="1146" spans="1:36" ht="18" customHeight="1">
      <c r="A1146" s="154"/>
      <c r="B1146" s="154"/>
      <c r="C1146" s="154"/>
      <c r="D1146" s="162"/>
      <c r="E1146" s="154"/>
      <c r="F1146" s="154"/>
      <c r="G1146" s="154"/>
      <c r="H1146" s="154"/>
      <c r="I1146" s="154"/>
      <c r="J1146" s="154"/>
      <c r="K1146" s="154"/>
      <c r="L1146" s="154"/>
      <c r="M1146" s="154"/>
      <c r="N1146" s="154"/>
      <c r="O1146" s="154"/>
      <c r="P1146" s="154"/>
      <c r="Q1146" s="154"/>
      <c r="R1146" s="154"/>
      <c r="S1146" s="154"/>
      <c r="T1146" s="154"/>
      <c r="U1146" s="154"/>
      <c r="V1146" s="154"/>
      <c r="W1146" s="154"/>
      <c r="X1146" s="154"/>
      <c r="Y1146" s="154"/>
      <c r="Z1146" s="154"/>
      <c r="AA1146" s="154"/>
      <c r="AB1146" s="154"/>
      <c r="AC1146" s="154"/>
      <c r="AD1146" s="154"/>
      <c r="AE1146" s="154"/>
      <c r="AF1146" s="154"/>
      <c r="AG1146" s="195"/>
      <c r="AH1146" s="196"/>
      <c r="AI1146" s="197"/>
      <c r="AJ1146" s="110"/>
    </row>
    <row r="1147" spans="1:36" ht="18" customHeight="1">
      <c r="A1147" s="154"/>
      <c r="B1147" s="154"/>
      <c r="C1147" s="154"/>
      <c r="D1147" s="162"/>
      <c r="E1147" s="154"/>
      <c r="F1147" s="154"/>
      <c r="G1147" s="154"/>
      <c r="H1147" s="154"/>
      <c r="I1147" s="154"/>
      <c r="J1147" s="154"/>
      <c r="K1147" s="154"/>
      <c r="L1147" s="154"/>
      <c r="M1147" s="154"/>
      <c r="N1147" s="154"/>
      <c r="O1147" s="154"/>
      <c r="P1147" s="154"/>
      <c r="Q1147" s="154"/>
      <c r="R1147" s="154"/>
      <c r="S1147" s="154"/>
      <c r="T1147" s="154"/>
      <c r="U1147" s="154"/>
      <c r="V1147" s="154"/>
      <c r="W1147" s="154"/>
      <c r="X1147" s="154"/>
      <c r="Y1147" s="154"/>
      <c r="Z1147" s="154"/>
      <c r="AA1147" s="154"/>
      <c r="AB1147" s="154"/>
      <c r="AC1147" s="154"/>
      <c r="AD1147" s="154"/>
      <c r="AE1147" s="154"/>
      <c r="AF1147" s="154"/>
      <c r="AG1147" s="195"/>
      <c r="AH1147" s="196"/>
      <c r="AI1147" s="197"/>
      <c r="AJ1147" s="110"/>
    </row>
    <row r="1148" spans="1:36" ht="18" customHeight="1">
      <c r="A1148" s="154"/>
      <c r="B1148" s="154"/>
      <c r="C1148" s="154"/>
      <c r="D1148" s="162"/>
      <c r="E1148" s="154"/>
      <c r="F1148" s="154"/>
      <c r="G1148" s="154"/>
      <c r="H1148" s="154"/>
      <c r="I1148" s="154"/>
      <c r="J1148" s="154"/>
      <c r="K1148" s="154"/>
      <c r="L1148" s="154"/>
      <c r="M1148" s="154"/>
      <c r="N1148" s="154"/>
      <c r="O1148" s="154"/>
      <c r="P1148" s="154"/>
      <c r="Q1148" s="154"/>
      <c r="R1148" s="154"/>
      <c r="S1148" s="154"/>
      <c r="T1148" s="154"/>
      <c r="U1148" s="154"/>
      <c r="V1148" s="154"/>
      <c r="W1148" s="154"/>
      <c r="X1148" s="154"/>
      <c r="Y1148" s="154"/>
      <c r="Z1148" s="154"/>
      <c r="AA1148" s="154"/>
      <c r="AB1148" s="154"/>
      <c r="AC1148" s="154"/>
      <c r="AD1148" s="154"/>
      <c r="AE1148" s="154"/>
      <c r="AF1148" s="154"/>
      <c r="AG1148" s="195"/>
      <c r="AH1148" s="196"/>
      <c r="AI1148" s="197"/>
      <c r="AJ1148" s="110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148">
    <cfRule type="expression" dxfId="6" priority="1">
      <formula>COUNTIF($B:$B,$B2)&gt;1</formula>
    </cfRule>
  </conditionalFormatting>
  <dataValidations count="1">
    <dataValidation type="list" allowBlank="1" showDropDown="1" showErrorMessage="1" sqref="C1:AF1" xr:uid="{00000000-0002-0000-1C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EA9999"/>
    <outlinePr summaryBelow="0" summaryRight="0"/>
    <pageSetUpPr fitToPage="1"/>
  </sheetPr>
  <dimension ref="A1:AJ148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90" t="s">
        <v>0</v>
      </c>
      <c r="B1" s="291"/>
      <c r="C1" s="53"/>
      <c r="D1" s="168"/>
      <c r="E1" s="168"/>
      <c r="F1" s="53"/>
      <c r="G1" s="168"/>
      <c r="H1" s="53"/>
      <c r="I1" s="168"/>
      <c r="J1" s="168"/>
      <c r="K1" s="168"/>
      <c r="L1" s="168"/>
      <c r="M1" s="53"/>
      <c r="N1" s="168"/>
      <c r="O1" s="53"/>
      <c r="P1" s="168"/>
      <c r="Q1" s="168"/>
      <c r="R1" s="168"/>
      <c r="S1" s="168"/>
      <c r="T1" s="53"/>
      <c r="U1" s="168"/>
      <c r="V1" s="53"/>
      <c r="W1" s="168"/>
      <c r="X1" s="168"/>
      <c r="Y1" s="168"/>
      <c r="Z1" s="168"/>
      <c r="AA1" s="53"/>
      <c r="AB1" s="168"/>
      <c r="AC1" s="168"/>
      <c r="AD1" s="168"/>
      <c r="AE1" s="168"/>
      <c r="AF1" s="168"/>
      <c r="AJ1" s="289" t="s">
        <v>1</v>
      </c>
    </row>
    <row r="2" spans="1:36" ht="18" customHeight="1">
      <c r="A2" s="53" t="s">
        <v>2</v>
      </c>
      <c r="B2" s="53" t="s">
        <v>3</v>
      </c>
      <c r="C2" s="169">
        <v>45901</v>
      </c>
      <c r="D2" s="169">
        <v>45902</v>
      </c>
      <c r="E2" s="169">
        <v>45903</v>
      </c>
      <c r="F2" s="169">
        <v>45904</v>
      </c>
      <c r="G2" s="169">
        <v>45905</v>
      </c>
      <c r="H2" s="169">
        <v>45906</v>
      </c>
      <c r="I2" s="169">
        <v>45907</v>
      </c>
      <c r="J2" s="169">
        <v>45908</v>
      </c>
      <c r="K2" s="169">
        <v>45909</v>
      </c>
      <c r="L2" s="169">
        <v>45910</v>
      </c>
      <c r="M2" s="169">
        <v>45911</v>
      </c>
      <c r="N2" s="169">
        <v>45912</v>
      </c>
      <c r="O2" s="169">
        <v>45913</v>
      </c>
      <c r="P2" s="169">
        <v>45914</v>
      </c>
      <c r="Q2" s="169">
        <v>45915</v>
      </c>
      <c r="R2" s="169">
        <v>45916</v>
      </c>
      <c r="S2" s="169">
        <v>45917</v>
      </c>
      <c r="T2" s="169">
        <v>45918</v>
      </c>
      <c r="U2" s="169">
        <v>45919</v>
      </c>
      <c r="V2" s="169">
        <v>45920</v>
      </c>
      <c r="W2" s="169">
        <v>45921</v>
      </c>
      <c r="X2" s="169">
        <v>45922</v>
      </c>
      <c r="Y2" s="169">
        <v>45923</v>
      </c>
      <c r="Z2" s="169">
        <v>45924</v>
      </c>
      <c r="AA2" s="169">
        <v>45925</v>
      </c>
      <c r="AB2" s="169">
        <v>45926</v>
      </c>
      <c r="AC2" s="169">
        <v>45927</v>
      </c>
      <c r="AD2" s="169">
        <v>45928</v>
      </c>
      <c r="AE2" s="169">
        <v>45929</v>
      </c>
      <c r="AF2" s="169">
        <v>45930</v>
      </c>
      <c r="AJ2" s="278"/>
    </row>
    <row r="3" spans="1:36" ht="18" customHeight="1">
      <c r="A3" s="53" t="s">
        <v>4</v>
      </c>
      <c r="B3" s="53" t="s">
        <v>5</v>
      </c>
      <c r="C3" s="53">
        <f t="shared" ref="C3:AF3" si="0">WEEKDAY(C2-1)</f>
        <v>1</v>
      </c>
      <c r="D3" s="170">
        <f t="shared" si="0"/>
        <v>2</v>
      </c>
      <c r="E3" s="168">
        <f t="shared" si="0"/>
        <v>3</v>
      </c>
      <c r="F3" s="53">
        <f t="shared" si="0"/>
        <v>4</v>
      </c>
      <c r="G3" s="168">
        <f t="shared" si="0"/>
        <v>5</v>
      </c>
      <c r="H3" s="53">
        <f t="shared" si="0"/>
        <v>6</v>
      </c>
      <c r="I3" s="168">
        <f t="shared" si="0"/>
        <v>7</v>
      </c>
      <c r="J3" s="168">
        <f t="shared" si="0"/>
        <v>1</v>
      </c>
      <c r="K3" s="168">
        <f t="shared" si="0"/>
        <v>2</v>
      </c>
      <c r="L3" s="168">
        <f t="shared" si="0"/>
        <v>3</v>
      </c>
      <c r="M3" s="53">
        <f t="shared" si="0"/>
        <v>4</v>
      </c>
      <c r="N3" s="168">
        <f t="shared" si="0"/>
        <v>5</v>
      </c>
      <c r="O3" s="53">
        <f t="shared" si="0"/>
        <v>6</v>
      </c>
      <c r="P3" s="168">
        <f t="shared" si="0"/>
        <v>7</v>
      </c>
      <c r="Q3" s="168">
        <f t="shared" si="0"/>
        <v>1</v>
      </c>
      <c r="R3" s="168">
        <f t="shared" si="0"/>
        <v>2</v>
      </c>
      <c r="S3" s="168">
        <f t="shared" si="0"/>
        <v>3</v>
      </c>
      <c r="T3" s="53">
        <f t="shared" si="0"/>
        <v>4</v>
      </c>
      <c r="U3" s="168">
        <f t="shared" si="0"/>
        <v>5</v>
      </c>
      <c r="V3" s="53">
        <f t="shared" si="0"/>
        <v>6</v>
      </c>
      <c r="W3" s="168">
        <f t="shared" si="0"/>
        <v>7</v>
      </c>
      <c r="X3" s="168">
        <f t="shared" si="0"/>
        <v>1</v>
      </c>
      <c r="Y3" s="168">
        <f t="shared" si="0"/>
        <v>2</v>
      </c>
      <c r="Z3" s="168">
        <f t="shared" si="0"/>
        <v>3</v>
      </c>
      <c r="AA3" s="53">
        <f t="shared" si="0"/>
        <v>4</v>
      </c>
      <c r="AB3" s="168">
        <f t="shared" si="0"/>
        <v>5</v>
      </c>
      <c r="AC3" s="168">
        <f t="shared" si="0"/>
        <v>6</v>
      </c>
      <c r="AD3" s="168">
        <f t="shared" si="0"/>
        <v>7</v>
      </c>
      <c r="AE3" s="168">
        <f t="shared" si="0"/>
        <v>1</v>
      </c>
      <c r="AF3" s="168">
        <f t="shared" si="0"/>
        <v>2</v>
      </c>
      <c r="AJ3" s="179">
        <f>SUM(AH4:AH149)</f>
        <v>0</v>
      </c>
    </row>
    <row r="4" spans="1:36" ht="18" customHeight="1">
      <c r="A4" s="92" t="s">
        <v>168</v>
      </c>
      <c r="B4" s="92" t="s">
        <v>10</v>
      </c>
      <c r="C4" s="149"/>
      <c r="D4" s="172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J4" s="176"/>
    </row>
    <row r="5" spans="1:36" ht="18" customHeight="1">
      <c r="A5" s="92" t="s">
        <v>174</v>
      </c>
      <c r="B5" s="177" t="s">
        <v>11</v>
      </c>
      <c r="C5" s="149"/>
      <c r="D5" s="172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J5" s="176"/>
    </row>
    <row r="6" spans="1:36" ht="18" customHeight="1">
      <c r="A6" s="92" t="s">
        <v>174</v>
      </c>
      <c r="B6" s="177" t="s">
        <v>14</v>
      </c>
      <c r="C6" s="149"/>
      <c r="D6" s="172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J6" s="176"/>
    </row>
    <row r="7" spans="1:36" ht="18" customHeight="1">
      <c r="A7" s="92" t="s">
        <v>174</v>
      </c>
      <c r="B7" s="92" t="s">
        <v>15</v>
      </c>
      <c r="C7" s="149"/>
      <c r="D7" s="172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J7" s="176"/>
    </row>
    <row r="8" spans="1:36" ht="18" customHeight="1">
      <c r="A8" s="92" t="s">
        <v>174</v>
      </c>
      <c r="B8" s="92" t="s">
        <v>16</v>
      </c>
      <c r="C8" s="149"/>
      <c r="D8" s="172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J8" s="176"/>
    </row>
    <row r="9" spans="1:36" ht="18" customHeight="1">
      <c r="A9" s="92" t="s">
        <v>174</v>
      </c>
      <c r="B9" s="92" t="s">
        <v>17</v>
      </c>
      <c r="C9" s="149"/>
      <c r="D9" s="172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J9" s="176"/>
    </row>
    <row r="10" spans="1:36" ht="18" customHeight="1">
      <c r="A10" s="92" t="s">
        <v>174</v>
      </c>
      <c r="B10" s="177" t="s">
        <v>13</v>
      </c>
      <c r="C10" s="149"/>
      <c r="D10" s="172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J10" s="176"/>
    </row>
    <row r="11" spans="1:36" ht="18" customHeight="1">
      <c r="A11" s="92" t="s">
        <v>168</v>
      </c>
      <c r="B11" s="92" t="s">
        <v>18</v>
      </c>
      <c r="C11" s="149"/>
      <c r="D11" s="172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J11" s="176"/>
    </row>
    <row r="12" spans="1:36" ht="18" customHeight="1">
      <c r="A12" s="92" t="s">
        <v>174</v>
      </c>
      <c r="B12" s="177" t="s">
        <v>19</v>
      </c>
      <c r="C12" s="149"/>
      <c r="D12" s="172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J12" s="176"/>
    </row>
    <row r="13" spans="1:36" ht="18" customHeight="1">
      <c r="A13" s="92" t="s">
        <v>168</v>
      </c>
      <c r="B13" s="92" t="s">
        <v>61</v>
      </c>
      <c r="C13" s="149"/>
      <c r="D13" s="172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J13" s="176"/>
    </row>
    <row r="14" spans="1:36" ht="18" customHeight="1">
      <c r="A14" s="92" t="s">
        <v>174</v>
      </c>
      <c r="B14" s="92" t="s">
        <v>175</v>
      </c>
      <c r="C14" s="149"/>
      <c r="D14" s="172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J14" s="176"/>
    </row>
    <row r="15" spans="1:36" ht="18" customHeight="1">
      <c r="A15" s="92" t="s">
        <v>174</v>
      </c>
      <c r="B15" s="92" t="s">
        <v>20</v>
      </c>
      <c r="C15" s="149"/>
      <c r="D15" s="172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J15" s="176"/>
    </row>
    <row r="16" spans="1:36" ht="18" customHeight="1">
      <c r="A16" s="92" t="s">
        <v>174</v>
      </c>
      <c r="B16" s="92" t="s">
        <v>21</v>
      </c>
      <c r="C16" s="149"/>
      <c r="D16" s="172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J16" s="176"/>
    </row>
    <row r="17" spans="1:36" ht="18" customHeight="1">
      <c r="A17" s="92" t="s">
        <v>174</v>
      </c>
      <c r="B17" s="92" t="s">
        <v>22</v>
      </c>
      <c r="C17" s="149"/>
      <c r="D17" s="172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J17" s="176"/>
    </row>
    <row r="18" spans="1:36" ht="18" customHeight="1">
      <c r="A18" s="180" t="s">
        <v>174</v>
      </c>
      <c r="B18" s="180" t="s">
        <v>89</v>
      </c>
      <c r="C18" s="180"/>
      <c r="D18" s="181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J18" s="182"/>
    </row>
    <row r="19" spans="1:36" ht="18" customHeight="1">
      <c r="A19" s="180" t="s">
        <v>174</v>
      </c>
      <c r="B19" s="180" t="s">
        <v>90</v>
      </c>
      <c r="C19" s="180"/>
      <c r="D19" s="181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J19" s="182"/>
    </row>
    <row r="20" spans="1:36" ht="18" customHeight="1">
      <c r="A20" s="180" t="s">
        <v>168</v>
      </c>
      <c r="B20" s="180" t="s">
        <v>91</v>
      </c>
      <c r="C20" s="180"/>
      <c r="D20" s="181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J20" s="182"/>
    </row>
    <row r="21" spans="1:36" ht="18" customHeight="1">
      <c r="A21" s="180" t="s">
        <v>174</v>
      </c>
      <c r="B21" s="180" t="s">
        <v>92</v>
      </c>
      <c r="C21" s="180"/>
      <c r="D21" s="181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J21" s="182"/>
    </row>
    <row r="22" spans="1:36" ht="18" customHeight="1">
      <c r="A22" s="180" t="s">
        <v>174</v>
      </c>
      <c r="B22" s="180" t="s">
        <v>93</v>
      </c>
      <c r="C22" s="180"/>
      <c r="D22" s="181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J22" s="183"/>
    </row>
    <row r="23" spans="1:36" ht="18" customHeight="1">
      <c r="A23" s="180" t="s">
        <v>174</v>
      </c>
      <c r="B23" s="180" t="s">
        <v>227</v>
      </c>
      <c r="C23" s="180"/>
      <c r="D23" s="181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J23" s="184"/>
    </row>
    <row r="24" spans="1:36" ht="18" customHeight="1">
      <c r="A24" s="180" t="s">
        <v>174</v>
      </c>
      <c r="B24" s="180" t="s">
        <v>150</v>
      </c>
      <c r="C24" s="180"/>
      <c r="D24" s="181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J24" s="182"/>
    </row>
    <row r="25" spans="1:36" ht="18" customHeight="1">
      <c r="A25" s="180" t="s">
        <v>174</v>
      </c>
      <c r="B25" s="180" t="s">
        <v>113</v>
      </c>
      <c r="C25" s="180"/>
      <c r="D25" s="181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J25" s="184"/>
    </row>
    <row r="26" spans="1:36" ht="18" customHeight="1">
      <c r="A26" s="180" t="s">
        <v>174</v>
      </c>
      <c r="B26" s="180" t="s">
        <v>94</v>
      </c>
      <c r="C26" s="180"/>
      <c r="D26" s="181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J26" s="182"/>
    </row>
    <row r="27" spans="1:36" ht="18" customHeight="1">
      <c r="A27" s="180" t="s">
        <v>174</v>
      </c>
      <c r="B27" s="180" t="s">
        <v>95</v>
      </c>
      <c r="C27" s="180"/>
      <c r="D27" s="181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J27" s="182"/>
    </row>
    <row r="28" spans="1:36" ht="18" customHeight="1">
      <c r="A28" s="180" t="s">
        <v>174</v>
      </c>
      <c r="B28" s="180" t="s">
        <v>146</v>
      </c>
      <c r="C28" s="180"/>
      <c r="D28" s="181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J28" s="183"/>
    </row>
    <row r="29" spans="1:36" ht="18" customHeight="1">
      <c r="A29" s="180" t="s">
        <v>168</v>
      </c>
      <c r="B29" s="180" t="s">
        <v>147</v>
      </c>
      <c r="C29" s="180"/>
      <c r="D29" s="181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J29" s="182"/>
    </row>
    <row r="30" spans="1:36" ht="18" customHeight="1">
      <c r="A30" s="180" t="s">
        <v>174</v>
      </c>
      <c r="B30" s="180" t="s">
        <v>148</v>
      </c>
      <c r="C30" s="180"/>
      <c r="D30" s="181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J30" s="184"/>
    </row>
    <row r="31" spans="1:36" ht="18" customHeight="1">
      <c r="A31" s="185" t="s">
        <v>174</v>
      </c>
      <c r="B31" s="185" t="s">
        <v>103</v>
      </c>
      <c r="C31" s="185"/>
      <c r="D31" s="186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J31" s="187"/>
    </row>
    <row r="32" spans="1:36" ht="18" customHeight="1">
      <c r="A32" s="185" t="s">
        <v>168</v>
      </c>
      <c r="B32" s="185" t="s">
        <v>104</v>
      </c>
      <c r="C32" s="185"/>
      <c r="D32" s="186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J32" s="187"/>
    </row>
    <row r="33" spans="1:36" ht="18" customHeight="1">
      <c r="A33" s="185" t="s">
        <v>174</v>
      </c>
      <c r="B33" s="185" t="s">
        <v>105</v>
      </c>
      <c r="C33" s="185"/>
      <c r="D33" s="186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J33" s="187"/>
    </row>
    <row r="34" spans="1:36" ht="18" customHeight="1">
      <c r="A34" s="185" t="s">
        <v>174</v>
      </c>
      <c r="B34" s="185" t="s">
        <v>116</v>
      </c>
      <c r="C34" s="185"/>
      <c r="D34" s="186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J34" s="188"/>
    </row>
    <row r="35" spans="1:36" ht="18" customHeight="1">
      <c r="A35" s="185" t="s">
        <v>174</v>
      </c>
      <c r="B35" s="185" t="s">
        <v>117</v>
      </c>
      <c r="C35" s="185"/>
      <c r="D35" s="186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J35" s="188"/>
    </row>
    <row r="36" spans="1:36" ht="18" customHeight="1">
      <c r="A36" s="185" t="s">
        <v>168</v>
      </c>
      <c r="B36" s="185" t="s">
        <v>118</v>
      </c>
      <c r="C36" s="185"/>
      <c r="D36" s="186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J36" s="188"/>
    </row>
    <row r="37" spans="1:36" ht="18" customHeight="1">
      <c r="A37" s="185" t="s">
        <v>168</v>
      </c>
      <c r="B37" s="185" t="s">
        <v>119</v>
      </c>
      <c r="C37" s="185"/>
      <c r="D37" s="186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J37" s="187"/>
    </row>
    <row r="38" spans="1:36" ht="18" customHeight="1">
      <c r="A38" s="185" t="s">
        <v>168</v>
      </c>
      <c r="B38" s="185" t="s">
        <v>120</v>
      </c>
      <c r="C38" s="185"/>
      <c r="D38" s="186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J38" s="187"/>
    </row>
    <row r="39" spans="1:36" ht="18" customHeight="1">
      <c r="A39" s="185" t="s">
        <v>174</v>
      </c>
      <c r="B39" s="185" t="s">
        <v>121</v>
      </c>
      <c r="C39" s="185"/>
      <c r="D39" s="186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J39" s="187"/>
    </row>
    <row r="40" spans="1:36" ht="18" customHeight="1">
      <c r="A40" s="185" t="s">
        <v>168</v>
      </c>
      <c r="B40" s="185" t="s">
        <v>122</v>
      </c>
      <c r="C40" s="185"/>
      <c r="D40" s="186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J40" s="187"/>
    </row>
    <row r="41" spans="1:36" ht="18" customHeight="1">
      <c r="A41" s="185" t="s">
        <v>174</v>
      </c>
      <c r="B41" s="185" t="s">
        <v>123</v>
      </c>
      <c r="C41" s="185"/>
      <c r="D41" s="186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J41" s="188"/>
    </row>
    <row r="42" spans="1:36" ht="18" customHeight="1">
      <c r="A42" s="92" t="s">
        <v>58</v>
      </c>
      <c r="B42" s="92" t="s">
        <v>23</v>
      </c>
      <c r="C42" s="166"/>
      <c r="D42" s="167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J42" s="189"/>
    </row>
    <row r="43" spans="1:36" ht="18" customHeight="1">
      <c r="A43" s="92" t="s">
        <v>58</v>
      </c>
      <c r="B43" s="92" t="s">
        <v>24</v>
      </c>
      <c r="C43" s="166"/>
      <c r="D43" s="167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J43" s="189"/>
    </row>
    <row r="44" spans="1:36" ht="18" customHeight="1">
      <c r="A44" s="92" t="s">
        <v>58</v>
      </c>
      <c r="B44" s="92" t="s">
        <v>64</v>
      </c>
      <c r="C44" s="166"/>
      <c r="D44" s="167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J44" s="189"/>
    </row>
    <row r="45" spans="1:36" ht="18" customHeight="1">
      <c r="A45" s="92" t="s">
        <v>58</v>
      </c>
      <c r="B45" s="92" t="s">
        <v>178</v>
      </c>
      <c r="C45" s="166"/>
      <c r="D45" s="167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J45" s="189"/>
    </row>
    <row r="46" spans="1:36" ht="18" customHeight="1">
      <c r="A46" s="92" t="s">
        <v>174</v>
      </c>
      <c r="B46" s="92" t="s">
        <v>25</v>
      </c>
      <c r="C46" s="166"/>
      <c r="D46" s="167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J46" s="189"/>
    </row>
    <row r="47" spans="1:36" ht="18" customHeight="1">
      <c r="A47" s="92" t="s">
        <v>58</v>
      </c>
      <c r="B47" s="92" t="s">
        <v>63</v>
      </c>
      <c r="C47" s="166"/>
      <c r="D47" s="167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J47" s="189"/>
    </row>
    <row r="48" spans="1:36" ht="18" customHeight="1">
      <c r="A48" s="92" t="s">
        <v>58</v>
      </c>
      <c r="B48" s="92" t="s">
        <v>62</v>
      </c>
      <c r="C48" s="166"/>
      <c r="D48" s="167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J48" s="189"/>
    </row>
    <row r="49" spans="1:36" ht="18" customHeight="1">
      <c r="A49" s="92" t="s">
        <v>174</v>
      </c>
      <c r="B49" s="92" t="s">
        <v>26</v>
      </c>
      <c r="C49" s="166"/>
      <c r="D49" s="167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J49" s="189"/>
    </row>
    <row r="50" spans="1:36" ht="18" customHeight="1">
      <c r="A50" s="92" t="s">
        <v>58</v>
      </c>
      <c r="B50" s="92" t="s">
        <v>59</v>
      </c>
      <c r="C50" s="166"/>
      <c r="D50" s="167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J50" s="189"/>
    </row>
    <row r="51" spans="1:36" ht="18" customHeight="1">
      <c r="A51" s="92" t="s">
        <v>174</v>
      </c>
      <c r="B51" s="92" t="s">
        <v>27</v>
      </c>
      <c r="C51" s="166"/>
      <c r="D51" s="167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J51" s="189"/>
    </row>
    <row r="52" spans="1:36" ht="18" customHeight="1">
      <c r="A52" s="92" t="s">
        <v>58</v>
      </c>
      <c r="B52" s="92" t="s">
        <v>28</v>
      </c>
      <c r="C52" s="166"/>
      <c r="D52" s="167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J52" s="189"/>
    </row>
    <row r="53" spans="1:36" ht="18" customHeight="1">
      <c r="A53" s="92" t="s">
        <v>58</v>
      </c>
      <c r="B53" s="92" t="s">
        <v>29</v>
      </c>
      <c r="C53" s="166"/>
      <c r="D53" s="167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J53" s="189"/>
    </row>
    <row r="54" spans="1:36" ht="18" customHeight="1">
      <c r="A54" s="92" t="s">
        <v>174</v>
      </c>
      <c r="B54" s="92" t="s">
        <v>65</v>
      </c>
      <c r="C54" s="166"/>
      <c r="D54" s="167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J54" s="189"/>
    </row>
    <row r="55" spans="1:36" ht="18" customHeight="1">
      <c r="A55" s="92" t="s">
        <v>58</v>
      </c>
      <c r="B55" s="92" t="s">
        <v>72</v>
      </c>
      <c r="C55" s="166"/>
      <c r="D55" s="167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J55" s="189"/>
    </row>
    <row r="56" spans="1:36" ht="18" customHeight="1">
      <c r="A56" s="92" t="s">
        <v>58</v>
      </c>
      <c r="B56" s="92" t="s">
        <v>66</v>
      </c>
      <c r="C56" s="166"/>
      <c r="D56" s="167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J56" s="189"/>
    </row>
    <row r="57" spans="1:36" ht="18" customHeight="1">
      <c r="A57" s="92" t="s">
        <v>58</v>
      </c>
      <c r="B57" s="92" t="s">
        <v>68</v>
      </c>
      <c r="C57" s="166"/>
      <c r="D57" s="167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J57" s="189"/>
    </row>
    <row r="58" spans="1:36" ht="18" customHeight="1">
      <c r="A58" s="92" t="s">
        <v>58</v>
      </c>
      <c r="B58" s="92" t="s">
        <v>69</v>
      </c>
      <c r="C58" s="166"/>
      <c r="D58" s="167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J58" s="189"/>
    </row>
    <row r="59" spans="1:36" ht="18" customHeight="1">
      <c r="A59" s="92" t="s">
        <v>58</v>
      </c>
      <c r="B59" s="92" t="s">
        <v>70</v>
      </c>
      <c r="C59" s="166"/>
      <c r="D59" s="167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J59" s="189"/>
    </row>
    <row r="60" spans="1:36" ht="18" customHeight="1">
      <c r="A60" s="92" t="s">
        <v>58</v>
      </c>
      <c r="B60" s="92" t="s">
        <v>71</v>
      </c>
      <c r="C60" s="166"/>
      <c r="D60" s="167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J60" s="189"/>
    </row>
    <row r="61" spans="1:36" ht="18" customHeight="1">
      <c r="A61" s="92" t="s">
        <v>58</v>
      </c>
      <c r="B61" s="92" t="s">
        <v>74</v>
      </c>
      <c r="C61" s="166"/>
      <c r="D61" s="167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J61" s="189"/>
    </row>
    <row r="62" spans="1:36" ht="18" customHeight="1">
      <c r="A62" s="92" t="s">
        <v>58</v>
      </c>
      <c r="B62" s="92" t="s">
        <v>30</v>
      </c>
      <c r="C62" s="166"/>
      <c r="D62" s="167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J62" s="189"/>
    </row>
    <row r="63" spans="1:36" ht="18" customHeight="1">
      <c r="A63" s="92" t="s">
        <v>58</v>
      </c>
      <c r="B63" s="92" t="s">
        <v>31</v>
      </c>
      <c r="C63" s="166"/>
      <c r="D63" s="167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J63" s="189"/>
    </row>
    <row r="64" spans="1:36" ht="18" customHeight="1">
      <c r="A64" s="92" t="s">
        <v>58</v>
      </c>
      <c r="B64" s="92" t="s">
        <v>73</v>
      </c>
      <c r="C64" s="166"/>
      <c r="D64" s="167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J64" s="189"/>
    </row>
    <row r="65" spans="1:36" ht="18" customHeight="1">
      <c r="A65" s="92" t="s">
        <v>58</v>
      </c>
      <c r="B65" s="92" t="s">
        <v>198</v>
      </c>
      <c r="C65" s="166"/>
      <c r="D65" s="167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J65" s="189"/>
    </row>
    <row r="66" spans="1:36" ht="18" customHeight="1">
      <c r="A66" s="92" t="s">
        <v>58</v>
      </c>
      <c r="B66" s="92" t="s">
        <v>67</v>
      </c>
      <c r="C66" s="166"/>
      <c r="D66" s="167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J66" s="189"/>
    </row>
    <row r="67" spans="1:36" ht="18" customHeight="1">
      <c r="A67" s="92" t="s">
        <v>58</v>
      </c>
      <c r="B67" s="92" t="s">
        <v>75</v>
      </c>
      <c r="C67" s="166"/>
      <c r="D67" s="167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J67" s="189"/>
    </row>
    <row r="68" spans="1:36" ht="18" customHeight="1">
      <c r="A68" s="92" t="s">
        <v>58</v>
      </c>
      <c r="B68" s="92" t="s">
        <v>76</v>
      </c>
      <c r="C68" s="166"/>
      <c r="D68" s="167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J68" s="189"/>
    </row>
    <row r="69" spans="1:36" ht="18" customHeight="1">
      <c r="A69" s="92" t="s">
        <v>58</v>
      </c>
      <c r="B69" s="92" t="s">
        <v>77</v>
      </c>
      <c r="C69" s="166"/>
      <c r="D69" s="167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J69" s="189"/>
    </row>
    <row r="70" spans="1:36" ht="18" customHeight="1">
      <c r="A70" s="92" t="s">
        <v>58</v>
      </c>
      <c r="B70" s="92" t="s">
        <v>78</v>
      </c>
      <c r="C70" s="166"/>
      <c r="D70" s="167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J70" s="189"/>
    </row>
    <row r="71" spans="1:36" ht="18" customHeight="1">
      <c r="A71" s="92" t="s">
        <v>58</v>
      </c>
      <c r="B71" s="92" t="s">
        <v>79</v>
      </c>
      <c r="C71" s="166"/>
      <c r="D71" s="167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J71" s="189"/>
    </row>
    <row r="72" spans="1:36" ht="18" customHeight="1">
      <c r="A72" s="92" t="s">
        <v>58</v>
      </c>
      <c r="B72" s="92" t="s">
        <v>80</v>
      </c>
      <c r="C72" s="166"/>
      <c r="D72" s="167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J72" s="189"/>
    </row>
    <row r="73" spans="1:36" ht="18" customHeight="1">
      <c r="A73" s="92" t="s">
        <v>58</v>
      </c>
      <c r="B73" s="92" t="s">
        <v>81</v>
      </c>
      <c r="C73" s="166"/>
      <c r="D73" s="167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J73" s="189"/>
    </row>
    <row r="74" spans="1:36" ht="18" customHeight="1">
      <c r="A74" s="92" t="s">
        <v>58</v>
      </c>
      <c r="B74" s="92" t="s">
        <v>82</v>
      </c>
      <c r="C74" s="166"/>
      <c r="D74" s="167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J74" s="189"/>
    </row>
    <row r="75" spans="1:36" ht="18" customHeight="1">
      <c r="A75" s="92" t="s">
        <v>58</v>
      </c>
      <c r="B75" s="92" t="s">
        <v>83</v>
      </c>
      <c r="C75" s="166"/>
      <c r="D75" s="167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J75" s="189"/>
    </row>
    <row r="76" spans="1:36" ht="18" customHeight="1">
      <c r="A76" s="92" t="s">
        <v>58</v>
      </c>
      <c r="B76" s="92" t="s">
        <v>84</v>
      </c>
      <c r="C76" s="166"/>
      <c r="D76" s="167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J76" s="189"/>
    </row>
    <row r="77" spans="1:36" ht="18" customHeight="1">
      <c r="A77" s="92" t="s">
        <v>58</v>
      </c>
      <c r="B77" s="92" t="s">
        <v>86</v>
      </c>
      <c r="C77" s="166"/>
      <c r="D77" s="167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J77" s="189"/>
    </row>
    <row r="78" spans="1:36" ht="18" customHeight="1">
      <c r="A78" s="92" t="s">
        <v>58</v>
      </c>
      <c r="B78" s="92" t="s">
        <v>32</v>
      </c>
      <c r="C78" s="166"/>
      <c r="D78" s="167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J78" s="189"/>
    </row>
    <row r="79" spans="1:36" ht="18" customHeight="1">
      <c r="A79" s="92" t="s">
        <v>58</v>
      </c>
      <c r="B79" s="92" t="s">
        <v>179</v>
      </c>
      <c r="C79" s="166"/>
      <c r="D79" s="167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J79" s="189"/>
    </row>
    <row r="80" spans="1:36" ht="18" customHeight="1">
      <c r="A80" s="92" t="s">
        <v>58</v>
      </c>
      <c r="B80" s="92" t="s">
        <v>85</v>
      </c>
      <c r="C80" s="166"/>
      <c r="D80" s="167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J80" s="189"/>
    </row>
    <row r="81" spans="1:36" ht="18" customHeight="1">
      <c r="A81" s="92" t="s">
        <v>58</v>
      </c>
      <c r="B81" s="92" t="s">
        <v>33</v>
      </c>
      <c r="C81" s="166"/>
      <c r="D81" s="167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J81" s="189"/>
    </row>
    <row r="82" spans="1:36" ht="18" customHeight="1">
      <c r="A82" s="92" t="s">
        <v>58</v>
      </c>
      <c r="B82" s="92" t="s">
        <v>34</v>
      </c>
      <c r="C82" s="166"/>
      <c r="D82" s="167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J82" s="176"/>
    </row>
    <row r="83" spans="1:36" ht="18" customHeight="1">
      <c r="A83" s="92" t="s">
        <v>58</v>
      </c>
      <c r="B83" s="92" t="s">
        <v>88</v>
      </c>
      <c r="C83" s="166"/>
      <c r="D83" s="167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J83" s="176"/>
    </row>
    <row r="84" spans="1:36" ht="18" customHeight="1">
      <c r="A84" s="92" t="s">
        <v>58</v>
      </c>
      <c r="B84" s="92" t="s">
        <v>35</v>
      </c>
      <c r="C84" s="166"/>
      <c r="D84" s="167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J84" s="176"/>
    </row>
    <row r="85" spans="1:36" ht="18" customHeight="1">
      <c r="A85" s="92" t="s">
        <v>58</v>
      </c>
      <c r="B85" s="92" t="s">
        <v>36</v>
      </c>
      <c r="C85" s="166"/>
      <c r="D85" s="167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J85" s="176"/>
    </row>
    <row r="86" spans="1:36" ht="18" customHeight="1">
      <c r="A86" s="92" t="s">
        <v>174</v>
      </c>
      <c r="B86" s="92" t="s">
        <v>37</v>
      </c>
      <c r="C86" s="166"/>
      <c r="D86" s="167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J86" s="176"/>
    </row>
    <row r="87" spans="1:36" ht="18" customHeight="1">
      <c r="A87" s="92" t="s">
        <v>58</v>
      </c>
      <c r="B87" s="92" t="s">
        <v>87</v>
      </c>
      <c r="C87" s="166"/>
      <c r="D87" s="167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J87" s="176"/>
    </row>
    <row r="88" spans="1:36" ht="18" customHeight="1">
      <c r="A88" s="92" t="s">
        <v>58</v>
      </c>
      <c r="B88" s="92" t="s">
        <v>38</v>
      </c>
      <c r="C88" s="166"/>
      <c r="D88" s="167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J88" s="176"/>
    </row>
    <row r="89" spans="1:36" ht="18" customHeight="1">
      <c r="A89" s="92" t="s">
        <v>58</v>
      </c>
      <c r="B89" s="92" t="s">
        <v>39</v>
      </c>
      <c r="C89" s="166"/>
      <c r="D89" s="167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J89" s="176"/>
    </row>
    <row r="90" spans="1:36" ht="18" customHeight="1">
      <c r="A90" s="92" t="s">
        <v>58</v>
      </c>
      <c r="B90" s="92" t="s">
        <v>223</v>
      </c>
      <c r="C90" s="166"/>
      <c r="D90" s="167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90"/>
      <c r="W90" s="191"/>
      <c r="X90" s="190"/>
      <c r="Y90" s="191"/>
      <c r="Z90" s="190"/>
      <c r="AA90" s="166"/>
      <c r="AB90" s="166"/>
      <c r="AC90" s="166"/>
      <c r="AD90" s="166"/>
      <c r="AE90" s="166"/>
      <c r="AF90" s="166"/>
      <c r="AJ90" s="176"/>
    </row>
    <row r="91" spans="1:36" ht="18" customHeight="1">
      <c r="A91" s="92" t="s">
        <v>58</v>
      </c>
      <c r="B91" s="92" t="s">
        <v>40</v>
      </c>
      <c r="C91" s="166"/>
      <c r="D91" s="167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J91" s="176"/>
    </row>
    <row r="92" spans="1:36" ht="18" customHeight="1">
      <c r="A92" s="180" t="s">
        <v>58</v>
      </c>
      <c r="B92" s="180" t="s">
        <v>151</v>
      </c>
      <c r="C92" s="180"/>
      <c r="D92" s="181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J92" s="184"/>
    </row>
    <row r="93" spans="1:36" ht="18" customHeight="1">
      <c r="A93" s="180" t="s">
        <v>58</v>
      </c>
      <c r="B93" s="180" t="s">
        <v>152</v>
      </c>
      <c r="C93" s="180"/>
      <c r="D93" s="181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J93" s="183"/>
    </row>
    <row r="94" spans="1:36" ht="18" customHeight="1">
      <c r="A94" s="180" t="s">
        <v>58</v>
      </c>
      <c r="B94" s="180" t="s">
        <v>153</v>
      </c>
      <c r="C94" s="180"/>
      <c r="D94" s="181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J94" s="183"/>
    </row>
    <row r="95" spans="1:36" ht="18" customHeight="1">
      <c r="A95" s="180" t="s">
        <v>174</v>
      </c>
      <c r="B95" s="180" t="s">
        <v>96</v>
      </c>
      <c r="C95" s="180"/>
      <c r="D95" s="181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J95" s="183"/>
    </row>
    <row r="96" spans="1:36" ht="18" customHeight="1">
      <c r="A96" s="180" t="s">
        <v>58</v>
      </c>
      <c r="B96" s="180" t="s">
        <v>154</v>
      </c>
      <c r="C96" s="180"/>
      <c r="D96" s="181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J96" s="183"/>
    </row>
    <row r="97" spans="1:36" ht="18" customHeight="1">
      <c r="A97" s="180" t="s">
        <v>58</v>
      </c>
      <c r="B97" s="180" t="s">
        <v>155</v>
      </c>
      <c r="C97" s="180"/>
      <c r="D97" s="181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J97" s="183"/>
    </row>
    <row r="98" spans="1:36" ht="18" customHeight="1">
      <c r="A98" s="180" t="s">
        <v>58</v>
      </c>
      <c r="B98" s="180" t="s">
        <v>156</v>
      </c>
      <c r="C98" s="180"/>
      <c r="D98" s="181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J98" s="183"/>
    </row>
    <row r="99" spans="1:36" ht="18" customHeight="1">
      <c r="A99" s="180" t="s">
        <v>58</v>
      </c>
      <c r="B99" s="180" t="s">
        <v>157</v>
      </c>
      <c r="C99" s="180"/>
      <c r="D99" s="181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J99" s="183"/>
    </row>
    <row r="100" spans="1:36" ht="18" customHeight="1">
      <c r="A100" s="180" t="s">
        <v>58</v>
      </c>
      <c r="B100" s="180" t="s">
        <v>158</v>
      </c>
      <c r="C100" s="180"/>
      <c r="D100" s="181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J100" s="183"/>
    </row>
    <row r="101" spans="1:36" ht="18" customHeight="1">
      <c r="A101" s="180" t="s">
        <v>58</v>
      </c>
      <c r="B101" s="180" t="s">
        <v>159</v>
      </c>
      <c r="C101" s="180"/>
      <c r="D101" s="181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J101" s="183"/>
    </row>
    <row r="102" spans="1:36" ht="18" customHeight="1">
      <c r="A102" s="180" t="s">
        <v>58</v>
      </c>
      <c r="B102" s="180" t="s">
        <v>160</v>
      </c>
      <c r="C102" s="180"/>
      <c r="D102" s="181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J102" s="183"/>
    </row>
    <row r="103" spans="1:36" ht="18" customHeight="1">
      <c r="A103" s="180" t="s">
        <v>58</v>
      </c>
      <c r="B103" s="180" t="s">
        <v>101</v>
      </c>
      <c r="C103" s="180"/>
      <c r="D103" s="181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J103" s="183"/>
    </row>
    <row r="104" spans="1:36" ht="18" customHeight="1">
      <c r="A104" s="180" t="s">
        <v>58</v>
      </c>
      <c r="B104" s="180" t="s">
        <v>161</v>
      </c>
      <c r="C104" s="180"/>
      <c r="D104" s="181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J104" s="183"/>
    </row>
    <row r="105" spans="1:36" ht="18" customHeight="1">
      <c r="A105" s="180" t="s">
        <v>58</v>
      </c>
      <c r="B105" s="180" t="s">
        <v>162</v>
      </c>
      <c r="C105" s="180"/>
      <c r="D105" s="181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J105" s="183"/>
    </row>
    <row r="106" spans="1:36" ht="18" customHeight="1">
      <c r="A106" s="180" t="s">
        <v>58</v>
      </c>
      <c r="B106" s="180" t="s">
        <v>100</v>
      </c>
      <c r="C106" s="180"/>
      <c r="D106" s="181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J106" s="183"/>
    </row>
    <row r="107" spans="1:36" ht="18" customHeight="1">
      <c r="A107" s="180" t="s">
        <v>58</v>
      </c>
      <c r="B107" s="180" t="s">
        <v>163</v>
      </c>
      <c r="C107" s="180"/>
      <c r="D107" s="181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J107" s="183"/>
    </row>
    <row r="108" spans="1:36" ht="18" customHeight="1">
      <c r="A108" s="180" t="s">
        <v>58</v>
      </c>
      <c r="B108" s="180" t="s">
        <v>164</v>
      </c>
      <c r="C108" s="180"/>
      <c r="D108" s="181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J108" s="183"/>
    </row>
    <row r="109" spans="1:36" ht="18" customHeight="1">
      <c r="A109" s="180" t="s">
        <v>58</v>
      </c>
      <c r="B109" s="180" t="s">
        <v>102</v>
      </c>
      <c r="C109" s="180"/>
      <c r="D109" s="181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J109" s="183"/>
    </row>
    <row r="110" spans="1:36" ht="18" customHeight="1">
      <c r="A110" s="180" t="s">
        <v>58</v>
      </c>
      <c r="B110" s="180" t="s">
        <v>165</v>
      </c>
      <c r="C110" s="180"/>
      <c r="D110" s="181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J110" s="183"/>
    </row>
    <row r="111" spans="1:36" ht="18" customHeight="1">
      <c r="A111" s="180" t="s">
        <v>58</v>
      </c>
      <c r="B111" s="180" t="s">
        <v>166</v>
      </c>
      <c r="C111" s="180"/>
      <c r="D111" s="181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J111" s="183"/>
    </row>
    <row r="112" spans="1:36" ht="18" customHeight="1">
      <c r="A112" s="180" t="s">
        <v>174</v>
      </c>
      <c r="B112" s="180" t="s">
        <v>97</v>
      </c>
      <c r="C112" s="180"/>
      <c r="D112" s="181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J112" s="183"/>
    </row>
    <row r="113" spans="1:36" ht="18" customHeight="1">
      <c r="A113" s="180" t="s">
        <v>58</v>
      </c>
      <c r="B113" s="180" t="s">
        <v>98</v>
      </c>
      <c r="C113" s="180"/>
      <c r="D113" s="181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J113" s="183"/>
    </row>
    <row r="114" spans="1:36" ht="18" customHeight="1">
      <c r="A114" s="180" t="s">
        <v>174</v>
      </c>
      <c r="B114" s="180" t="s">
        <v>99</v>
      </c>
      <c r="C114" s="180"/>
      <c r="D114" s="181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J114" s="183"/>
    </row>
    <row r="115" spans="1:36" ht="18" customHeight="1">
      <c r="A115" s="185" t="s">
        <v>58</v>
      </c>
      <c r="B115" s="185" t="s">
        <v>124</v>
      </c>
      <c r="C115" s="185"/>
      <c r="D115" s="186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  <c r="AF115" s="185"/>
      <c r="AJ115" s="188"/>
    </row>
    <row r="116" spans="1:36" ht="18" customHeight="1">
      <c r="A116" s="185" t="s">
        <v>58</v>
      </c>
      <c r="B116" s="185" t="s">
        <v>125</v>
      </c>
      <c r="C116" s="185"/>
      <c r="D116" s="186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J116" s="188"/>
    </row>
    <row r="117" spans="1:36" ht="18" customHeight="1">
      <c r="A117" s="185" t="s">
        <v>58</v>
      </c>
      <c r="B117" s="185" t="s">
        <v>126</v>
      </c>
      <c r="C117" s="185"/>
      <c r="D117" s="186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  <c r="AF117" s="185"/>
      <c r="AJ117" s="188"/>
    </row>
    <row r="118" spans="1:36" ht="18" customHeight="1">
      <c r="A118" s="185" t="s">
        <v>58</v>
      </c>
      <c r="B118" s="185" t="s">
        <v>127</v>
      </c>
      <c r="C118" s="185"/>
      <c r="D118" s="186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J118" s="188"/>
    </row>
    <row r="119" spans="1:36" ht="18" customHeight="1">
      <c r="A119" s="185" t="s">
        <v>58</v>
      </c>
      <c r="B119" s="185" t="s">
        <v>128</v>
      </c>
      <c r="C119" s="185"/>
      <c r="D119" s="186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J119" s="188"/>
    </row>
    <row r="120" spans="1:36" ht="18" customHeight="1">
      <c r="A120" s="185" t="s">
        <v>58</v>
      </c>
      <c r="B120" s="185" t="s">
        <v>129</v>
      </c>
      <c r="C120" s="185"/>
      <c r="D120" s="186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J120" s="188"/>
    </row>
    <row r="121" spans="1:36" ht="18" customHeight="1">
      <c r="A121" s="185" t="s">
        <v>58</v>
      </c>
      <c r="B121" s="185" t="s">
        <v>130</v>
      </c>
      <c r="C121" s="185"/>
      <c r="D121" s="186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J121" s="188"/>
    </row>
    <row r="122" spans="1:36" ht="18" customHeight="1">
      <c r="A122" s="185" t="s">
        <v>58</v>
      </c>
      <c r="B122" s="185" t="s">
        <v>131</v>
      </c>
      <c r="C122" s="185"/>
      <c r="D122" s="186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J122" s="188"/>
    </row>
    <row r="123" spans="1:36" ht="18" customHeight="1">
      <c r="A123" s="185" t="s">
        <v>58</v>
      </c>
      <c r="B123" s="185" t="s">
        <v>132</v>
      </c>
      <c r="C123" s="185"/>
      <c r="D123" s="186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J123" s="188"/>
    </row>
    <row r="124" spans="1:36" ht="18" customHeight="1">
      <c r="A124" s="185" t="s">
        <v>58</v>
      </c>
      <c r="B124" s="185" t="s">
        <v>133</v>
      </c>
      <c r="C124" s="185"/>
      <c r="D124" s="186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J124" s="192"/>
    </row>
    <row r="125" spans="1:36" ht="18" customHeight="1">
      <c r="A125" s="185" t="s">
        <v>58</v>
      </c>
      <c r="B125" s="185" t="s">
        <v>134</v>
      </c>
      <c r="C125" s="185"/>
      <c r="D125" s="186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  <c r="AF125" s="185"/>
      <c r="AJ125" s="192"/>
    </row>
    <row r="126" spans="1:36" ht="18" customHeight="1">
      <c r="A126" s="185" t="s">
        <v>58</v>
      </c>
      <c r="B126" s="185" t="s">
        <v>135</v>
      </c>
      <c r="C126" s="185"/>
      <c r="D126" s="186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185"/>
      <c r="AF126" s="185"/>
      <c r="AJ126" s="192"/>
    </row>
    <row r="127" spans="1:36" ht="18" customHeight="1">
      <c r="A127" s="185" t="s">
        <v>58</v>
      </c>
      <c r="B127" s="185" t="s">
        <v>136</v>
      </c>
      <c r="C127" s="185"/>
      <c r="D127" s="186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5"/>
      <c r="AJ127" s="192"/>
    </row>
    <row r="128" spans="1:36" ht="18" customHeight="1">
      <c r="A128" s="185" t="s">
        <v>58</v>
      </c>
      <c r="B128" s="185" t="s">
        <v>137</v>
      </c>
      <c r="C128" s="185"/>
      <c r="D128" s="186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  <c r="AF128" s="185"/>
      <c r="AJ128" s="192"/>
    </row>
    <row r="129" spans="1:36" ht="18" customHeight="1">
      <c r="A129" s="185" t="s">
        <v>58</v>
      </c>
      <c r="B129" s="185" t="s">
        <v>138</v>
      </c>
      <c r="C129" s="185"/>
      <c r="D129" s="186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J129" s="192"/>
    </row>
    <row r="130" spans="1:36" ht="18" customHeight="1">
      <c r="A130" s="185" t="s">
        <v>58</v>
      </c>
      <c r="B130" s="193" t="s">
        <v>139</v>
      </c>
      <c r="C130" s="185"/>
      <c r="D130" s="186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J130" s="192"/>
    </row>
    <row r="131" spans="1:36" ht="18" customHeight="1">
      <c r="A131" s="185" t="s">
        <v>58</v>
      </c>
      <c r="B131" s="193" t="s">
        <v>140</v>
      </c>
      <c r="C131" s="185"/>
      <c r="D131" s="186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J131" s="192"/>
    </row>
    <row r="132" spans="1:36" ht="18" customHeight="1">
      <c r="A132" s="185" t="s">
        <v>58</v>
      </c>
      <c r="B132" s="193" t="s">
        <v>106</v>
      </c>
      <c r="C132" s="185"/>
      <c r="D132" s="186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J132" s="192"/>
    </row>
    <row r="133" spans="1:36" ht="18" customHeight="1">
      <c r="A133" s="185" t="s">
        <v>58</v>
      </c>
      <c r="B133" s="185" t="s">
        <v>141</v>
      </c>
      <c r="C133" s="185"/>
      <c r="D133" s="186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J133" s="192"/>
    </row>
    <row r="134" spans="1:36" ht="18" customHeight="1">
      <c r="A134" s="185" t="s">
        <v>58</v>
      </c>
      <c r="B134" s="185" t="s">
        <v>142</v>
      </c>
      <c r="C134" s="185"/>
      <c r="D134" s="186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J134" s="192"/>
    </row>
    <row r="135" spans="1:36" ht="18" customHeight="1">
      <c r="A135" s="185" t="s">
        <v>58</v>
      </c>
      <c r="B135" s="185" t="s">
        <v>143</v>
      </c>
      <c r="C135" s="185"/>
      <c r="D135" s="186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J135" s="192"/>
    </row>
    <row r="136" spans="1:36" ht="18" customHeight="1">
      <c r="A136" s="185" t="s">
        <v>58</v>
      </c>
      <c r="B136" s="185" t="s">
        <v>144</v>
      </c>
      <c r="C136" s="185"/>
      <c r="D136" s="186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  <c r="AF136" s="185"/>
      <c r="AJ136" s="192"/>
    </row>
    <row r="137" spans="1:36" ht="18" customHeight="1">
      <c r="A137" s="185" t="s">
        <v>58</v>
      </c>
      <c r="B137" s="185" t="s">
        <v>145</v>
      </c>
      <c r="C137" s="185"/>
      <c r="D137" s="186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J137" s="192"/>
    </row>
    <row r="138" spans="1:36" ht="18" customHeight="1">
      <c r="A138" s="166" t="s">
        <v>58</v>
      </c>
      <c r="B138" s="166" t="s">
        <v>41</v>
      </c>
      <c r="C138" s="166"/>
      <c r="D138" s="167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J138" s="194"/>
    </row>
    <row r="139" spans="1:36" ht="18" customHeight="1">
      <c r="A139" s="166" t="s">
        <v>58</v>
      </c>
      <c r="B139" s="166" t="s">
        <v>42</v>
      </c>
      <c r="C139" s="166"/>
      <c r="D139" s="167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J139" s="194"/>
    </row>
    <row r="140" spans="1:36" ht="18" customHeight="1">
      <c r="A140" s="166"/>
      <c r="B140" s="166" t="s">
        <v>43</v>
      </c>
      <c r="C140" s="166"/>
      <c r="D140" s="167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J140" s="194"/>
    </row>
    <row r="141" spans="1:36" ht="18" customHeight="1">
      <c r="A141" s="166" t="s">
        <v>174</v>
      </c>
      <c r="B141" s="166" t="s">
        <v>229</v>
      </c>
      <c r="C141" s="166"/>
      <c r="D141" s="167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J141" s="194"/>
    </row>
    <row r="142" spans="1:36" ht="18" customHeight="1">
      <c r="A142" s="166" t="s">
        <v>174</v>
      </c>
      <c r="B142" s="166" t="s">
        <v>231</v>
      </c>
      <c r="C142" s="166"/>
      <c r="D142" s="167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J142" s="194"/>
    </row>
    <row r="143" spans="1:36" ht="18" customHeight="1">
      <c r="A143" s="166"/>
      <c r="B143" s="166" t="s">
        <v>221</v>
      </c>
      <c r="C143" s="166"/>
      <c r="D143" s="167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J143" s="194"/>
    </row>
    <row r="144" spans="1:36" ht="18" customHeight="1">
      <c r="A144" s="166"/>
      <c r="B144" s="166" t="s">
        <v>108</v>
      </c>
      <c r="C144" s="166"/>
      <c r="D144" s="167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J144" s="194"/>
    </row>
    <row r="145" spans="1:36" ht="18" customHeight="1">
      <c r="A145" s="166"/>
      <c r="B145" s="166" t="s">
        <v>109</v>
      </c>
      <c r="C145" s="166"/>
      <c r="D145" s="167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J145" s="194"/>
    </row>
    <row r="146" spans="1:36" ht="18" customHeight="1">
      <c r="A146" s="166"/>
      <c r="B146" s="166" t="s">
        <v>46</v>
      </c>
      <c r="C146" s="166"/>
      <c r="D146" s="167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J146" s="194"/>
    </row>
    <row r="147" spans="1:36" ht="18" customHeight="1">
      <c r="A147" s="166" t="s">
        <v>174</v>
      </c>
      <c r="B147" s="166" t="s">
        <v>110</v>
      </c>
      <c r="C147" s="166"/>
      <c r="D147" s="167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J147" s="194"/>
    </row>
    <row r="148" spans="1:36" ht="18" customHeight="1">
      <c r="A148" s="166"/>
      <c r="B148" s="166" t="s">
        <v>45</v>
      </c>
      <c r="C148" s="166"/>
      <c r="D148" s="167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J148" s="194"/>
    </row>
  </sheetData>
  <mergeCells count="2">
    <mergeCell ref="AJ1:AJ2"/>
    <mergeCell ref="A1:B1"/>
  </mergeCells>
  <phoneticPr fontId="12" type="noConversion"/>
  <conditionalFormatting sqref="B2:B4 B7:B9 B11 B13:B148">
    <cfRule type="expression" dxfId="5" priority="1">
      <formula>COUNTIF($B:$B,$B2)&gt;1</formula>
    </cfRule>
  </conditionalFormatting>
  <dataValidations count="1">
    <dataValidation type="list" allowBlank="1" showDropDown="1" showErrorMessage="1" sqref="C1:AF1" xr:uid="{00000000-0002-0000-1D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EA9999"/>
    <outlinePr summaryBelow="0" summaryRight="0"/>
    <pageSetUpPr fitToPage="1"/>
  </sheetPr>
  <dimension ref="A1:AJ148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90" t="s">
        <v>0</v>
      </c>
      <c r="B1" s="291"/>
      <c r="C1" s="53"/>
      <c r="D1" s="168"/>
      <c r="E1" s="168"/>
      <c r="F1" s="53"/>
      <c r="G1" s="168"/>
      <c r="H1" s="53"/>
      <c r="I1" s="168"/>
      <c r="J1" s="168"/>
      <c r="K1" s="168"/>
      <c r="L1" s="168"/>
      <c r="M1" s="53"/>
      <c r="N1" s="168"/>
      <c r="O1" s="53"/>
      <c r="P1" s="168"/>
      <c r="Q1" s="168"/>
      <c r="R1" s="168"/>
      <c r="S1" s="168"/>
      <c r="T1" s="53"/>
      <c r="U1" s="168"/>
      <c r="V1" s="53"/>
      <c r="W1" s="168"/>
      <c r="X1" s="168"/>
      <c r="Y1" s="168"/>
      <c r="Z1" s="168"/>
      <c r="AA1" s="53"/>
      <c r="AB1" s="168"/>
      <c r="AC1" s="168"/>
      <c r="AD1" s="168"/>
      <c r="AE1" s="168"/>
      <c r="AF1" s="168"/>
      <c r="AG1" s="292" t="s">
        <v>6</v>
      </c>
      <c r="AH1" s="284" t="s">
        <v>7</v>
      </c>
      <c r="AI1" s="284" t="s">
        <v>172</v>
      </c>
      <c r="AJ1" s="289" t="s">
        <v>1</v>
      </c>
    </row>
    <row r="2" spans="1:36" ht="18" customHeight="1">
      <c r="A2" s="53" t="s">
        <v>2</v>
      </c>
      <c r="B2" s="53" t="s">
        <v>3</v>
      </c>
      <c r="C2" s="169">
        <v>45901</v>
      </c>
      <c r="D2" s="169">
        <v>45902</v>
      </c>
      <c r="E2" s="169">
        <v>45903</v>
      </c>
      <c r="F2" s="169">
        <v>45904</v>
      </c>
      <c r="G2" s="169">
        <v>45905</v>
      </c>
      <c r="H2" s="169">
        <v>45906</v>
      </c>
      <c r="I2" s="169">
        <v>45907</v>
      </c>
      <c r="J2" s="169">
        <v>45908</v>
      </c>
      <c r="K2" s="169">
        <v>45909</v>
      </c>
      <c r="L2" s="169">
        <v>45910</v>
      </c>
      <c r="M2" s="169">
        <v>45911</v>
      </c>
      <c r="N2" s="169">
        <v>45912</v>
      </c>
      <c r="O2" s="169">
        <v>45913</v>
      </c>
      <c r="P2" s="169">
        <v>45914</v>
      </c>
      <c r="Q2" s="169">
        <v>45915</v>
      </c>
      <c r="R2" s="169">
        <v>45916</v>
      </c>
      <c r="S2" s="169">
        <v>45917</v>
      </c>
      <c r="T2" s="169">
        <v>45918</v>
      </c>
      <c r="U2" s="169">
        <v>45919</v>
      </c>
      <c r="V2" s="169">
        <v>45920</v>
      </c>
      <c r="W2" s="169">
        <v>45921</v>
      </c>
      <c r="X2" s="169">
        <v>45922</v>
      </c>
      <c r="Y2" s="169">
        <v>45923</v>
      </c>
      <c r="Z2" s="169">
        <v>45924</v>
      </c>
      <c r="AA2" s="169">
        <v>45925</v>
      </c>
      <c r="AB2" s="169">
        <v>45926</v>
      </c>
      <c r="AC2" s="169">
        <v>45927</v>
      </c>
      <c r="AD2" s="169">
        <v>45928</v>
      </c>
      <c r="AE2" s="169">
        <v>45929</v>
      </c>
      <c r="AF2" s="169">
        <v>45930</v>
      </c>
      <c r="AG2" s="277"/>
      <c r="AH2" s="277"/>
      <c r="AI2" s="277"/>
      <c r="AJ2" s="278"/>
    </row>
    <row r="3" spans="1:36" ht="18" customHeight="1">
      <c r="A3" s="53" t="s">
        <v>4</v>
      </c>
      <c r="B3" s="53" t="s">
        <v>5</v>
      </c>
      <c r="C3" s="53">
        <f t="shared" ref="C3:AF3" si="0">WEEKDAY(C2-1)</f>
        <v>1</v>
      </c>
      <c r="D3" s="170">
        <f t="shared" si="0"/>
        <v>2</v>
      </c>
      <c r="E3" s="168">
        <f t="shared" si="0"/>
        <v>3</v>
      </c>
      <c r="F3" s="53">
        <f t="shared" si="0"/>
        <v>4</v>
      </c>
      <c r="G3" s="168">
        <f t="shared" si="0"/>
        <v>5</v>
      </c>
      <c r="H3" s="53">
        <f t="shared" si="0"/>
        <v>6</v>
      </c>
      <c r="I3" s="168">
        <f t="shared" si="0"/>
        <v>7</v>
      </c>
      <c r="J3" s="168">
        <f t="shared" si="0"/>
        <v>1</v>
      </c>
      <c r="K3" s="168">
        <f t="shared" si="0"/>
        <v>2</v>
      </c>
      <c r="L3" s="168">
        <f t="shared" si="0"/>
        <v>3</v>
      </c>
      <c r="M3" s="53">
        <f t="shared" si="0"/>
        <v>4</v>
      </c>
      <c r="N3" s="168">
        <f t="shared" si="0"/>
        <v>5</v>
      </c>
      <c r="O3" s="53">
        <f t="shared" si="0"/>
        <v>6</v>
      </c>
      <c r="P3" s="168">
        <f t="shared" si="0"/>
        <v>7</v>
      </c>
      <c r="Q3" s="168">
        <f t="shared" si="0"/>
        <v>1</v>
      </c>
      <c r="R3" s="168">
        <f t="shared" si="0"/>
        <v>2</v>
      </c>
      <c r="S3" s="168">
        <f t="shared" si="0"/>
        <v>3</v>
      </c>
      <c r="T3" s="53">
        <f t="shared" si="0"/>
        <v>4</v>
      </c>
      <c r="U3" s="168">
        <f t="shared" si="0"/>
        <v>5</v>
      </c>
      <c r="V3" s="53">
        <f t="shared" si="0"/>
        <v>6</v>
      </c>
      <c r="W3" s="168">
        <f t="shared" si="0"/>
        <v>7</v>
      </c>
      <c r="X3" s="168">
        <f t="shared" si="0"/>
        <v>1</v>
      </c>
      <c r="Y3" s="168">
        <f t="shared" si="0"/>
        <v>2</v>
      </c>
      <c r="Z3" s="168">
        <f t="shared" si="0"/>
        <v>3</v>
      </c>
      <c r="AA3" s="53">
        <f t="shared" si="0"/>
        <v>4</v>
      </c>
      <c r="AB3" s="168">
        <f t="shared" si="0"/>
        <v>5</v>
      </c>
      <c r="AC3" s="168">
        <f t="shared" si="0"/>
        <v>6</v>
      </c>
      <c r="AD3" s="168">
        <f t="shared" si="0"/>
        <v>7</v>
      </c>
      <c r="AE3" s="168">
        <f t="shared" si="0"/>
        <v>1</v>
      </c>
      <c r="AF3" s="168">
        <f t="shared" si="0"/>
        <v>2</v>
      </c>
      <c r="AG3" s="278"/>
      <c r="AH3" s="278"/>
      <c r="AI3" s="278"/>
      <c r="AJ3" s="171" t="e">
        <f ca="1">SUM(AH4:AH149)</f>
        <v>#NAME?</v>
      </c>
    </row>
    <row r="4" spans="1:36" ht="18" customHeight="1">
      <c r="A4" s="92" t="s">
        <v>168</v>
      </c>
      <c r="B4" s="92" t="s">
        <v>10</v>
      </c>
      <c r="C4" s="149"/>
      <c r="D4" s="172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73">
        <v>7</v>
      </c>
      <c r="AH4" s="174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175" t="str">
        <f t="shared" ref="AI4:AI35" si="1">B4</f>
        <v>阿發</v>
      </c>
      <c r="AJ4" s="176"/>
    </row>
    <row r="5" spans="1:36" ht="18" customHeight="1">
      <c r="A5" s="92" t="s">
        <v>174</v>
      </c>
      <c r="B5" s="177" t="s">
        <v>11</v>
      </c>
      <c r="C5" s="149"/>
      <c r="D5" s="172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73">
        <v>12</v>
      </c>
      <c r="AH5" s="174" t="e">
        <f ca="1">IF(A5="O", (VALUE(_xludf.IFS(AG5=0,"0",AG5=1,"150",AG5=2,"300",AG5=3,"450",AG5=4,"600",AG5=5,"750",AG5&gt;=6,"800"))),(VALUE(_xludf.IFS(AG5=0,"0",AG5=1,"150",AG5=2,"300",AG5=3,"450",AG5=4,"600",AG5=5,"750",AG5=6,"900",AG5&gt;=7,"1,000"))))</f>
        <v>#NAME?</v>
      </c>
      <c r="AI5" s="175" t="str">
        <f t="shared" si="1"/>
        <v>捷升</v>
      </c>
      <c r="AJ5" s="176"/>
    </row>
    <row r="6" spans="1:36" ht="18" customHeight="1">
      <c r="A6" s="92" t="s">
        <v>174</v>
      </c>
      <c r="B6" s="177" t="s">
        <v>14</v>
      </c>
      <c r="C6" s="149"/>
      <c r="D6" s="172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73">
        <v>17</v>
      </c>
      <c r="AH6" s="174" t="e">
        <f ca="1">IF(A6="O", (VALUE(_xludf.IFS(AG6=0,"0",AG6=1,"150",AG6=2,"300",AG6=3,"450",AG6=4,"600",AG6=5,"750",AG6&gt;=6,"800"))),(VALUE(_xludf.IFS(AG6=0,"0",AG6=1,"150",AG6=2,"300",AG6=3,"450",AG6=4,"600",AG6=5,"750",AG6=6,"900",AG6&gt;=7,"1,000"))))</f>
        <v>#NAME?</v>
      </c>
      <c r="AI6" s="175" t="str">
        <f t="shared" si="1"/>
        <v>曉明</v>
      </c>
      <c r="AJ6" s="176"/>
    </row>
    <row r="7" spans="1:36" ht="18" customHeight="1">
      <c r="A7" s="92" t="s">
        <v>174</v>
      </c>
      <c r="B7" s="92" t="s">
        <v>15</v>
      </c>
      <c r="C7" s="149"/>
      <c r="D7" s="172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73">
        <v>12</v>
      </c>
      <c r="AH7" s="174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175" t="str">
        <f t="shared" si="1"/>
        <v>大支</v>
      </c>
      <c r="AJ7" s="176"/>
    </row>
    <row r="8" spans="1:36" ht="18" customHeight="1">
      <c r="A8" s="92" t="s">
        <v>174</v>
      </c>
      <c r="B8" s="92" t="s">
        <v>16</v>
      </c>
      <c r="C8" s="149"/>
      <c r="D8" s="172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73">
        <v>5</v>
      </c>
      <c r="AH8" s="174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175" t="str">
        <f t="shared" si="1"/>
        <v>弼善</v>
      </c>
      <c r="AJ8" s="176"/>
    </row>
    <row r="9" spans="1:36" ht="18" customHeight="1">
      <c r="A9" s="92" t="s">
        <v>174</v>
      </c>
      <c r="B9" s="92" t="s">
        <v>17</v>
      </c>
      <c r="C9" s="149"/>
      <c r="D9" s="172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73">
        <v>10</v>
      </c>
      <c r="AH9" s="174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175" t="str">
        <f t="shared" si="1"/>
        <v>光曜</v>
      </c>
      <c r="AJ9" s="176"/>
    </row>
    <row r="10" spans="1:36" ht="18" customHeight="1">
      <c r="A10" s="92" t="s">
        <v>174</v>
      </c>
      <c r="B10" s="177" t="s">
        <v>13</v>
      </c>
      <c r="C10" s="149"/>
      <c r="D10" s="172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73">
        <v>12</v>
      </c>
      <c r="AH10" s="174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</f>
        <v>#NAME?</v>
      </c>
      <c r="AI10" s="175" t="str">
        <f t="shared" si="1"/>
        <v>李洋</v>
      </c>
      <c r="AJ10" s="176"/>
    </row>
    <row r="11" spans="1:36" ht="18" customHeight="1">
      <c r="A11" s="92" t="s">
        <v>168</v>
      </c>
      <c r="B11" s="92" t="s">
        <v>18</v>
      </c>
      <c r="C11" s="149"/>
      <c r="D11" s="172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73">
        <v>12</v>
      </c>
      <c r="AH11" s="174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175" t="str">
        <f t="shared" si="1"/>
        <v>皓元</v>
      </c>
      <c r="AJ11" s="176"/>
    </row>
    <row r="12" spans="1:36" ht="18" customHeight="1">
      <c r="A12" s="92" t="s">
        <v>174</v>
      </c>
      <c r="B12" s="177" t="s">
        <v>19</v>
      </c>
      <c r="C12" s="149"/>
      <c r="D12" s="172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73">
        <v>0</v>
      </c>
      <c r="AH12" s="174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175" t="str">
        <f t="shared" si="1"/>
        <v>青蛙</v>
      </c>
      <c r="AJ12" s="176"/>
    </row>
    <row r="13" spans="1:36" ht="18" customHeight="1">
      <c r="A13" s="92" t="s">
        <v>168</v>
      </c>
      <c r="B13" s="92" t="s">
        <v>61</v>
      </c>
      <c r="C13" s="149"/>
      <c r="D13" s="172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73">
        <v>0</v>
      </c>
      <c r="AH13" s="174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175" t="str">
        <f t="shared" si="1"/>
        <v>韋融</v>
      </c>
      <c r="AJ13" s="176"/>
    </row>
    <row r="14" spans="1:36" ht="18" customHeight="1">
      <c r="A14" s="92" t="s">
        <v>174</v>
      </c>
      <c r="B14" s="92" t="s">
        <v>175</v>
      </c>
      <c r="C14" s="149"/>
      <c r="D14" s="172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73">
        <v>6</v>
      </c>
      <c r="AH14" s="174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175" t="str">
        <f t="shared" si="1"/>
        <v>咪咪</v>
      </c>
      <c r="AJ14" s="176"/>
    </row>
    <row r="15" spans="1:36" ht="18" customHeight="1">
      <c r="A15" s="92" t="s">
        <v>174</v>
      </c>
      <c r="B15" s="92" t="s">
        <v>20</v>
      </c>
      <c r="C15" s="149"/>
      <c r="D15" s="172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73">
        <v>17</v>
      </c>
      <c r="AH15" s="174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175" t="str">
        <f t="shared" si="1"/>
        <v>港弟</v>
      </c>
      <c r="AJ15" s="176"/>
    </row>
    <row r="16" spans="1:36" ht="18" customHeight="1">
      <c r="A16" s="92" t="s">
        <v>174</v>
      </c>
      <c r="B16" s="92" t="s">
        <v>21</v>
      </c>
      <c r="C16" s="149"/>
      <c r="D16" s="172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73">
        <v>1</v>
      </c>
      <c r="AH16" s="174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175" t="str">
        <f t="shared" si="1"/>
        <v>晧全</v>
      </c>
      <c r="AJ16" s="176"/>
    </row>
    <row r="17" spans="1:36" ht="18" customHeight="1">
      <c r="A17" s="92" t="s">
        <v>174</v>
      </c>
      <c r="B17" s="92" t="s">
        <v>22</v>
      </c>
      <c r="C17" s="149"/>
      <c r="D17" s="172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73">
        <v>9</v>
      </c>
      <c r="AH17" s="174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175" t="str">
        <f t="shared" si="1"/>
        <v>Mars</v>
      </c>
      <c r="AJ17" s="176"/>
    </row>
    <row r="18" spans="1:36" ht="18" customHeight="1">
      <c r="A18" s="180" t="s">
        <v>174</v>
      </c>
      <c r="B18" s="180" t="s">
        <v>89</v>
      </c>
      <c r="C18" s="180"/>
      <c r="D18" s="181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73">
        <v>7</v>
      </c>
      <c r="AH18" s="174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175" t="str">
        <f t="shared" si="1"/>
        <v>泡芙</v>
      </c>
      <c r="AJ18" s="182"/>
    </row>
    <row r="19" spans="1:36" ht="18" customHeight="1">
      <c r="A19" s="180" t="s">
        <v>174</v>
      </c>
      <c r="B19" s="180" t="s">
        <v>90</v>
      </c>
      <c r="C19" s="180"/>
      <c r="D19" s="181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73">
        <v>10</v>
      </c>
      <c r="AH19" s="174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175" t="str">
        <f t="shared" si="1"/>
        <v>蓓蓓</v>
      </c>
      <c r="AJ19" s="182"/>
    </row>
    <row r="20" spans="1:36" ht="18" customHeight="1">
      <c r="A20" s="180" t="s">
        <v>168</v>
      </c>
      <c r="B20" s="180" t="s">
        <v>91</v>
      </c>
      <c r="C20" s="180"/>
      <c r="D20" s="181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73">
        <v>0</v>
      </c>
      <c r="AH20" s="174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175" t="str">
        <f t="shared" si="1"/>
        <v>柔柔</v>
      </c>
      <c r="AJ20" s="182"/>
    </row>
    <row r="21" spans="1:36" ht="18" customHeight="1">
      <c r="A21" s="180" t="s">
        <v>174</v>
      </c>
      <c r="B21" s="180" t="s">
        <v>92</v>
      </c>
      <c r="C21" s="180"/>
      <c r="D21" s="181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73">
        <v>6</v>
      </c>
      <c r="AH21" s="174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175" t="str">
        <f t="shared" si="1"/>
        <v>婉晴</v>
      </c>
      <c r="AJ21" s="182"/>
    </row>
    <row r="22" spans="1:36" ht="18" customHeight="1">
      <c r="A22" s="180" t="s">
        <v>174</v>
      </c>
      <c r="B22" s="180" t="s">
        <v>93</v>
      </c>
      <c r="C22" s="180"/>
      <c r="D22" s="181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73">
        <v>6</v>
      </c>
      <c r="AH22" s="174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175" t="str">
        <f t="shared" si="1"/>
        <v>冠婷</v>
      </c>
      <c r="AJ22" s="183"/>
    </row>
    <row r="23" spans="1:36" ht="18" customHeight="1">
      <c r="A23" s="180" t="s">
        <v>174</v>
      </c>
      <c r="B23" s="180" t="s">
        <v>227</v>
      </c>
      <c r="C23" s="180"/>
      <c r="D23" s="181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73">
        <v>0</v>
      </c>
      <c r="AH23" s="174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175" t="str">
        <f t="shared" si="1"/>
        <v>晤悅</v>
      </c>
      <c r="AJ23" s="184"/>
    </row>
    <row r="24" spans="1:36" ht="18" customHeight="1">
      <c r="A24" s="180" t="s">
        <v>174</v>
      </c>
      <c r="B24" s="180" t="s">
        <v>150</v>
      </c>
      <c r="C24" s="180"/>
      <c r="D24" s="181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73">
        <v>3</v>
      </c>
      <c r="AH24" s="174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175" t="str">
        <f t="shared" si="1"/>
        <v>高麗菜</v>
      </c>
      <c r="AJ24" s="182"/>
    </row>
    <row r="25" spans="1:36" ht="18" customHeight="1">
      <c r="A25" s="180" t="s">
        <v>174</v>
      </c>
      <c r="B25" s="180" t="s">
        <v>113</v>
      </c>
      <c r="C25" s="180"/>
      <c r="D25" s="181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73">
        <v>0</v>
      </c>
      <c r="AH25" s="174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175" t="str">
        <f t="shared" si="1"/>
        <v>容容</v>
      </c>
      <c r="AJ25" s="184"/>
    </row>
    <row r="26" spans="1:36" ht="18" customHeight="1">
      <c r="A26" s="180" t="s">
        <v>174</v>
      </c>
      <c r="B26" s="180" t="s">
        <v>94</v>
      </c>
      <c r="C26" s="180"/>
      <c r="D26" s="181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73">
        <v>13</v>
      </c>
      <c r="AH26" s="174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175" t="str">
        <f t="shared" si="1"/>
        <v>小花</v>
      </c>
      <c r="AJ26" s="182"/>
    </row>
    <row r="27" spans="1:36" ht="18" customHeight="1">
      <c r="A27" s="180" t="s">
        <v>174</v>
      </c>
      <c r="B27" s="180" t="s">
        <v>95</v>
      </c>
      <c r="C27" s="180"/>
      <c r="D27" s="181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73">
        <v>3</v>
      </c>
      <c r="AH27" s="174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175" t="str">
        <f t="shared" si="1"/>
        <v>小吱</v>
      </c>
      <c r="AJ27" s="182"/>
    </row>
    <row r="28" spans="1:36" ht="18" customHeight="1">
      <c r="A28" s="180" t="s">
        <v>174</v>
      </c>
      <c r="B28" s="180" t="s">
        <v>146</v>
      </c>
      <c r="C28" s="180"/>
      <c r="D28" s="181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73">
        <v>0</v>
      </c>
      <c r="AH28" s="174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175" t="str">
        <f t="shared" si="1"/>
        <v>飛飛</v>
      </c>
      <c r="AJ28" s="183"/>
    </row>
    <row r="29" spans="1:36" ht="18" customHeight="1">
      <c r="A29" s="180" t="s">
        <v>168</v>
      </c>
      <c r="B29" s="180" t="s">
        <v>147</v>
      </c>
      <c r="C29" s="180"/>
      <c r="D29" s="181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73">
        <v>0</v>
      </c>
      <c r="AH29" s="174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175" t="str">
        <f t="shared" si="1"/>
        <v>湘苡</v>
      </c>
      <c r="AJ29" s="182"/>
    </row>
    <row r="30" spans="1:36" ht="18" customHeight="1">
      <c r="A30" s="180" t="s">
        <v>174</v>
      </c>
      <c r="B30" s="180" t="s">
        <v>148</v>
      </c>
      <c r="C30" s="180"/>
      <c r="D30" s="181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73">
        <v>0</v>
      </c>
      <c r="AH30" s="174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175" t="str">
        <f t="shared" si="1"/>
        <v>雅雅</v>
      </c>
      <c r="AJ30" s="184"/>
    </row>
    <row r="31" spans="1:36" ht="18" customHeight="1">
      <c r="A31" s="185" t="s">
        <v>174</v>
      </c>
      <c r="B31" s="185" t="s">
        <v>103</v>
      </c>
      <c r="C31" s="185"/>
      <c r="D31" s="186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73">
        <v>5</v>
      </c>
      <c r="AH31" s="174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175" t="str">
        <f t="shared" si="1"/>
        <v>圈圈</v>
      </c>
      <c r="AJ31" s="187"/>
    </row>
    <row r="32" spans="1:36" ht="18" customHeight="1">
      <c r="A32" s="185" t="s">
        <v>168</v>
      </c>
      <c r="B32" s="185" t="s">
        <v>104</v>
      </c>
      <c r="C32" s="185"/>
      <c r="D32" s="186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73">
        <v>3</v>
      </c>
      <c r="AH32" s="174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175" t="str">
        <f t="shared" si="1"/>
        <v>卡丘</v>
      </c>
      <c r="AJ32" s="187"/>
    </row>
    <row r="33" spans="1:36" ht="18" customHeight="1">
      <c r="A33" s="185" t="s">
        <v>174</v>
      </c>
      <c r="B33" s="185" t="s">
        <v>105</v>
      </c>
      <c r="C33" s="185"/>
      <c r="D33" s="186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73">
        <v>1</v>
      </c>
      <c r="AH33" s="174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175" t="str">
        <f t="shared" si="1"/>
        <v>琬蓁</v>
      </c>
      <c r="AJ33" s="187"/>
    </row>
    <row r="34" spans="1:36" ht="18" customHeight="1">
      <c r="A34" s="185" t="s">
        <v>174</v>
      </c>
      <c r="B34" s="185" t="s">
        <v>116</v>
      </c>
      <c r="C34" s="185"/>
      <c r="D34" s="186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73">
        <v>2</v>
      </c>
      <c r="AH34" s="174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175" t="str">
        <f t="shared" si="1"/>
        <v>大汪</v>
      </c>
      <c r="AJ34" s="188"/>
    </row>
    <row r="35" spans="1:36" ht="18" customHeight="1">
      <c r="A35" s="185" t="s">
        <v>174</v>
      </c>
      <c r="B35" s="185" t="s">
        <v>117</v>
      </c>
      <c r="C35" s="185"/>
      <c r="D35" s="186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73">
        <v>2</v>
      </c>
      <c r="AH35" s="174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175" t="str">
        <f t="shared" si="1"/>
        <v>依凡</v>
      </c>
      <c r="AJ35" s="188"/>
    </row>
    <row r="36" spans="1:36" ht="18" customHeight="1">
      <c r="A36" s="185" t="s">
        <v>168</v>
      </c>
      <c r="B36" s="185" t="s">
        <v>118</v>
      </c>
      <c r="C36" s="185"/>
      <c r="D36" s="186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73">
        <v>0</v>
      </c>
      <c r="AH36" s="174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175" t="str">
        <f t="shared" ref="AI36:AI67" si="2">B36</f>
        <v>雅筑</v>
      </c>
      <c r="AJ36" s="188"/>
    </row>
    <row r="37" spans="1:36" ht="18" customHeight="1">
      <c r="A37" s="185" t="s">
        <v>168</v>
      </c>
      <c r="B37" s="185" t="s">
        <v>119</v>
      </c>
      <c r="C37" s="185"/>
      <c r="D37" s="186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73">
        <v>0</v>
      </c>
      <c r="AH37" s="174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175" t="str">
        <f t="shared" si="2"/>
        <v>ABBY</v>
      </c>
      <c r="AJ37" s="187"/>
    </row>
    <row r="38" spans="1:36" ht="18" customHeight="1">
      <c r="A38" s="185" t="s">
        <v>168</v>
      </c>
      <c r="B38" s="185" t="s">
        <v>120</v>
      </c>
      <c r="C38" s="185"/>
      <c r="D38" s="186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73">
        <v>0</v>
      </c>
      <c r="AH38" s="174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175" t="str">
        <f t="shared" si="2"/>
        <v>品君</v>
      </c>
      <c r="AJ38" s="187"/>
    </row>
    <row r="39" spans="1:36" ht="18" customHeight="1">
      <c r="A39" s="185" t="s">
        <v>174</v>
      </c>
      <c r="B39" s="185" t="s">
        <v>121</v>
      </c>
      <c r="C39" s="185"/>
      <c r="D39" s="186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73">
        <v>0</v>
      </c>
      <c r="AH39" s="174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175" t="str">
        <f t="shared" si="2"/>
        <v>冰沙</v>
      </c>
      <c r="AJ39" s="187"/>
    </row>
    <row r="40" spans="1:36" ht="18" customHeight="1">
      <c r="A40" s="185" t="s">
        <v>168</v>
      </c>
      <c r="B40" s="185" t="s">
        <v>122</v>
      </c>
      <c r="C40" s="185"/>
      <c r="D40" s="186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73">
        <v>0</v>
      </c>
      <c r="AH40" s="174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175" t="str">
        <f t="shared" si="2"/>
        <v>幸恩</v>
      </c>
      <c r="AJ40" s="187"/>
    </row>
    <row r="41" spans="1:36" ht="18" customHeight="1">
      <c r="A41" s="185" t="s">
        <v>174</v>
      </c>
      <c r="B41" s="185" t="s">
        <v>123</v>
      </c>
      <c r="C41" s="185"/>
      <c r="D41" s="186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73">
        <v>2</v>
      </c>
      <c r="AH41" s="174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175" t="str">
        <f t="shared" si="2"/>
        <v>瑤瑤</v>
      </c>
      <c r="AJ41" s="188"/>
    </row>
    <row r="42" spans="1:36" ht="18" customHeight="1">
      <c r="A42" s="92" t="s">
        <v>58</v>
      </c>
      <c r="B42" s="92" t="s">
        <v>23</v>
      </c>
      <c r="C42" s="166"/>
      <c r="D42" s="167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73">
        <v>0</v>
      </c>
      <c r="AH42" s="174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175" t="str">
        <f t="shared" si="2"/>
        <v>ㄈㄈ</v>
      </c>
      <c r="AJ42" s="189"/>
    </row>
    <row r="43" spans="1:36" ht="18" customHeight="1">
      <c r="A43" s="92" t="s">
        <v>58</v>
      </c>
      <c r="B43" s="92" t="s">
        <v>24</v>
      </c>
      <c r="C43" s="166"/>
      <c r="D43" s="167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73">
        <v>8</v>
      </c>
      <c r="AH43" s="174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175" t="str">
        <f t="shared" si="2"/>
        <v>大熊</v>
      </c>
      <c r="AJ43" s="189"/>
    </row>
    <row r="44" spans="1:36" ht="18" customHeight="1">
      <c r="A44" s="92" t="s">
        <v>58</v>
      </c>
      <c r="B44" s="92" t="s">
        <v>64</v>
      </c>
      <c r="C44" s="166"/>
      <c r="D44" s="167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73">
        <v>5</v>
      </c>
      <c r="AH44" s="174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175" t="str">
        <f t="shared" si="2"/>
        <v>園棠</v>
      </c>
      <c r="AJ44" s="189"/>
    </row>
    <row r="45" spans="1:36" ht="18" customHeight="1">
      <c r="A45" s="92" t="s">
        <v>58</v>
      </c>
      <c r="B45" s="92" t="s">
        <v>178</v>
      </c>
      <c r="C45" s="166"/>
      <c r="D45" s="167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73">
        <v>0</v>
      </c>
      <c r="AH45" s="174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175" t="str">
        <f t="shared" si="2"/>
        <v>Fish</v>
      </c>
      <c r="AJ45" s="189"/>
    </row>
    <row r="46" spans="1:36" ht="18" customHeight="1">
      <c r="A46" s="92" t="s">
        <v>174</v>
      </c>
      <c r="B46" s="92" t="s">
        <v>25</v>
      </c>
      <c r="C46" s="166"/>
      <c r="D46" s="167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73">
        <v>15</v>
      </c>
      <c r="AH46" s="174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175" t="str">
        <f t="shared" si="2"/>
        <v>潘潘</v>
      </c>
      <c r="AJ46" s="189"/>
    </row>
    <row r="47" spans="1:36" ht="18" customHeight="1">
      <c r="A47" s="92" t="s">
        <v>58</v>
      </c>
      <c r="B47" s="92" t="s">
        <v>63</v>
      </c>
      <c r="C47" s="166"/>
      <c r="D47" s="167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73">
        <v>0</v>
      </c>
      <c r="AH47" s="174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175" t="str">
        <f t="shared" si="2"/>
        <v>芒果</v>
      </c>
      <c r="AJ47" s="189"/>
    </row>
    <row r="48" spans="1:36" ht="18" customHeight="1">
      <c r="A48" s="92" t="s">
        <v>58</v>
      </c>
      <c r="B48" s="92" t="s">
        <v>62</v>
      </c>
      <c r="C48" s="166"/>
      <c r="D48" s="167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73">
        <v>0</v>
      </c>
      <c r="AH48" s="174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175" t="str">
        <f t="shared" si="2"/>
        <v>國源</v>
      </c>
      <c r="AJ48" s="189"/>
    </row>
    <row r="49" spans="1:36" ht="18" customHeight="1">
      <c r="A49" s="92" t="s">
        <v>174</v>
      </c>
      <c r="B49" s="92" t="s">
        <v>26</v>
      </c>
      <c r="C49" s="166"/>
      <c r="D49" s="167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73">
        <v>13</v>
      </c>
      <c r="AH49" s="174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175" t="str">
        <f t="shared" si="2"/>
        <v>曉強</v>
      </c>
      <c r="AJ49" s="189"/>
    </row>
    <row r="50" spans="1:36" ht="18" customHeight="1">
      <c r="A50" s="92" t="s">
        <v>58</v>
      </c>
      <c r="B50" s="92" t="s">
        <v>59</v>
      </c>
      <c r="C50" s="166"/>
      <c r="D50" s="167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73">
        <v>0</v>
      </c>
      <c r="AH50" s="174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175" t="str">
        <f t="shared" si="2"/>
        <v>阿幹</v>
      </c>
      <c r="AJ50" s="189"/>
    </row>
    <row r="51" spans="1:36" ht="18" customHeight="1">
      <c r="A51" s="92" t="s">
        <v>174</v>
      </c>
      <c r="B51" s="92" t="s">
        <v>27</v>
      </c>
      <c r="C51" s="166"/>
      <c r="D51" s="167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73">
        <v>0</v>
      </c>
      <c r="AH51" s="174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175" t="str">
        <f t="shared" si="2"/>
        <v>芋圓</v>
      </c>
      <c r="AJ51" s="189"/>
    </row>
    <row r="52" spans="1:36" ht="18" customHeight="1">
      <c r="A52" s="92" t="s">
        <v>58</v>
      </c>
      <c r="B52" s="92" t="s">
        <v>28</v>
      </c>
      <c r="C52" s="166"/>
      <c r="D52" s="167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73">
        <v>1</v>
      </c>
      <c r="AH52" s="174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175" t="str">
        <f t="shared" si="2"/>
        <v>克勤</v>
      </c>
      <c r="AJ52" s="189"/>
    </row>
    <row r="53" spans="1:36" ht="18" customHeight="1">
      <c r="A53" s="92" t="s">
        <v>58</v>
      </c>
      <c r="B53" s="92" t="s">
        <v>29</v>
      </c>
      <c r="C53" s="166"/>
      <c r="D53" s="167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73">
        <v>3</v>
      </c>
      <c r="AH53" s="174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175" t="str">
        <f t="shared" si="2"/>
        <v>大頭</v>
      </c>
      <c r="AJ53" s="189"/>
    </row>
    <row r="54" spans="1:36" ht="18" customHeight="1">
      <c r="A54" s="92" t="s">
        <v>174</v>
      </c>
      <c r="B54" s="92" t="s">
        <v>65</v>
      </c>
      <c r="C54" s="166"/>
      <c r="D54" s="167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73">
        <v>0</v>
      </c>
      <c r="AH54" s="174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175" t="str">
        <f t="shared" si="2"/>
        <v>文淵</v>
      </c>
      <c r="AJ54" s="189"/>
    </row>
    <row r="55" spans="1:36" ht="18" customHeight="1">
      <c r="A55" s="92" t="s">
        <v>58</v>
      </c>
      <c r="B55" s="92" t="s">
        <v>72</v>
      </c>
      <c r="C55" s="166"/>
      <c r="D55" s="167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73">
        <v>0</v>
      </c>
      <c r="AH55" s="174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175" t="str">
        <f t="shared" si="2"/>
        <v>八卦</v>
      </c>
      <c r="AJ55" s="189"/>
    </row>
    <row r="56" spans="1:36" ht="18" customHeight="1">
      <c r="A56" s="92" t="s">
        <v>58</v>
      </c>
      <c r="B56" s="92" t="s">
        <v>66</v>
      </c>
      <c r="C56" s="166"/>
      <c r="D56" s="167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73">
        <v>0</v>
      </c>
      <c r="AH56" s="174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175" t="str">
        <f t="shared" si="2"/>
        <v>昆佑</v>
      </c>
      <c r="AJ56" s="189"/>
    </row>
    <row r="57" spans="1:36" ht="18" customHeight="1">
      <c r="A57" s="92" t="s">
        <v>58</v>
      </c>
      <c r="B57" s="92" t="s">
        <v>68</v>
      </c>
      <c r="C57" s="166"/>
      <c r="D57" s="167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73">
        <v>0</v>
      </c>
      <c r="AH57" s="174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175" t="str">
        <f t="shared" si="2"/>
        <v>兔子</v>
      </c>
      <c r="AJ57" s="189"/>
    </row>
    <row r="58" spans="1:36" ht="18" customHeight="1">
      <c r="A58" s="92" t="s">
        <v>58</v>
      </c>
      <c r="B58" s="92" t="s">
        <v>69</v>
      </c>
      <c r="C58" s="166"/>
      <c r="D58" s="167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73">
        <v>0</v>
      </c>
      <c r="AH58" s="174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175" t="str">
        <f t="shared" si="2"/>
        <v>小馬</v>
      </c>
      <c r="AJ58" s="189"/>
    </row>
    <row r="59" spans="1:36" ht="18" customHeight="1">
      <c r="A59" s="92" t="s">
        <v>58</v>
      </c>
      <c r="B59" s="92" t="s">
        <v>70</v>
      </c>
      <c r="C59" s="166"/>
      <c r="D59" s="167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73">
        <v>0</v>
      </c>
      <c r="AH59" s="174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175" t="str">
        <f t="shared" si="2"/>
        <v>Allen</v>
      </c>
      <c r="AJ59" s="189"/>
    </row>
    <row r="60" spans="1:36" ht="18" customHeight="1">
      <c r="A60" s="92" t="s">
        <v>58</v>
      </c>
      <c r="B60" s="92" t="s">
        <v>71</v>
      </c>
      <c r="C60" s="166"/>
      <c r="D60" s="167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73">
        <v>0</v>
      </c>
      <c r="AH60" s="174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175" t="str">
        <f t="shared" si="2"/>
        <v>嘴嘴</v>
      </c>
      <c r="AJ60" s="189"/>
    </row>
    <row r="61" spans="1:36" ht="18" customHeight="1">
      <c r="A61" s="92" t="s">
        <v>58</v>
      </c>
      <c r="B61" s="92" t="s">
        <v>74</v>
      </c>
      <c r="C61" s="166"/>
      <c r="D61" s="167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73">
        <v>0</v>
      </c>
      <c r="AH61" s="174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175" t="str">
        <f t="shared" si="2"/>
        <v>蘆葦</v>
      </c>
      <c r="AJ61" s="189"/>
    </row>
    <row r="62" spans="1:36" ht="18" customHeight="1">
      <c r="A62" s="92" t="s">
        <v>58</v>
      </c>
      <c r="B62" s="92" t="s">
        <v>30</v>
      </c>
      <c r="C62" s="166"/>
      <c r="D62" s="167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73">
        <v>3</v>
      </c>
      <c r="AH62" s="174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175" t="str">
        <f t="shared" si="2"/>
        <v>鯰魚</v>
      </c>
      <c r="AJ62" s="189"/>
    </row>
    <row r="63" spans="1:36" ht="18" customHeight="1">
      <c r="A63" s="92" t="s">
        <v>58</v>
      </c>
      <c r="B63" s="92" t="s">
        <v>31</v>
      </c>
      <c r="C63" s="166"/>
      <c r="D63" s="167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73">
        <v>1</v>
      </c>
      <c r="AH63" s="174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175" t="str">
        <f t="shared" si="2"/>
        <v>阿美</v>
      </c>
      <c r="AJ63" s="189"/>
    </row>
    <row r="64" spans="1:36" ht="18" customHeight="1">
      <c r="A64" s="92" t="s">
        <v>58</v>
      </c>
      <c r="B64" s="92" t="s">
        <v>73</v>
      </c>
      <c r="C64" s="166"/>
      <c r="D64" s="167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73">
        <v>0</v>
      </c>
      <c r="AH64" s="174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175" t="str">
        <f t="shared" si="2"/>
        <v>冠軍</v>
      </c>
      <c r="AJ64" s="189"/>
    </row>
    <row r="65" spans="1:36" ht="18" customHeight="1">
      <c r="A65" s="92" t="s">
        <v>58</v>
      </c>
      <c r="B65" s="92" t="s">
        <v>198</v>
      </c>
      <c r="C65" s="166"/>
      <c r="D65" s="167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73">
        <v>0</v>
      </c>
      <c r="AH65" s="174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175" t="str">
        <f t="shared" si="2"/>
        <v>郁翔</v>
      </c>
      <c r="AJ65" s="189"/>
    </row>
    <row r="66" spans="1:36" ht="18" customHeight="1">
      <c r="A66" s="92" t="s">
        <v>58</v>
      </c>
      <c r="B66" s="92" t="s">
        <v>67</v>
      </c>
      <c r="C66" s="166"/>
      <c r="D66" s="167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73">
        <v>0</v>
      </c>
      <c r="AH66" s="174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175" t="str">
        <f t="shared" si="2"/>
        <v>歐吉</v>
      </c>
      <c r="AJ66" s="189"/>
    </row>
    <row r="67" spans="1:36" ht="18" customHeight="1">
      <c r="A67" s="92" t="s">
        <v>58</v>
      </c>
      <c r="B67" s="92" t="s">
        <v>75</v>
      </c>
      <c r="C67" s="166"/>
      <c r="D67" s="167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73">
        <v>0</v>
      </c>
      <c r="AH67" s="174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175" t="str">
        <f t="shared" si="2"/>
        <v>叮噹</v>
      </c>
      <c r="AJ67" s="189"/>
    </row>
    <row r="68" spans="1:36" ht="18" customHeight="1">
      <c r="A68" s="92" t="s">
        <v>58</v>
      </c>
      <c r="B68" s="92" t="s">
        <v>76</v>
      </c>
      <c r="C68" s="166"/>
      <c r="D68" s="167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73">
        <v>0</v>
      </c>
      <c r="AH68" s="174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175" t="str">
        <f t="shared" ref="AI68:AI99" si="3">B68</f>
        <v>肥肥</v>
      </c>
      <c r="AJ68" s="189"/>
    </row>
    <row r="69" spans="1:36" ht="18" customHeight="1">
      <c r="A69" s="92" t="s">
        <v>58</v>
      </c>
      <c r="B69" s="92" t="s">
        <v>77</v>
      </c>
      <c r="C69" s="166"/>
      <c r="D69" s="167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73">
        <v>0</v>
      </c>
      <c r="AH69" s="174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175" t="str">
        <f t="shared" si="3"/>
        <v>小夫</v>
      </c>
      <c r="AJ69" s="189"/>
    </row>
    <row r="70" spans="1:36" ht="18" customHeight="1">
      <c r="A70" s="92" t="s">
        <v>58</v>
      </c>
      <c r="B70" s="92" t="s">
        <v>78</v>
      </c>
      <c r="C70" s="166"/>
      <c r="D70" s="167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73">
        <v>0</v>
      </c>
      <c r="AH70" s="174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175" t="str">
        <f t="shared" si="3"/>
        <v>小邱</v>
      </c>
      <c r="AJ70" s="189"/>
    </row>
    <row r="71" spans="1:36" ht="18" customHeight="1">
      <c r="A71" s="92" t="s">
        <v>58</v>
      </c>
      <c r="B71" s="92" t="s">
        <v>79</v>
      </c>
      <c r="C71" s="166"/>
      <c r="D71" s="167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73">
        <v>0</v>
      </c>
      <c r="AH71" s="174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175" t="str">
        <f t="shared" si="3"/>
        <v>淳淳</v>
      </c>
      <c r="AJ71" s="189"/>
    </row>
    <row r="72" spans="1:36" ht="18" customHeight="1">
      <c r="A72" s="92" t="s">
        <v>58</v>
      </c>
      <c r="B72" s="92" t="s">
        <v>80</v>
      </c>
      <c r="C72" s="166"/>
      <c r="D72" s="167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73">
        <v>0</v>
      </c>
      <c r="AH72" s="174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175" t="str">
        <f t="shared" si="3"/>
        <v>禿鷹</v>
      </c>
      <c r="AJ72" s="189"/>
    </row>
    <row r="73" spans="1:36" ht="18" customHeight="1">
      <c r="A73" s="92" t="s">
        <v>58</v>
      </c>
      <c r="B73" s="92" t="s">
        <v>81</v>
      </c>
      <c r="C73" s="166"/>
      <c r="D73" s="167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73">
        <v>0</v>
      </c>
      <c r="AH73" s="174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175" t="str">
        <f t="shared" si="3"/>
        <v>王宏</v>
      </c>
      <c r="AJ73" s="189"/>
    </row>
    <row r="74" spans="1:36" ht="18" customHeight="1">
      <c r="A74" s="92" t="s">
        <v>58</v>
      </c>
      <c r="B74" s="92" t="s">
        <v>82</v>
      </c>
      <c r="C74" s="166"/>
      <c r="D74" s="167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73">
        <v>0</v>
      </c>
      <c r="AH74" s="174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175" t="str">
        <f t="shared" si="3"/>
        <v>犀牛</v>
      </c>
      <c r="AJ74" s="189"/>
    </row>
    <row r="75" spans="1:36" ht="18" customHeight="1">
      <c r="A75" s="92" t="s">
        <v>58</v>
      </c>
      <c r="B75" s="92" t="s">
        <v>83</v>
      </c>
      <c r="C75" s="166"/>
      <c r="D75" s="167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73">
        <v>0</v>
      </c>
      <c r="AH75" s="174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175" t="str">
        <f t="shared" si="3"/>
        <v>來福</v>
      </c>
      <c r="AJ75" s="189"/>
    </row>
    <row r="76" spans="1:36" ht="18" customHeight="1">
      <c r="A76" s="92" t="s">
        <v>58</v>
      </c>
      <c r="B76" s="92" t="s">
        <v>84</v>
      </c>
      <c r="C76" s="166"/>
      <c r="D76" s="167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73">
        <v>0</v>
      </c>
      <c r="AH76" s="174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175" t="str">
        <f t="shared" si="3"/>
        <v>誌誌</v>
      </c>
      <c r="AJ76" s="189"/>
    </row>
    <row r="77" spans="1:36" ht="18" customHeight="1">
      <c r="A77" s="92" t="s">
        <v>58</v>
      </c>
      <c r="B77" s="92" t="s">
        <v>86</v>
      </c>
      <c r="C77" s="166"/>
      <c r="D77" s="167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73">
        <v>0</v>
      </c>
      <c r="AH77" s="174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175" t="str">
        <f t="shared" si="3"/>
        <v>正誼</v>
      </c>
      <c r="AJ77" s="189"/>
    </row>
    <row r="78" spans="1:36" ht="18" customHeight="1">
      <c r="A78" s="92" t="s">
        <v>58</v>
      </c>
      <c r="B78" s="92" t="s">
        <v>32</v>
      </c>
      <c r="C78" s="166"/>
      <c r="D78" s="167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73">
        <v>0</v>
      </c>
      <c r="AH78" s="174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175" t="str">
        <f t="shared" si="3"/>
        <v>小翔</v>
      </c>
      <c r="AJ78" s="189"/>
    </row>
    <row r="79" spans="1:36" ht="18" customHeight="1">
      <c r="A79" s="92" t="s">
        <v>58</v>
      </c>
      <c r="B79" s="92" t="s">
        <v>179</v>
      </c>
      <c r="C79" s="166"/>
      <c r="D79" s="167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73">
        <v>0</v>
      </c>
      <c r="AH79" s="174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175" t="str">
        <f t="shared" si="3"/>
        <v>玹玹</v>
      </c>
      <c r="AJ79" s="189"/>
    </row>
    <row r="80" spans="1:36" ht="18" customHeight="1">
      <c r="A80" s="92" t="s">
        <v>58</v>
      </c>
      <c r="B80" s="92" t="s">
        <v>85</v>
      </c>
      <c r="C80" s="166"/>
      <c r="D80" s="167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73">
        <v>0</v>
      </c>
      <c r="AH80" s="174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175" t="str">
        <f t="shared" si="3"/>
        <v>阿璽</v>
      </c>
      <c r="AJ80" s="189"/>
    </row>
    <row r="81" spans="1:36" ht="18" customHeight="1">
      <c r="A81" s="92" t="s">
        <v>58</v>
      </c>
      <c r="B81" s="92" t="s">
        <v>33</v>
      </c>
      <c r="C81" s="166"/>
      <c r="D81" s="167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73">
        <v>0</v>
      </c>
      <c r="AH81" s="174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175" t="str">
        <f t="shared" si="3"/>
        <v>一飛</v>
      </c>
      <c r="AJ81" s="189"/>
    </row>
    <row r="82" spans="1:36" ht="18" customHeight="1">
      <c r="A82" s="92" t="s">
        <v>58</v>
      </c>
      <c r="B82" s="92" t="s">
        <v>34</v>
      </c>
      <c r="C82" s="166"/>
      <c r="D82" s="167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73">
        <v>4</v>
      </c>
      <c r="AH82" s="174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175" t="str">
        <f t="shared" si="3"/>
        <v>雲翔</v>
      </c>
      <c r="AJ82" s="176"/>
    </row>
    <row r="83" spans="1:36" ht="18" customHeight="1">
      <c r="A83" s="92" t="s">
        <v>58</v>
      </c>
      <c r="B83" s="92" t="s">
        <v>88</v>
      </c>
      <c r="C83" s="166"/>
      <c r="D83" s="167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73">
        <v>0</v>
      </c>
      <c r="AH83" s="174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175" t="str">
        <f t="shared" si="3"/>
        <v>皓皓</v>
      </c>
      <c r="AJ83" s="176"/>
    </row>
    <row r="84" spans="1:36" ht="18" customHeight="1">
      <c r="A84" s="92" t="s">
        <v>58</v>
      </c>
      <c r="B84" s="92" t="s">
        <v>35</v>
      </c>
      <c r="C84" s="166"/>
      <c r="D84" s="167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73">
        <v>0</v>
      </c>
      <c r="AH84" s="174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175" t="str">
        <f t="shared" si="3"/>
        <v>阿戴</v>
      </c>
      <c r="AJ84" s="176"/>
    </row>
    <row r="85" spans="1:36" ht="18" customHeight="1">
      <c r="A85" s="92" t="s">
        <v>58</v>
      </c>
      <c r="B85" s="92" t="s">
        <v>36</v>
      </c>
      <c r="C85" s="166"/>
      <c r="D85" s="167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73">
        <v>0</v>
      </c>
      <c r="AH85" s="174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175" t="str">
        <f t="shared" si="3"/>
        <v>子澔</v>
      </c>
      <c r="AJ85" s="176"/>
    </row>
    <row r="86" spans="1:36" ht="18" customHeight="1">
      <c r="A86" s="92" t="s">
        <v>174</v>
      </c>
      <c r="B86" s="92" t="s">
        <v>37</v>
      </c>
      <c r="C86" s="166"/>
      <c r="D86" s="167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73">
        <v>5</v>
      </c>
      <c r="AH86" s="174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175" t="str">
        <f t="shared" si="3"/>
        <v>魚仔</v>
      </c>
      <c r="AJ86" s="176"/>
    </row>
    <row r="87" spans="1:36" ht="18" customHeight="1">
      <c r="A87" s="92" t="s">
        <v>58</v>
      </c>
      <c r="B87" s="92" t="s">
        <v>87</v>
      </c>
      <c r="C87" s="166"/>
      <c r="D87" s="167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73">
        <v>0</v>
      </c>
      <c r="AH87" s="174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175" t="str">
        <f t="shared" si="3"/>
        <v>Mango</v>
      </c>
      <c r="AJ87" s="176"/>
    </row>
    <row r="88" spans="1:36" ht="18" customHeight="1">
      <c r="A88" s="92" t="s">
        <v>58</v>
      </c>
      <c r="B88" s="92" t="s">
        <v>38</v>
      </c>
      <c r="C88" s="166"/>
      <c r="D88" s="167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73">
        <v>0</v>
      </c>
      <c r="AH88" s="174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175" t="str">
        <f t="shared" si="3"/>
        <v>阿龍</v>
      </c>
      <c r="AJ88" s="176"/>
    </row>
    <row r="89" spans="1:36" ht="18" customHeight="1">
      <c r="A89" s="92" t="s">
        <v>58</v>
      </c>
      <c r="B89" s="92" t="s">
        <v>39</v>
      </c>
      <c r="C89" s="166"/>
      <c r="D89" s="167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73">
        <v>0</v>
      </c>
      <c r="AH89" s="174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175" t="str">
        <f t="shared" si="3"/>
        <v>栗子</v>
      </c>
      <c r="AJ89" s="176"/>
    </row>
    <row r="90" spans="1:36" ht="18" customHeight="1">
      <c r="A90" s="92" t="s">
        <v>58</v>
      </c>
      <c r="B90" s="92" t="s">
        <v>223</v>
      </c>
      <c r="C90" s="166"/>
      <c r="D90" s="167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90"/>
      <c r="W90" s="191"/>
      <c r="X90" s="190"/>
      <c r="Y90" s="191"/>
      <c r="Z90" s="190"/>
      <c r="AA90" s="166"/>
      <c r="AB90" s="166"/>
      <c r="AC90" s="166"/>
      <c r="AD90" s="166"/>
      <c r="AE90" s="166"/>
      <c r="AF90" s="166"/>
      <c r="AG90" s="173">
        <v>0</v>
      </c>
      <c r="AH90" s="174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175" t="str">
        <f t="shared" si="3"/>
        <v>喬巴</v>
      </c>
      <c r="AJ90" s="176"/>
    </row>
    <row r="91" spans="1:36" ht="18" customHeight="1">
      <c r="A91" s="92" t="s">
        <v>58</v>
      </c>
      <c r="B91" s="92" t="s">
        <v>40</v>
      </c>
      <c r="C91" s="166"/>
      <c r="D91" s="167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73">
        <v>0</v>
      </c>
      <c r="AH91" s="174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175" t="str">
        <f t="shared" si="3"/>
        <v>仲霖</v>
      </c>
      <c r="AJ91" s="176"/>
    </row>
    <row r="92" spans="1:36" ht="18" customHeight="1">
      <c r="A92" s="180" t="s">
        <v>58</v>
      </c>
      <c r="B92" s="180" t="s">
        <v>151</v>
      </c>
      <c r="C92" s="180"/>
      <c r="D92" s="181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73">
        <v>5</v>
      </c>
      <c r="AH92" s="174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175" t="str">
        <f t="shared" si="3"/>
        <v>宇嬅</v>
      </c>
      <c r="AJ92" s="184"/>
    </row>
    <row r="93" spans="1:36" ht="18" customHeight="1">
      <c r="A93" s="180" t="s">
        <v>58</v>
      </c>
      <c r="B93" s="180" t="s">
        <v>152</v>
      </c>
      <c r="C93" s="180"/>
      <c r="D93" s="181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73">
        <v>0</v>
      </c>
      <c r="AH93" s="174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175" t="str">
        <f t="shared" si="3"/>
        <v>阿俗</v>
      </c>
      <c r="AJ93" s="183"/>
    </row>
    <row r="94" spans="1:36" ht="18" customHeight="1">
      <c r="A94" s="180" t="s">
        <v>58</v>
      </c>
      <c r="B94" s="180" t="s">
        <v>153</v>
      </c>
      <c r="C94" s="180"/>
      <c r="D94" s="181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73">
        <v>0</v>
      </c>
      <c r="AH94" s="174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175" t="str">
        <f t="shared" si="3"/>
        <v>傻妹</v>
      </c>
      <c r="AJ94" s="183"/>
    </row>
    <row r="95" spans="1:36" ht="18" customHeight="1">
      <c r="A95" s="180" t="s">
        <v>174</v>
      </c>
      <c r="B95" s="180" t="s">
        <v>96</v>
      </c>
      <c r="C95" s="180"/>
      <c r="D95" s="181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73">
        <v>6</v>
      </c>
      <c r="AH95" s="174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175" t="str">
        <f t="shared" si="3"/>
        <v>靜婷</v>
      </c>
      <c r="AJ95" s="183"/>
    </row>
    <row r="96" spans="1:36" ht="18" customHeight="1">
      <c r="A96" s="180" t="s">
        <v>58</v>
      </c>
      <c r="B96" s="180" t="s">
        <v>154</v>
      </c>
      <c r="C96" s="180"/>
      <c r="D96" s="181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73">
        <v>1</v>
      </c>
      <c r="AH96" s="174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175" t="str">
        <f t="shared" si="3"/>
        <v>筱攸</v>
      </c>
      <c r="AJ96" s="183"/>
    </row>
    <row r="97" spans="1:36" ht="18" customHeight="1">
      <c r="A97" s="180" t="s">
        <v>58</v>
      </c>
      <c r="B97" s="180" t="s">
        <v>155</v>
      </c>
      <c r="C97" s="180"/>
      <c r="D97" s="181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73">
        <v>0</v>
      </c>
      <c r="AH97" s="174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175" t="str">
        <f t="shared" si="3"/>
        <v>康康</v>
      </c>
      <c r="AJ97" s="183"/>
    </row>
    <row r="98" spans="1:36" ht="18" customHeight="1">
      <c r="A98" s="180" t="s">
        <v>58</v>
      </c>
      <c r="B98" s="180" t="s">
        <v>156</v>
      </c>
      <c r="C98" s="180"/>
      <c r="D98" s="181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73">
        <v>0</v>
      </c>
      <c r="AH98" s="174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175" t="str">
        <f t="shared" si="3"/>
        <v>阿金</v>
      </c>
      <c r="AJ98" s="183"/>
    </row>
    <row r="99" spans="1:36" ht="18" customHeight="1">
      <c r="A99" s="180" t="s">
        <v>58</v>
      </c>
      <c r="B99" s="180" t="s">
        <v>157</v>
      </c>
      <c r="C99" s="180"/>
      <c r="D99" s="181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73">
        <v>0</v>
      </c>
      <c r="AH99" s="174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175" t="str">
        <f t="shared" si="3"/>
        <v>派大</v>
      </c>
      <c r="AJ99" s="183"/>
    </row>
    <row r="100" spans="1:36" ht="18" customHeight="1">
      <c r="A100" s="180" t="s">
        <v>58</v>
      </c>
      <c r="B100" s="180" t="s">
        <v>158</v>
      </c>
      <c r="C100" s="180"/>
      <c r="D100" s="181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73">
        <v>0</v>
      </c>
      <c r="AH100" s="174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175" t="str">
        <f t="shared" ref="AI100:AI131" si="4">B100</f>
        <v>吉娃</v>
      </c>
      <c r="AJ100" s="183"/>
    </row>
    <row r="101" spans="1:36" ht="18" customHeight="1">
      <c r="A101" s="180" t="s">
        <v>58</v>
      </c>
      <c r="B101" s="180" t="s">
        <v>159</v>
      </c>
      <c r="C101" s="180"/>
      <c r="D101" s="181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73">
        <v>0</v>
      </c>
      <c r="AH101" s="174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175" t="str">
        <f t="shared" si="4"/>
        <v>小寧</v>
      </c>
      <c r="AJ101" s="183"/>
    </row>
    <row r="102" spans="1:36" ht="18" customHeight="1">
      <c r="A102" s="180" t="s">
        <v>58</v>
      </c>
      <c r="B102" s="180" t="s">
        <v>160</v>
      </c>
      <c r="C102" s="180"/>
      <c r="D102" s="181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73">
        <v>0</v>
      </c>
      <c r="AH102" s="174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175" t="str">
        <f t="shared" si="4"/>
        <v>小妹</v>
      </c>
      <c r="AJ102" s="183"/>
    </row>
    <row r="103" spans="1:36" ht="18" customHeight="1">
      <c r="A103" s="180" t="s">
        <v>58</v>
      </c>
      <c r="B103" s="180" t="s">
        <v>101</v>
      </c>
      <c r="C103" s="180"/>
      <c r="D103" s="181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73">
        <v>0</v>
      </c>
      <c r="AH103" s="174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175" t="str">
        <f t="shared" si="4"/>
        <v>文媛</v>
      </c>
      <c r="AJ103" s="183"/>
    </row>
    <row r="104" spans="1:36" ht="18" customHeight="1">
      <c r="A104" s="180" t="s">
        <v>58</v>
      </c>
      <c r="B104" s="180" t="s">
        <v>161</v>
      </c>
      <c r="C104" s="180"/>
      <c r="D104" s="181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73">
        <v>0</v>
      </c>
      <c r="AH104" s="174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175" t="str">
        <f t="shared" si="4"/>
        <v>佩鈺</v>
      </c>
      <c r="AJ104" s="183"/>
    </row>
    <row r="105" spans="1:36" ht="18" customHeight="1">
      <c r="A105" s="180" t="s">
        <v>58</v>
      </c>
      <c r="B105" s="180" t="s">
        <v>162</v>
      </c>
      <c r="C105" s="180"/>
      <c r="D105" s="181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73">
        <v>0</v>
      </c>
      <c r="AH105" s="174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175" t="str">
        <f t="shared" si="4"/>
        <v>阿布</v>
      </c>
      <c r="AJ105" s="183"/>
    </row>
    <row r="106" spans="1:36" ht="18" customHeight="1">
      <c r="A106" s="180" t="s">
        <v>58</v>
      </c>
      <c r="B106" s="180" t="s">
        <v>100</v>
      </c>
      <c r="C106" s="180"/>
      <c r="D106" s="181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73">
        <v>0</v>
      </c>
      <c r="AH106" s="174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175" t="str">
        <f t="shared" si="4"/>
        <v>餅餅</v>
      </c>
      <c r="AJ106" s="183"/>
    </row>
    <row r="107" spans="1:36" ht="18" customHeight="1">
      <c r="A107" s="180" t="s">
        <v>58</v>
      </c>
      <c r="B107" s="180" t="s">
        <v>163</v>
      </c>
      <c r="C107" s="180"/>
      <c r="D107" s="181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73">
        <v>0</v>
      </c>
      <c r="AH107" s="174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175" t="str">
        <f t="shared" si="4"/>
        <v>小個</v>
      </c>
      <c r="AJ107" s="183"/>
    </row>
    <row r="108" spans="1:36" ht="18" customHeight="1">
      <c r="A108" s="180" t="s">
        <v>58</v>
      </c>
      <c r="B108" s="180" t="s">
        <v>164</v>
      </c>
      <c r="C108" s="180"/>
      <c r="D108" s="181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73">
        <v>0</v>
      </c>
      <c r="AH108" s="174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175" t="str">
        <f t="shared" si="4"/>
        <v>小菜</v>
      </c>
      <c r="AJ108" s="183"/>
    </row>
    <row r="109" spans="1:36" ht="18" customHeight="1">
      <c r="A109" s="180" t="s">
        <v>58</v>
      </c>
      <c r="B109" s="180" t="s">
        <v>102</v>
      </c>
      <c r="C109" s="180"/>
      <c r="D109" s="181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73">
        <v>0</v>
      </c>
      <c r="AH109" s="174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175" t="str">
        <f t="shared" si="4"/>
        <v>妮妮</v>
      </c>
      <c r="AJ109" s="183"/>
    </row>
    <row r="110" spans="1:36" ht="18" customHeight="1">
      <c r="A110" s="180" t="s">
        <v>58</v>
      </c>
      <c r="B110" s="180" t="s">
        <v>165</v>
      </c>
      <c r="C110" s="180"/>
      <c r="D110" s="181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73">
        <v>0</v>
      </c>
      <c r="AH110" s="174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175" t="str">
        <f t="shared" si="4"/>
        <v>小貓</v>
      </c>
      <c r="AJ110" s="183"/>
    </row>
    <row r="111" spans="1:36" ht="18" customHeight="1">
      <c r="A111" s="180" t="s">
        <v>58</v>
      </c>
      <c r="B111" s="180" t="s">
        <v>166</v>
      </c>
      <c r="C111" s="180"/>
      <c r="D111" s="181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73">
        <v>0</v>
      </c>
      <c r="AH111" s="174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175" t="str">
        <f t="shared" si="4"/>
        <v>哈比</v>
      </c>
      <c r="AJ111" s="183"/>
    </row>
    <row r="112" spans="1:36" ht="18" customHeight="1">
      <c r="A112" s="180" t="s">
        <v>174</v>
      </c>
      <c r="B112" s="180" t="s">
        <v>97</v>
      </c>
      <c r="C112" s="180"/>
      <c r="D112" s="181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73">
        <v>0</v>
      </c>
      <c r="AH112" s="174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175" t="str">
        <f t="shared" si="4"/>
        <v>粉紅</v>
      </c>
      <c r="AJ112" s="183"/>
    </row>
    <row r="113" spans="1:36" ht="18" customHeight="1">
      <c r="A113" s="180" t="s">
        <v>58</v>
      </c>
      <c r="B113" s="180" t="s">
        <v>98</v>
      </c>
      <c r="C113" s="180"/>
      <c r="D113" s="181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73">
        <v>0</v>
      </c>
      <c r="AH113" s="174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175" t="str">
        <f t="shared" si="4"/>
        <v>忻怡</v>
      </c>
      <c r="AJ113" s="183"/>
    </row>
    <row r="114" spans="1:36" ht="18" customHeight="1">
      <c r="A114" s="180" t="s">
        <v>174</v>
      </c>
      <c r="B114" s="180" t="s">
        <v>99</v>
      </c>
      <c r="C114" s="180"/>
      <c r="D114" s="181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73">
        <v>0</v>
      </c>
      <c r="AH114" s="174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175" t="str">
        <f t="shared" si="4"/>
        <v>小白</v>
      </c>
      <c r="AJ114" s="183"/>
    </row>
    <row r="115" spans="1:36" ht="18" customHeight="1">
      <c r="A115" s="185" t="s">
        <v>58</v>
      </c>
      <c r="B115" s="185" t="s">
        <v>124</v>
      </c>
      <c r="C115" s="185"/>
      <c r="D115" s="186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  <c r="AF115" s="185"/>
      <c r="AG115" s="173">
        <v>0</v>
      </c>
      <c r="AH115" s="174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175" t="str">
        <f t="shared" si="4"/>
        <v>玉蕙</v>
      </c>
      <c r="AJ115" s="188"/>
    </row>
    <row r="116" spans="1:36" ht="18" customHeight="1">
      <c r="A116" s="185" t="s">
        <v>58</v>
      </c>
      <c r="B116" s="185" t="s">
        <v>125</v>
      </c>
      <c r="C116" s="185"/>
      <c r="D116" s="186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73">
        <v>0</v>
      </c>
      <c r="AH116" s="174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175" t="str">
        <f t="shared" si="4"/>
        <v>沛緁</v>
      </c>
      <c r="AJ116" s="188"/>
    </row>
    <row r="117" spans="1:36" ht="18" customHeight="1">
      <c r="A117" s="185" t="s">
        <v>58</v>
      </c>
      <c r="B117" s="185" t="s">
        <v>126</v>
      </c>
      <c r="C117" s="185"/>
      <c r="D117" s="186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  <c r="AF117" s="185"/>
      <c r="AG117" s="173">
        <v>0</v>
      </c>
      <c r="AH117" s="174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175" t="str">
        <f t="shared" si="4"/>
        <v>妹妹</v>
      </c>
      <c r="AJ117" s="188"/>
    </row>
    <row r="118" spans="1:36" ht="18" customHeight="1">
      <c r="A118" s="185" t="s">
        <v>58</v>
      </c>
      <c r="B118" s="185" t="s">
        <v>127</v>
      </c>
      <c r="C118" s="185"/>
      <c r="D118" s="186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G118" s="173">
        <v>0</v>
      </c>
      <c r="AH118" s="174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175" t="str">
        <f t="shared" si="4"/>
        <v>小雞</v>
      </c>
      <c r="AJ118" s="188"/>
    </row>
    <row r="119" spans="1:36" ht="18" customHeight="1">
      <c r="A119" s="185" t="s">
        <v>58</v>
      </c>
      <c r="B119" s="185" t="s">
        <v>128</v>
      </c>
      <c r="C119" s="185"/>
      <c r="D119" s="186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73">
        <v>0</v>
      </c>
      <c r="AH119" s="174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175" t="str">
        <f t="shared" si="4"/>
        <v>雨昕</v>
      </c>
      <c r="AJ119" s="188"/>
    </row>
    <row r="120" spans="1:36" ht="18" customHeight="1">
      <c r="A120" s="185" t="s">
        <v>58</v>
      </c>
      <c r="B120" s="185" t="s">
        <v>129</v>
      </c>
      <c r="C120" s="185"/>
      <c r="D120" s="186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73">
        <v>0</v>
      </c>
      <c r="AH120" s="174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175" t="str">
        <f t="shared" si="4"/>
        <v>矮矮</v>
      </c>
      <c r="AJ120" s="188"/>
    </row>
    <row r="121" spans="1:36" ht="18" customHeight="1">
      <c r="A121" s="185" t="s">
        <v>58</v>
      </c>
      <c r="B121" s="185" t="s">
        <v>130</v>
      </c>
      <c r="C121" s="185"/>
      <c r="D121" s="186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73">
        <v>0</v>
      </c>
      <c r="AH121" s="174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175" t="str">
        <f t="shared" si="4"/>
        <v>猛女</v>
      </c>
      <c r="AJ121" s="188"/>
    </row>
    <row r="122" spans="1:36" ht="18" customHeight="1">
      <c r="A122" s="185" t="s">
        <v>58</v>
      </c>
      <c r="B122" s="185" t="s">
        <v>131</v>
      </c>
      <c r="C122" s="185"/>
      <c r="D122" s="186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73">
        <v>0</v>
      </c>
      <c r="AH122" s="174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175" t="str">
        <f t="shared" si="4"/>
        <v>欣容</v>
      </c>
      <c r="AJ122" s="188"/>
    </row>
    <row r="123" spans="1:36" ht="18" customHeight="1">
      <c r="A123" s="185" t="s">
        <v>58</v>
      </c>
      <c r="B123" s="185" t="s">
        <v>132</v>
      </c>
      <c r="C123" s="185"/>
      <c r="D123" s="186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G123" s="173">
        <v>0</v>
      </c>
      <c r="AH123" s="174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175" t="str">
        <f t="shared" si="4"/>
        <v>萁萁</v>
      </c>
      <c r="AJ123" s="188"/>
    </row>
    <row r="124" spans="1:36" ht="18" customHeight="1">
      <c r="A124" s="185" t="s">
        <v>58</v>
      </c>
      <c r="B124" s="185" t="s">
        <v>133</v>
      </c>
      <c r="C124" s="185"/>
      <c r="D124" s="186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G124" s="173">
        <v>0</v>
      </c>
      <c r="AH124" s="174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175" t="str">
        <f t="shared" si="4"/>
        <v>萱</v>
      </c>
      <c r="AJ124" s="192"/>
    </row>
    <row r="125" spans="1:36" ht="18" customHeight="1">
      <c r="A125" s="185" t="s">
        <v>58</v>
      </c>
      <c r="B125" s="185" t="s">
        <v>134</v>
      </c>
      <c r="C125" s="185"/>
      <c r="D125" s="186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  <c r="AF125" s="185"/>
      <c r="AG125" s="173">
        <v>0</v>
      </c>
      <c r="AH125" s="174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175" t="str">
        <f t="shared" si="4"/>
        <v>Mei</v>
      </c>
      <c r="AJ125" s="192"/>
    </row>
    <row r="126" spans="1:36" ht="18" customHeight="1">
      <c r="A126" s="185" t="s">
        <v>58</v>
      </c>
      <c r="B126" s="185" t="s">
        <v>135</v>
      </c>
      <c r="C126" s="185"/>
      <c r="D126" s="186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185"/>
      <c r="AF126" s="185"/>
      <c r="AG126" s="173">
        <v>0</v>
      </c>
      <c r="AH126" s="174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175" t="str">
        <f t="shared" si="4"/>
        <v>屁屁</v>
      </c>
      <c r="AJ126" s="192"/>
    </row>
    <row r="127" spans="1:36" ht="18" customHeight="1">
      <c r="A127" s="185" t="s">
        <v>58</v>
      </c>
      <c r="B127" s="185" t="s">
        <v>136</v>
      </c>
      <c r="C127" s="185"/>
      <c r="D127" s="186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5"/>
      <c r="AG127" s="173">
        <v>0</v>
      </c>
      <c r="AH127" s="174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175" t="str">
        <f t="shared" si="4"/>
        <v>泡泡</v>
      </c>
      <c r="AJ127" s="192"/>
    </row>
    <row r="128" spans="1:36" ht="18" customHeight="1">
      <c r="A128" s="185" t="s">
        <v>58</v>
      </c>
      <c r="B128" s="185" t="s">
        <v>137</v>
      </c>
      <c r="C128" s="185"/>
      <c r="D128" s="186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  <c r="AF128" s="185"/>
      <c r="AG128" s="173">
        <v>0</v>
      </c>
      <c r="AH128" s="174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175" t="str">
        <f t="shared" si="4"/>
        <v>姚</v>
      </c>
      <c r="AJ128" s="192"/>
    </row>
    <row r="129" spans="1:36" ht="18" customHeight="1">
      <c r="A129" s="185" t="s">
        <v>58</v>
      </c>
      <c r="B129" s="185" t="s">
        <v>138</v>
      </c>
      <c r="C129" s="185"/>
      <c r="D129" s="186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73">
        <v>0</v>
      </c>
      <c r="AH129" s="174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175" t="str">
        <f t="shared" si="4"/>
        <v>奜茜</v>
      </c>
      <c r="AJ129" s="192"/>
    </row>
    <row r="130" spans="1:36" ht="18" customHeight="1">
      <c r="A130" s="185" t="s">
        <v>58</v>
      </c>
      <c r="B130" s="193" t="s">
        <v>139</v>
      </c>
      <c r="C130" s="185"/>
      <c r="D130" s="186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73">
        <v>0</v>
      </c>
      <c r="AH130" s="174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175" t="str">
        <f t="shared" si="4"/>
        <v>Tina</v>
      </c>
      <c r="AJ130" s="192"/>
    </row>
    <row r="131" spans="1:36" ht="18" customHeight="1">
      <c r="A131" s="185" t="s">
        <v>58</v>
      </c>
      <c r="B131" s="193" t="s">
        <v>140</v>
      </c>
      <c r="C131" s="185"/>
      <c r="D131" s="186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G131" s="173">
        <v>0</v>
      </c>
      <c r="AH131" s="174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175" t="str">
        <f t="shared" si="4"/>
        <v>芷琦</v>
      </c>
      <c r="AJ131" s="192"/>
    </row>
    <row r="132" spans="1:36" ht="18" customHeight="1">
      <c r="A132" s="185" t="s">
        <v>58</v>
      </c>
      <c r="B132" s="193" t="s">
        <v>106</v>
      </c>
      <c r="C132" s="185"/>
      <c r="D132" s="186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73">
        <v>6</v>
      </c>
      <c r="AH132" s="174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175" t="str">
        <f t="shared" ref="AI132:AI145" si="5">B132</f>
        <v>Nina</v>
      </c>
      <c r="AJ132" s="192"/>
    </row>
    <row r="133" spans="1:36" ht="18" customHeight="1">
      <c r="A133" s="185" t="s">
        <v>58</v>
      </c>
      <c r="B133" s="185" t="s">
        <v>141</v>
      </c>
      <c r="C133" s="185"/>
      <c r="D133" s="186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73">
        <v>0</v>
      </c>
      <c r="AH133" s="174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175" t="str">
        <f t="shared" si="5"/>
        <v>Cindy</v>
      </c>
      <c r="AJ133" s="192"/>
    </row>
    <row r="134" spans="1:36" ht="18" customHeight="1">
      <c r="A134" s="185" t="s">
        <v>58</v>
      </c>
      <c r="B134" s="185" t="s">
        <v>142</v>
      </c>
      <c r="C134" s="185"/>
      <c r="D134" s="186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73">
        <v>0</v>
      </c>
      <c r="AH134" s="174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175" t="str">
        <f t="shared" si="5"/>
        <v>如靜</v>
      </c>
      <c r="AJ134" s="192"/>
    </row>
    <row r="135" spans="1:36" ht="18" customHeight="1">
      <c r="A135" s="185" t="s">
        <v>58</v>
      </c>
      <c r="B135" s="185" t="s">
        <v>143</v>
      </c>
      <c r="C135" s="185"/>
      <c r="D135" s="186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73">
        <v>0</v>
      </c>
      <c r="AH135" s="174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175" t="str">
        <f t="shared" si="5"/>
        <v>毓玫</v>
      </c>
      <c r="AJ135" s="192"/>
    </row>
    <row r="136" spans="1:36" ht="18" customHeight="1">
      <c r="A136" s="185" t="s">
        <v>58</v>
      </c>
      <c r="B136" s="185" t="s">
        <v>144</v>
      </c>
      <c r="C136" s="185"/>
      <c r="D136" s="186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  <c r="AF136" s="185"/>
      <c r="AG136" s="173">
        <v>0</v>
      </c>
      <c r="AH136" s="174" t="e">
        <f ca="1">IF(A136="O", (VALUE(_xludf.IFS(AG136=0,"0",AG136=1,"150",AG136=2,"300",AG136=3,"450",AG136=4,"600",AG136=5,"750",AG136&gt;=6,"800"))),(VALUE(_xludf.IFS(AG136=0,"0",AG136=1,"150",AG136=2,"300",AG136=3,"450",AG136=4,"600",AG136=5,"750",AG136=6,"900",AG136&gt;=7,"1,000"))))</f>
        <v>#NAME?</v>
      </c>
      <c r="AI136" s="175" t="str">
        <f t="shared" si="5"/>
        <v>美枝</v>
      </c>
      <c r="AJ136" s="192"/>
    </row>
    <row r="137" spans="1:36" ht="18" customHeight="1">
      <c r="A137" s="185" t="s">
        <v>58</v>
      </c>
      <c r="B137" s="185" t="s">
        <v>145</v>
      </c>
      <c r="C137" s="185"/>
      <c r="D137" s="186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G137" s="173">
        <v>0</v>
      </c>
      <c r="AH137" s="174" t="e">
        <f ca="1">IF(A137="O", (VALUE(_xludf.IFS(AG137=0,"0",AG137=1,"150",AG137=2,"300",AG137=3,"450",AG137=4,"600",AG137=5,"750",AG137&gt;=6,"800"))),(VALUE(_xludf.IFS(AG137=0,"0",AG137=1,"150",AG137=2,"300",AG137=3,"450",AG137=4,"600",AG137=5,"750",AG137=6,"900",AG137&gt;=7,"1,000"))))</f>
        <v>#NAME?</v>
      </c>
      <c r="AI137" s="175" t="str">
        <f t="shared" si="5"/>
        <v>魯魯咪</v>
      </c>
      <c r="AJ137" s="192"/>
    </row>
    <row r="138" spans="1:36" ht="18" customHeight="1">
      <c r="A138" s="166" t="s">
        <v>58</v>
      </c>
      <c r="B138" s="166" t="s">
        <v>41</v>
      </c>
      <c r="C138" s="166"/>
      <c r="D138" s="167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73">
        <v>2</v>
      </c>
      <c r="AH138" s="174" t="e">
        <f ca="1">IF(A138="O", (VALUE(_xludf.IFS(AG138=0,"0",AG138=1,"150",AG138=2,"300",AG138=3,"450",AG138=4,"600",AG138=5,"750",AG138&gt;=6,"800"))),(VALUE(_xludf.IFS(AG138=0,"0",AG138=1,"150",AG138=2,"300",AG138=3,"450",AG138=4,"600",AG138=5,"750",AG138=6,"900",AG138&gt;=7,"1,000"))))</f>
        <v>#NAME?</v>
      </c>
      <c r="AI138" s="175" t="str">
        <f t="shared" si="5"/>
        <v>軟軟</v>
      </c>
      <c r="AJ138" s="194"/>
    </row>
    <row r="139" spans="1:36" ht="18" customHeight="1">
      <c r="A139" s="166" t="s">
        <v>58</v>
      </c>
      <c r="B139" s="166" t="s">
        <v>42</v>
      </c>
      <c r="C139" s="166"/>
      <c r="D139" s="167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73">
        <v>7</v>
      </c>
      <c r="AH139" s="174" t="e">
        <f ca="1">IF(A139="O", (VALUE(_xludf.IFS(AG139=0,"0",AG139=1,"150",AG139=2,"300",AG139=3,"450",AG139=4,"600",AG139=5,"750",AG139&gt;=6,"800"))),(VALUE(_xludf.IFS(AG139=0,"0",AG139=1,"150",AG139=2,"300",AG139=3,"450",AG139=4,"600",AG139=5,"750",AG139=6,"900",AG139&gt;=7,"1,000"))))</f>
        <v>#NAME?</v>
      </c>
      <c r="AI139" s="175" t="str">
        <f t="shared" si="5"/>
        <v>屎蛋</v>
      </c>
      <c r="AJ139" s="194"/>
    </row>
    <row r="140" spans="1:36" ht="18" customHeight="1">
      <c r="A140" s="166"/>
      <c r="B140" s="166" t="s">
        <v>43</v>
      </c>
      <c r="C140" s="166"/>
      <c r="D140" s="167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73">
        <v>10</v>
      </c>
      <c r="AH140" s="174" t="e">
        <f ca="1">IF(A140="O", (VALUE(_xludf.IFS(AG140=0,"0",AG140=1,"150",AG140=2,"300",AG140=3,"450",AG140=4,"600",AG140=5,"750",AG140&gt;=6,"800"))),(VALUE(_xludf.IFS(AG140=0,"0",AG140=1,"150",AG140=2,"300",AG140=3,"450",AG140=4,"600",AG140=5,"750",AG140=6,"900",AG140&gt;=7,"1,000"))))</f>
        <v>#NAME?</v>
      </c>
      <c r="AI140" s="175" t="str">
        <f t="shared" si="5"/>
        <v>阿瑋</v>
      </c>
      <c r="AJ140" s="194"/>
    </row>
    <row r="141" spans="1:36" ht="18" customHeight="1">
      <c r="A141" s="166" t="s">
        <v>174</v>
      </c>
      <c r="B141" s="166" t="s">
        <v>229</v>
      </c>
      <c r="C141" s="166"/>
      <c r="D141" s="167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73">
        <v>4</v>
      </c>
      <c r="AH141" s="174" t="e">
        <f ca="1">IF(A141="O", (VALUE(_xludf.IFS(AG141=0,"0",AG141=1,"150",AG141=2,"300",AG141=3,"450",AG141=4,"600",AG141=5,"750",AG141&gt;=6,"800"))),(VALUE(_xludf.IFS(AG141=0,"0",AG141=1,"150",AG141=2,"300",AG141=3,"450",AG141=4,"600",AG141=5,"750",AG141=6,"900",AG141&gt;=7,"1,000"))))</f>
        <v>#NAME?</v>
      </c>
      <c r="AI141" s="175" t="str">
        <f t="shared" si="5"/>
        <v xml:space="preserve">Jimmy  </v>
      </c>
      <c r="AJ141" s="194"/>
    </row>
    <row r="142" spans="1:36" ht="18" customHeight="1">
      <c r="A142" s="166" t="s">
        <v>174</v>
      </c>
      <c r="B142" s="166" t="s">
        <v>231</v>
      </c>
      <c r="C142" s="166"/>
      <c r="D142" s="167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73">
        <v>4</v>
      </c>
      <c r="AH142" s="174" t="e">
        <f ca="1">IF(A142="O", (VALUE(_xludf.IFS(AG142=0,"0",AG142=1,"150",AG142=2,"300",AG142=3,"450",AG142=4,"600",AG142=5,"750",AG142&gt;=6,"800"))),(VALUE(_xludf.IFS(AG142=0,"0",AG142=1,"150",AG142=2,"300",AG142=3,"450",AG142=4,"600",AG142=5,"750",AG142=6,"900",AG142&gt;=7,"1,000"))))</f>
        <v>#NAME?</v>
      </c>
      <c r="AI142" s="175" t="str">
        <f t="shared" si="5"/>
        <v>郁婷</v>
      </c>
      <c r="AJ142" s="194"/>
    </row>
    <row r="143" spans="1:36" ht="18" customHeight="1">
      <c r="A143" s="166"/>
      <c r="B143" s="166" t="s">
        <v>221</v>
      </c>
      <c r="C143" s="166"/>
      <c r="D143" s="167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73">
        <v>0</v>
      </c>
      <c r="AH143" s="174" t="e">
        <f ca="1">IF(A143="O", (VALUE(_xludf.IFS(AG143=0,"0",AG143=1,"150",AG143=2,"300",AG143=3,"450",AG143=4,"600",AG143=5,"750",AG143&gt;=6,"800"))),(VALUE(_xludf.IFS(AG143=0,"0",AG143=1,"150",AG143=2,"300",AG143=3,"450",AG143=4,"600",AG143=5,"750",AG143=6,"900",AG143&gt;=7,"1,000"))))</f>
        <v>#NAME?</v>
      </c>
      <c r="AI143" s="175" t="str">
        <f t="shared" si="5"/>
        <v>周豪</v>
      </c>
      <c r="AJ143" s="194"/>
    </row>
    <row r="144" spans="1:36" ht="18" customHeight="1">
      <c r="A144" s="166"/>
      <c r="B144" s="166" t="s">
        <v>108</v>
      </c>
      <c r="C144" s="166"/>
      <c r="D144" s="167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73">
        <v>8</v>
      </c>
      <c r="AH144" s="174" t="e">
        <f ca="1">IF(A144="O", (VALUE(_xludf.IFS(AG144=0,"0",AG144=1,"150",AG144=2,"300",AG144=3,"450",AG144=4,"600",AG144=5,"750",AG144&gt;=6,"800"))),(VALUE(_xludf.IFS(AG144=0,"0",AG144=1,"150",AG144=2,"300",AG144=3,"450",AG144=4,"600",AG144=5,"750",AG144=6,"900",AG144&gt;=7,"1,000"))))</f>
        <v>#NAME?</v>
      </c>
      <c r="AI144" s="175" t="str">
        <f t="shared" si="5"/>
        <v>亮君</v>
      </c>
      <c r="AJ144" s="194"/>
    </row>
    <row r="145" spans="1:36" ht="18" customHeight="1">
      <c r="A145" s="166"/>
      <c r="B145" s="166" t="s">
        <v>109</v>
      </c>
      <c r="C145" s="166"/>
      <c r="D145" s="167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73">
        <v>0</v>
      </c>
      <c r="AH145" s="174" t="e">
        <f ca="1">IF(A145="O", (VALUE(_xludf.IFS(AG145=0,"0",AG145=1,"150",AG145=2,"300",AG145=3,"450",AG145=4,"600",AG145=5,"750",AG145&gt;=6,"800"))),(VALUE(_xludf.IFS(AG145=0,"0",AG145=1,"150",AG145=2,"300",AG145=3,"450",AG145=4,"600",AG145=5,"750",AG145=6,"900",AG145&gt;=7,"1,000"))))</f>
        <v>#NAME?</v>
      </c>
      <c r="AI145" s="175" t="str">
        <f t="shared" si="5"/>
        <v>亮吟</v>
      </c>
      <c r="AJ145" s="194"/>
    </row>
    <row r="146" spans="1:36" ht="18" customHeight="1">
      <c r="A146" s="166"/>
      <c r="B146" s="166" t="s">
        <v>46</v>
      </c>
      <c r="C146" s="166"/>
      <c r="D146" s="167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73">
        <v>14</v>
      </c>
      <c r="AH146" s="174" t="e">
        <f ca="1">IF(A146="O", (VALUE(_xludf.IFS(AG146=0,"0",AG146=1,"150",AG146=2,"300",AG146=3,"450",AG146=4,"600",AG146=5,"750",AG146&gt;=6,"800"))),(VALUE(_xludf.IFS(AG146=0,"0",AG146=1,"150",AG146=2,"300",AG146=3,"450",AG146=4,"600",AG146=5,"750",AG146=6,"900",AG146&gt;=7,"1,000"))))</f>
        <v>#NAME?</v>
      </c>
      <c r="AI146" s="175" t="s">
        <v>46</v>
      </c>
      <c r="AJ146" s="194"/>
    </row>
    <row r="147" spans="1:36" ht="18" customHeight="1">
      <c r="A147" s="166" t="s">
        <v>174</v>
      </c>
      <c r="B147" s="166" t="s">
        <v>110</v>
      </c>
      <c r="C147" s="166"/>
      <c r="D147" s="167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73">
        <v>8</v>
      </c>
      <c r="AH147" s="174" t="e">
        <f ca="1">IF(A147="O", (VALUE(_xludf.IFS(AG147=0,"0",AG147=1,"150",AG147=2,"300",AG147=3,"450",AG147=4,"600",AG147=5,"750",AG147&gt;=6,"800"))),(VALUE(_xludf.IFS(AG147=0,"0",AG147=1,"150",AG147=2,"300",AG147=3,"450",AG147=4,"600",AG147=5,"750",AG147=6,"900",AG147&gt;=7,"1,000"))))</f>
        <v>#NAME?</v>
      </c>
      <c r="AI147" s="175" t="s">
        <v>110</v>
      </c>
      <c r="AJ147" s="194"/>
    </row>
    <row r="148" spans="1:36" ht="18" customHeight="1">
      <c r="A148" s="166"/>
      <c r="B148" s="166" t="s">
        <v>45</v>
      </c>
      <c r="C148" s="166"/>
      <c r="D148" s="167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73">
        <v>6</v>
      </c>
      <c r="AH148" s="174" t="e">
        <f ca="1">IF(A148="O", (VALUE(_xludf.IFS(AG148=0,"0",AG148=1,"150",AG148=2,"300",AG148=3,"450",AG148=4,"600",AG148=5,"750",AG148&gt;=6,"800"))),(VALUE(_xludf.IFS(AG148=0,"0",AG148=1,"150",AG148=2,"300",AG148=3,"450",AG148=4,"600",AG148=5,"750",AG148=6,"900",AG148&gt;=7,"1,000"))))</f>
        <v>#NAME?</v>
      </c>
      <c r="AI148" s="175" t="s">
        <v>45</v>
      </c>
      <c r="AJ148" s="194"/>
    </row>
  </sheetData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48">
    <cfRule type="expression" dxfId="4" priority="1">
      <formula>COUNTIF($B:$B,$B2)&gt;1</formula>
    </cfRule>
  </conditionalFormatting>
  <dataValidations count="1">
    <dataValidation type="list" allowBlank="1" showDropDown="1" showErrorMessage="1" sqref="C1:AF1" xr:uid="{00000000-0002-0000-1E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EA9999"/>
    <outlinePr summaryBelow="0" summaryRight="0"/>
    <pageSetUpPr fitToPage="1"/>
  </sheetPr>
  <dimension ref="A1:AJ139"/>
  <sheetViews>
    <sheetView workbookViewId="0">
      <pane xSplit="2" topLeftCell="C1" activePane="topRight" state="frozen"/>
      <selection pane="topRight" activeCell="D2" sqref="D2"/>
    </sheetView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/>
      <c r="D1" s="126"/>
      <c r="E1" s="126"/>
      <c r="F1" s="51"/>
      <c r="G1" s="126"/>
      <c r="H1" s="51"/>
      <c r="I1" s="126"/>
      <c r="J1" s="126"/>
      <c r="K1" s="126"/>
      <c r="L1" s="126"/>
      <c r="M1" s="51"/>
      <c r="N1" s="126"/>
      <c r="O1" s="51"/>
      <c r="P1" s="126"/>
      <c r="Q1" s="126"/>
      <c r="R1" s="126"/>
      <c r="S1" s="126"/>
      <c r="T1" s="51"/>
      <c r="U1" s="126"/>
      <c r="V1" s="51"/>
      <c r="W1" s="126"/>
      <c r="X1" s="126"/>
      <c r="Y1" s="126"/>
      <c r="Z1" s="126"/>
      <c r="AA1" s="51"/>
      <c r="AB1" s="126"/>
      <c r="AC1" s="126"/>
      <c r="AD1" s="126"/>
      <c r="AE1" s="126"/>
      <c r="AF1" s="126"/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45931</v>
      </c>
      <c r="D2" s="55">
        <v>45932</v>
      </c>
      <c r="E2" s="55">
        <v>45933</v>
      </c>
      <c r="F2" s="55">
        <v>45934</v>
      </c>
      <c r="G2" s="55">
        <v>45935</v>
      </c>
      <c r="H2" s="55">
        <v>45936</v>
      </c>
      <c r="I2" s="55">
        <v>45937</v>
      </c>
      <c r="J2" s="55">
        <v>45938</v>
      </c>
      <c r="K2" s="55">
        <v>45939</v>
      </c>
      <c r="L2" s="55">
        <v>45940</v>
      </c>
      <c r="M2" s="55">
        <v>45941</v>
      </c>
      <c r="N2" s="55">
        <v>45942</v>
      </c>
      <c r="O2" s="55">
        <v>45943</v>
      </c>
      <c r="P2" s="55">
        <v>45944</v>
      </c>
      <c r="Q2" s="55">
        <v>45945</v>
      </c>
      <c r="R2" s="55">
        <v>45946</v>
      </c>
      <c r="S2" s="55">
        <v>45947</v>
      </c>
      <c r="T2" s="55">
        <v>45948</v>
      </c>
      <c r="U2" s="55">
        <v>45949</v>
      </c>
      <c r="V2" s="55">
        <v>45950</v>
      </c>
      <c r="W2" s="55">
        <v>45951</v>
      </c>
      <c r="X2" s="55">
        <v>45952</v>
      </c>
      <c r="Y2" s="55">
        <v>45953</v>
      </c>
      <c r="Z2" s="55">
        <v>45954</v>
      </c>
      <c r="AA2" s="55">
        <v>45955</v>
      </c>
      <c r="AB2" s="55">
        <v>45956</v>
      </c>
      <c r="AC2" s="55">
        <v>45957</v>
      </c>
      <c r="AD2" s="55">
        <v>45958</v>
      </c>
      <c r="AE2" s="55">
        <v>45959</v>
      </c>
      <c r="AF2" s="55">
        <v>45960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3</v>
      </c>
      <c r="D3" s="152">
        <f t="shared" si="0"/>
        <v>4</v>
      </c>
      <c r="E3" s="126">
        <f t="shared" si="0"/>
        <v>5</v>
      </c>
      <c r="F3" s="51">
        <f t="shared" si="0"/>
        <v>6</v>
      </c>
      <c r="G3" s="126">
        <f t="shared" si="0"/>
        <v>7</v>
      </c>
      <c r="H3" s="51">
        <f t="shared" si="0"/>
        <v>1</v>
      </c>
      <c r="I3" s="126">
        <f t="shared" si="0"/>
        <v>2</v>
      </c>
      <c r="J3" s="126">
        <f t="shared" si="0"/>
        <v>3</v>
      </c>
      <c r="K3" s="126">
        <f t="shared" si="0"/>
        <v>4</v>
      </c>
      <c r="L3" s="126">
        <f t="shared" si="0"/>
        <v>5</v>
      </c>
      <c r="M3" s="51">
        <f t="shared" si="0"/>
        <v>6</v>
      </c>
      <c r="N3" s="126">
        <f t="shared" si="0"/>
        <v>7</v>
      </c>
      <c r="O3" s="51">
        <f t="shared" si="0"/>
        <v>1</v>
      </c>
      <c r="P3" s="126">
        <f t="shared" si="0"/>
        <v>2</v>
      </c>
      <c r="Q3" s="126">
        <f t="shared" si="0"/>
        <v>3</v>
      </c>
      <c r="R3" s="126">
        <f t="shared" si="0"/>
        <v>4</v>
      </c>
      <c r="S3" s="126">
        <f t="shared" si="0"/>
        <v>5</v>
      </c>
      <c r="T3" s="51">
        <f t="shared" si="0"/>
        <v>6</v>
      </c>
      <c r="U3" s="126">
        <f t="shared" si="0"/>
        <v>7</v>
      </c>
      <c r="V3" s="51">
        <f t="shared" si="0"/>
        <v>1</v>
      </c>
      <c r="W3" s="126">
        <f t="shared" si="0"/>
        <v>2</v>
      </c>
      <c r="X3" s="126">
        <f t="shared" si="0"/>
        <v>3</v>
      </c>
      <c r="Y3" s="126">
        <f t="shared" si="0"/>
        <v>4</v>
      </c>
      <c r="Z3" s="126">
        <f t="shared" si="0"/>
        <v>5</v>
      </c>
      <c r="AA3" s="51">
        <f t="shared" si="0"/>
        <v>6</v>
      </c>
      <c r="AB3" s="126">
        <f t="shared" si="0"/>
        <v>7</v>
      </c>
      <c r="AC3" s="126">
        <f t="shared" si="0"/>
        <v>1</v>
      </c>
      <c r="AD3" s="126">
        <f t="shared" si="0"/>
        <v>2</v>
      </c>
      <c r="AE3" s="126">
        <f t="shared" si="0"/>
        <v>3</v>
      </c>
      <c r="AF3" s="126">
        <f t="shared" si="0"/>
        <v>4</v>
      </c>
      <c r="AG3" s="283"/>
      <c r="AH3" s="278"/>
      <c r="AI3" s="273"/>
      <c r="AJ3" s="62" t="e">
        <f ca="1">SUM(AH4:AH140)</f>
        <v>#NAME?</v>
      </c>
    </row>
    <row r="4" spans="1:36" ht="18" customHeight="1">
      <c r="A4" s="92" t="s">
        <v>174</v>
      </c>
      <c r="B4" s="93" t="s">
        <v>10</v>
      </c>
      <c r="C4" s="149"/>
      <c r="D4" s="150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66">
        <v>4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1">B4</f>
        <v>阿發</v>
      </c>
      <c r="AJ4" s="70"/>
    </row>
    <row r="5" spans="1:36" ht="18" customHeight="1">
      <c r="A5" s="95" t="s">
        <v>174</v>
      </c>
      <c r="B5" s="122" t="s">
        <v>11</v>
      </c>
      <c r="C5" s="151"/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66">
        <v>10</v>
      </c>
      <c r="AH5" s="68" t="e">
        <f ca="1">IF(A5="O", (VALUE(_xludf.IFS(AG5=0,"0",AG5=1,"150",AG5=2,"300",AG5=3,"450",AG5=4,"600",AG5=5,"750",AG5&gt;=6,"800"))),(VALUE(_xludf.IFS(AG5=0,"0",AG5=1,"150",AG5=2,"300",AG5=3,"450",AG5=4,"600",AG5=5,"750",AG5=6,"900",AG5&gt;=7,"1,000"))))</f>
        <v>#NAME?</v>
      </c>
      <c r="AI5" s="122" t="str">
        <f t="shared" si="1"/>
        <v>捷升</v>
      </c>
      <c r="AJ5" s="70"/>
    </row>
    <row r="6" spans="1:36" ht="18" customHeight="1">
      <c r="A6" s="95" t="s">
        <v>174</v>
      </c>
      <c r="B6" s="122" t="s">
        <v>14</v>
      </c>
      <c r="C6" s="151"/>
      <c r="D6" s="150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66">
        <v>14</v>
      </c>
      <c r="AH6" s="68" t="e">
        <f ca="1">IF(A6="O", (VALUE(_xludf.IFS(AG6=0,"0",AG6=1,"150",AG6=2,"300",AG6=3,"450",AG6=4,"600",AG6=5,"750",AG6&gt;=6,"800"))),(VALUE(_xludf.IFS(AG6=0,"0",AG6=1,"150",AG6=2,"300",AG6=3,"450",AG6=4,"600",AG6=5,"750",AG6=6,"900",AG6&gt;=7,"1,000"))))</f>
        <v>#NAME?</v>
      </c>
      <c r="AI6" s="122" t="str">
        <f t="shared" si="1"/>
        <v>曉明</v>
      </c>
      <c r="AJ6" s="70"/>
    </row>
    <row r="7" spans="1:36" ht="18" customHeight="1">
      <c r="A7" s="95" t="s">
        <v>174</v>
      </c>
      <c r="B7" s="96" t="s">
        <v>15</v>
      </c>
      <c r="C7" s="151"/>
      <c r="D7" s="150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66">
        <v>4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1"/>
        <v>大支</v>
      </c>
      <c r="AJ7" s="70"/>
    </row>
    <row r="8" spans="1:36" ht="18" customHeight="1">
      <c r="A8" s="95" t="s">
        <v>174</v>
      </c>
      <c r="B8" s="96" t="s">
        <v>16</v>
      </c>
      <c r="C8" s="151"/>
      <c r="D8" s="1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66">
        <v>4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1"/>
        <v>弼善</v>
      </c>
      <c r="AJ8" s="70"/>
    </row>
    <row r="9" spans="1:36" ht="18" customHeight="1">
      <c r="A9" s="95" t="s">
        <v>174</v>
      </c>
      <c r="B9" s="96" t="s">
        <v>17</v>
      </c>
      <c r="C9" s="151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66">
        <v>4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1"/>
        <v>光曜</v>
      </c>
      <c r="AJ9" s="70"/>
    </row>
    <row r="10" spans="1:36" ht="18" customHeight="1">
      <c r="A10" s="95" t="s">
        <v>174</v>
      </c>
      <c r="B10" s="122" t="s">
        <v>13</v>
      </c>
      <c r="C10" s="151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66">
        <v>4</v>
      </c>
      <c r="AH10" s="68" t="e">
        <f ca="1">IF(A10="O", (VALUE(_xludf.IFS(AG10=0,"0",AG10=1,"150",AG10=2,"300",AG10=3,"450",AG10=4,"600",AG10=5,"750",AG10&gt;=6,"800"))),(VALUE(_xludf.IFS(AG10=0,"0",AG10=1,"150",AG10=2,"300",AG10=3,"450",AG10=4,"600",AG10=5,"750",AG10=6,"900",AG10&gt;=7,"1,000"))))</f>
        <v>#NAME?</v>
      </c>
      <c r="AI10" s="122" t="str">
        <f t="shared" si="1"/>
        <v>李洋</v>
      </c>
      <c r="AJ10" s="70"/>
    </row>
    <row r="11" spans="1:36" ht="18" customHeight="1">
      <c r="A11" s="95" t="s">
        <v>174</v>
      </c>
      <c r="B11" s="96" t="s">
        <v>18</v>
      </c>
      <c r="C11" s="151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66">
        <v>4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1"/>
        <v>皓元</v>
      </c>
      <c r="AJ11" s="70"/>
    </row>
    <row r="12" spans="1:36" ht="18" customHeight="1">
      <c r="A12" s="95" t="s">
        <v>174</v>
      </c>
      <c r="B12" s="122" t="s">
        <v>19</v>
      </c>
      <c r="C12" s="151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66">
        <v>4</v>
      </c>
      <c r="AH12" s="68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122" t="str">
        <f t="shared" si="1"/>
        <v>青蛙</v>
      </c>
      <c r="AJ12" s="70"/>
    </row>
    <row r="13" spans="1:36" ht="18" customHeight="1">
      <c r="A13" s="95" t="s">
        <v>174</v>
      </c>
      <c r="B13" s="96" t="s">
        <v>61</v>
      </c>
      <c r="C13" s="151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66">
        <v>4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1"/>
        <v>韋融</v>
      </c>
      <c r="AJ13" s="70"/>
    </row>
    <row r="14" spans="1:36" ht="18" customHeight="1">
      <c r="A14" s="95" t="s">
        <v>174</v>
      </c>
      <c r="B14" s="96" t="s">
        <v>175</v>
      </c>
      <c r="C14" s="151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66">
        <v>4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1"/>
        <v>咪咪</v>
      </c>
      <c r="AJ14" s="70"/>
    </row>
    <row r="15" spans="1:36" ht="18" customHeight="1">
      <c r="A15" s="95" t="s">
        <v>174</v>
      </c>
      <c r="B15" s="96" t="s">
        <v>20</v>
      </c>
      <c r="C15" s="151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66">
        <v>4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1"/>
        <v>港弟</v>
      </c>
      <c r="AJ15" s="70"/>
    </row>
    <row r="16" spans="1:36" ht="18" customHeight="1">
      <c r="A16" s="95" t="s">
        <v>174</v>
      </c>
      <c r="B16" s="96" t="s">
        <v>21</v>
      </c>
      <c r="C16" s="151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66">
        <v>4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1"/>
        <v>晧全</v>
      </c>
      <c r="AJ16" s="70"/>
    </row>
    <row r="17" spans="1:36" ht="18" customHeight="1">
      <c r="A17" s="95" t="s">
        <v>174</v>
      </c>
      <c r="B17" s="96" t="s">
        <v>22</v>
      </c>
      <c r="C17" s="151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66">
        <v>4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1"/>
        <v>Mars</v>
      </c>
      <c r="AJ17" s="70"/>
    </row>
    <row r="18" spans="1:36" ht="18" customHeight="1">
      <c r="A18" s="99" t="s">
        <v>174</v>
      </c>
      <c r="B18" s="100" t="s">
        <v>89</v>
      </c>
      <c r="C18" s="99"/>
      <c r="D18" s="132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77"/>
      <c r="AH18" s="78"/>
      <c r="AI18" s="79" t="str">
        <f t="shared" si="1"/>
        <v>泡芙</v>
      </c>
      <c r="AJ18" s="80"/>
    </row>
    <row r="19" spans="1:36" ht="18" customHeight="1">
      <c r="A19" s="99" t="s">
        <v>174</v>
      </c>
      <c r="B19" s="100" t="s">
        <v>90</v>
      </c>
      <c r="C19" s="99"/>
      <c r="D19" s="13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77"/>
      <c r="AH19" s="78"/>
      <c r="AI19" s="79" t="str">
        <f t="shared" si="1"/>
        <v>蓓蓓</v>
      </c>
      <c r="AJ19" s="80"/>
    </row>
    <row r="20" spans="1:36" ht="18" customHeight="1">
      <c r="A20" s="99" t="s">
        <v>174</v>
      </c>
      <c r="B20" s="100" t="s">
        <v>91</v>
      </c>
      <c r="C20" s="99"/>
      <c r="D20" s="132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77"/>
      <c r="AH20" s="78"/>
      <c r="AI20" s="79" t="str">
        <f t="shared" si="1"/>
        <v>柔柔</v>
      </c>
      <c r="AJ20" s="80"/>
    </row>
    <row r="21" spans="1:36" ht="18" customHeight="1">
      <c r="A21" s="99" t="s">
        <v>174</v>
      </c>
      <c r="B21" s="100" t="s">
        <v>92</v>
      </c>
      <c r="C21" s="99"/>
      <c r="D21" s="132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77"/>
      <c r="AH21" s="78"/>
      <c r="AI21" s="79" t="str">
        <f t="shared" si="1"/>
        <v>婉晴</v>
      </c>
      <c r="AJ21" s="80"/>
    </row>
    <row r="22" spans="1:36" ht="18" customHeight="1">
      <c r="A22" s="99" t="s">
        <v>174</v>
      </c>
      <c r="B22" s="100" t="s">
        <v>93</v>
      </c>
      <c r="C22" s="99"/>
      <c r="D22" s="132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77"/>
      <c r="AH22" s="78"/>
      <c r="AI22" s="79" t="str">
        <f t="shared" si="1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132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77"/>
      <c r="AH23" s="78"/>
      <c r="AI23" s="79" t="str">
        <f t="shared" si="1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132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77"/>
      <c r="AH24" s="78"/>
      <c r="AI24" s="79" t="str">
        <f t="shared" si="1"/>
        <v>高麗菜</v>
      </c>
      <c r="AJ24" s="80"/>
    </row>
    <row r="25" spans="1:36" ht="18" customHeight="1">
      <c r="A25" s="99" t="s">
        <v>174</v>
      </c>
      <c r="B25" s="100" t="s">
        <v>113</v>
      </c>
      <c r="C25" s="99"/>
      <c r="D25" s="132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77"/>
      <c r="AH25" s="78"/>
      <c r="AI25" s="79" t="str">
        <f t="shared" si="1"/>
        <v>容容</v>
      </c>
      <c r="AJ25" s="82"/>
    </row>
    <row r="26" spans="1:36" ht="18" customHeight="1">
      <c r="A26" s="99" t="s">
        <v>174</v>
      </c>
      <c r="B26" s="100" t="s">
        <v>94</v>
      </c>
      <c r="C26" s="99"/>
      <c r="D26" s="132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77"/>
      <c r="AH26" s="78"/>
      <c r="AI26" s="79" t="str">
        <f t="shared" si="1"/>
        <v>小花</v>
      </c>
      <c r="AJ26" s="80"/>
    </row>
    <row r="27" spans="1:36" ht="18" customHeight="1">
      <c r="A27" s="99" t="s">
        <v>174</v>
      </c>
      <c r="B27" s="100" t="s">
        <v>95</v>
      </c>
      <c r="C27" s="99"/>
      <c r="D27" s="132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77"/>
      <c r="AH27" s="78"/>
      <c r="AI27" s="79" t="str">
        <f t="shared" si="1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77"/>
      <c r="AH28" s="78"/>
      <c r="AI28" s="79" t="str">
        <f t="shared" si="1"/>
        <v>飛飛</v>
      </c>
      <c r="AJ28" s="81"/>
    </row>
    <row r="29" spans="1:36" ht="18" customHeight="1">
      <c r="A29" s="99" t="s">
        <v>174</v>
      </c>
      <c r="B29" s="100" t="s">
        <v>147</v>
      </c>
      <c r="C29" s="99"/>
      <c r="D29" s="132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77"/>
      <c r="AH29" s="78"/>
      <c r="AI29" s="79" t="str">
        <f t="shared" si="1"/>
        <v>湘苡</v>
      </c>
      <c r="AJ29" s="80"/>
    </row>
    <row r="30" spans="1:36" ht="18" customHeight="1">
      <c r="A30" s="99" t="s">
        <v>174</v>
      </c>
      <c r="B30" s="100" t="s">
        <v>148</v>
      </c>
      <c r="C30" s="99"/>
      <c r="D30" s="132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77"/>
      <c r="AH30" s="78"/>
      <c r="AI30" s="79" t="str">
        <f t="shared" si="1"/>
        <v>雅雅</v>
      </c>
      <c r="AJ30" s="82"/>
    </row>
    <row r="31" spans="1:36" ht="18" customHeight="1">
      <c r="A31" s="101" t="s">
        <v>174</v>
      </c>
      <c r="B31" s="102" t="s">
        <v>103</v>
      </c>
      <c r="C31" s="101"/>
      <c r="D31" s="137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86"/>
      <c r="AH31" s="87"/>
      <c r="AI31" s="88" t="str">
        <f t="shared" si="1"/>
        <v>圈圈</v>
      </c>
      <c r="AJ31" s="90"/>
    </row>
    <row r="32" spans="1:36" ht="18" customHeight="1">
      <c r="A32" s="101" t="s">
        <v>174</v>
      </c>
      <c r="B32" s="102" t="s">
        <v>104</v>
      </c>
      <c r="C32" s="101"/>
      <c r="D32" s="137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86"/>
      <c r="AH32" s="87"/>
      <c r="AI32" s="88" t="str">
        <f t="shared" si="1"/>
        <v>卡丘</v>
      </c>
      <c r="AJ32" s="90"/>
    </row>
    <row r="33" spans="1:36" ht="18" customHeight="1">
      <c r="A33" s="101" t="s">
        <v>174</v>
      </c>
      <c r="B33" s="102" t="s">
        <v>105</v>
      </c>
      <c r="C33" s="101"/>
      <c r="D33" s="137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86"/>
      <c r="AH33" s="87"/>
      <c r="AI33" s="88" t="str">
        <f t="shared" si="1"/>
        <v>琬蓁</v>
      </c>
      <c r="AJ33" s="90"/>
    </row>
    <row r="34" spans="1:36" ht="18" customHeight="1">
      <c r="A34" s="101" t="s">
        <v>174</v>
      </c>
      <c r="B34" s="102" t="s">
        <v>116</v>
      </c>
      <c r="C34" s="101"/>
      <c r="D34" s="137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86"/>
      <c r="AH34" s="87"/>
      <c r="AI34" s="88" t="str">
        <f t="shared" si="1"/>
        <v>大汪</v>
      </c>
      <c r="AJ34" s="89"/>
    </row>
    <row r="35" spans="1:36" ht="18" customHeight="1">
      <c r="A35" s="101" t="s">
        <v>174</v>
      </c>
      <c r="B35" s="102" t="s">
        <v>117</v>
      </c>
      <c r="C35" s="101"/>
      <c r="D35" s="137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86"/>
      <c r="AH35" s="87"/>
      <c r="AI35" s="88" t="str">
        <f t="shared" si="1"/>
        <v>依凡</v>
      </c>
      <c r="AJ35" s="89"/>
    </row>
    <row r="36" spans="1:36" ht="18" customHeight="1">
      <c r="A36" s="101" t="s">
        <v>174</v>
      </c>
      <c r="B36" s="102" t="s">
        <v>118</v>
      </c>
      <c r="C36" s="101"/>
      <c r="D36" s="137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86"/>
      <c r="AH36" s="87"/>
      <c r="AI36" s="88" t="str">
        <f t="shared" ref="AI36:AI67" si="2">B36</f>
        <v>雅筑</v>
      </c>
      <c r="AJ36" s="89"/>
    </row>
    <row r="37" spans="1:36" ht="18" customHeight="1">
      <c r="A37" s="101" t="s">
        <v>174</v>
      </c>
      <c r="B37" s="102" t="s">
        <v>119</v>
      </c>
      <c r="C37" s="101"/>
      <c r="D37" s="137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86"/>
      <c r="AH37" s="87"/>
      <c r="AI37" s="88" t="str">
        <f t="shared" si="2"/>
        <v>ABBY</v>
      </c>
      <c r="AJ37" s="90"/>
    </row>
    <row r="38" spans="1:36" ht="18" customHeight="1">
      <c r="A38" s="101" t="s">
        <v>174</v>
      </c>
      <c r="B38" s="102" t="s">
        <v>120</v>
      </c>
      <c r="C38" s="101"/>
      <c r="D38" s="137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86"/>
      <c r="AH38" s="87"/>
      <c r="AI38" s="88" t="str">
        <f t="shared" si="2"/>
        <v>品君</v>
      </c>
      <c r="AJ38" s="90"/>
    </row>
    <row r="39" spans="1:36" ht="18" customHeight="1">
      <c r="A39" s="101" t="s">
        <v>174</v>
      </c>
      <c r="B39" s="102" t="s">
        <v>121</v>
      </c>
      <c r="C39" s="101"/>
      <c r="D39" s="137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86"/>
      <c r="AH39" s="87"/>
      <c r="AI39" s="88" t="str">
        <f t="shared" si="2"/>
        <v>冰沙</v>
      </c>
      <c r="AJ39" s="90"/>
    </row>
    <row r="40" spans="1:36" ht="18" customHeight="1">
      <c r="A40" s="101" t="s">
        <v>174</v>
      </c>
      <c r="B40" s="102" t="s">
        <v>122</v>
      </c>
      <c r="C40" s="101"/>
      <c r="D40" s="137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86"/>
      <c r="AH40" s="87"/>
      <c r="AI40" s="88" t="str">
        <f t="shared" si="2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86"/>
      <c r="AH41" s="87"/>
      <c r="AI41" s="88" t="str">
        <f t="shared" si="2"/>
        <v>瑤瑤</v>
      </c>
      <c r="AJ41" s="89"/>
    </row>
    <row r="42" spans="1:36" ht="18" customHeight="1">
      <c r="A42" s="95" t="s">
        <v>58</v>
      </c>
      <c r="B42" s="96" t="s">
        <v>23</v>
      </c>
      <c r="C42" s="120"/>
      <c r="D42" s="14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66"/>
      <c r="AH42" s="68"/>
      <c r="AI42" s="69" t="str">
        <f t="shared" si="2"/>
        <v>ㄈㄈ</v>
      </c>
      <c r="AJ42" s="73"/>
    </row>
    <row r="43" spans="1:36" ht="18" customHeight="1">
      <c r="A43" s="95" t="s">
        <v>58</v>
      </c>
      <c r="B43" s="96" t="s">
        <v>24</v>
      </c>
      <c r="C43" s="120"/>
      <c r="D43" s="14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66"/>
      <c r="AH43" s="68"/>
      <c r="AI43" s="69" t="str">
        <f t="shared" si="2"/>
        <v>大熊</v>
      </c>
      <c r="AJ43" s="73"/>
    </row>
    <row r="44" spans="1:36" ht="18" customHeight="1">
      <c r="A44" s="95" t="s">
        <v>58</v>
      </c>
      <c r="B44" s="96" t="s">
        <v>64</v>
      </c>
      <c r="C44" s="120"/>
      <c r="D44" s="14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66"/>
      <c r="AH44" s="68"/>
      <c r="AI44" s="69" t="str">
        <f t="shared" si="2"/>
        <v>園棠</v>
      </c>
      <c r="AJ44" s="73"/>
    </row>
    <row r="45" spans="1:36" ht="18" customHeight="1">
      <c r="A45" s="95" t="s">
        <v>58</v>
      </c>
      <c r="B45" s="96" t="s">
        <v>178</v>
      </c>
      <c r="C45" s="120"/>
      <c r="D45" s="14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66"/>
      <c r="AH45" s="68"/>
      <c r="AI45" s="69" t="str">
        <f t="shared" si="2"/>
        <v>Fish</v>
      </c>
      <c r="AJ45" s="73"/>
    </row>
    <row r="46" spans="1:36" ht="18" customHeight="1">
      <c r="A46" s="95" t="s">
        <v>58</v>
      </c>
      <c r="B46" s="96" t="s">
        <v>25</v>
      </c>
      <c r="C46" s="120"/>
      <c r="D46" s="14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66"/>
      <c r="AH46" s="68"/>
      <c r="AI46" s="69" t="str">
        <f t="shared" si="2"/>
        <v>潘潘</v>
      </c>
      <c r="AJ46" s="73"/>
    </row>
    <row r="47" spans="1:36" ht="18" customHeight="1">
      <c r="A47" s="95" t="s">
        <v>58</v>
      </c>
      <c r="B47" s="96" t="s">
        <v>63</v>
      </c>
      <c r="C47" s="120"/>
      <c r="D47" s="14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66"/>
      <c r="AH47" s="68"/>
      <c r="AI47" s="69" t="str">
        <f t="shared" si="2"/>
        <v>芒果</v>
      </c>
      <c r="AJ47" s="73"/>
    </row>
    <row r="48" spans="1:36" ht="18" customHeight="1">
      <c r="A48" s="95" t="s">
        <v>58</v>
      </c>
      <c r="B48" s="96" t="s">
        <v>62</v>
      </c>
      <c r="C48" s="120"/>
      <c r="D48" s="14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66"/>
      <c r="AH48" s="68"/>
      <c r="AI48" s="69" t="str">
        <f t="shared" si="2"/>
        <v>國源</v>
      </c>
      <c r="AJ48" s="73"/>
    </row>
    <row r="49" spans="1:36" ht="18" customHeight="1">
      <c r="A49" s="95" t="s">
        <v>58</v>
      </c>
      <c r="B49" s="96" t="s">
        <v>26</v>
      </c>
      <c r="C49" s="120"/>
      <c r="D49" s="14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66"/>
      <c r="AH49" s="68"/>
      <c r="AI49" s="69" t="str">
        <f t="shared" si="2"/>
        <v>曉強</v>
      </c>
      <c r="AJ49" s="73"/>
    </row>
    <row r="50" spans="1:36" ht="18" customHeight="1">
      <c r="A50" s="95" t="s">
        <v>58</v>
      </c>
      <c r="B50" s="96" t="s">
        <v>59</v>
      </c>
      <c r="C50" s="120"/>
      <c r="D50" s="14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66"/>
      <c r="AH50" s="68"/>
      <c r="AI50" s="69" t="str">
        <f t="shared" si="2"/>
        <v>阿幹</v>
      </c>
      <c r="AJ50" s="73"/>
    </row>
    <row r="51" spans="1:36" ht="18" customHeight="1">
      <c r="A51" s="95" t="s">
        <v>58</v>
      </c>
      <c r="B51" s="96" t="s">
        <v>27</v>
      </c>
      <c r="C51" s="120"/>
      <c r="D51" s="14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66"/>
      <c r="AH51" s="68"/>
      <c r="AI51" s="69" t="str">
        <f t="shared" si="2"/>
        <v>芋圓</v>
      </c>
      <c r="AJ51" s="73"/>
    </row>
    <row r="52" spans="1:36" ht="18" customHeight="1">
      <c r="A52" s="95" t="s">
        <v>58</v>
      </c>
      <c r="B52" s="96" t="s">
        <v>28</v>
      </c>
      <c r="C52" s="120"/>
      <c r="D52" s="14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66"/>
      <c r="AH52" s="68"/>
      <c r="AI52" s="69" t="str">
        <f t="shared" si="2"/>
        <v>克勤</v>
      </c>
      <c r="AJ52" s="73"/>
    </row>
    <row r="53" spans="1:36" ht="18" customHeight="1">
      <c r="A53" s="95" t="s">
        <v>58</v>
      </c>
      <c r="B53" s="96" t="s">
        <v>29</v>
      </c>
      <c r="C53" s="120"/>
      <c r="D53" s="14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66"/>
      <c r="AH53" s="68"/>
      <c r="AI53" s="69" t="str">
        <f t="shared" si="2"/>
        <v>大頭</v>
      </c>
      <c r="AJ53" s="73"/>
    </row>
    <row r="54" spans="1:36" ht="18" customHeight="1">
      <c r="A54" s="95" t="s">
        <v>58</v>
      </c>
      <c r="B54" s="96" t="s">
        <v>65</v>
      </c>
      <c r="C54" s="120"/>
      <c r="D54" s="14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66"/>
      <c r="AH54" s="68"/>
      <c r="AI54" s="69" t="str">
        <f t="shared" si="2"/>
        <v>文淵</v>
      </c>
      <c r="AJ54" s="73"/>
    </row>
    <row r="55" spans="1:36" ht="18" customHeight="1">
      <c r="A55" s="95" t="s">
        <v>58</v>
      </c>
      <c r="B55" s="96" t="s">
        <v>72</v>
      </c>
      <c r="C55" s="120"/>
      <c r="D55" s="14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66"/>
      <c r="AH55" s="68"/>
      <c r="AI55" s="69" t="str">
        <f t="shared" si="2"/>
        <v>八卦</v>
      </c>
      <c r="AJ55" s="73"/>
    </row>
    <row r="56" spans="1:36" ht="18" customHeight="1">
      <c r="A56" s="95" t="s">
        <v>58</v>
      </c>
      <c r="B56" s="96" t="s">
        <v>66</v>
      </c>
      <c r="C56" s="120"/>
      <c r="D56" s="14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66"/>
      <c r="AH56" s="68"/>
      <c r="AI56" s="69" t="str">
        <f t="shared" si="2"/>
        <v>昆佑</v>
      </c>
      <c r="AJ56" s="73"/>
    </row>
    <row r="57" spans="1:36" ht="18" customHeight="1">
      <c r="A57" s="95" t="s">
        <v>58</v>
      </c>
      <c r="B57" s="96" t="s">
        <v>68</v>
      </c>
      <c r="C57" s="120"/>
      <c r="D57" s="14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66"/>
      <c r="AH57" s="68"/>
      <c r="AI57" s="69" t="str">
        <f t="shared" si="2"/>
        <v>兔子</v>
      </c>
      <c r="AJ57" s="73"/>
    </row>
    <row r="58" spans="1:36" ht="18" customHeight="1">
      <c r="A58" s="95" t="s">
        <v>58</v>
      </c>
      <c r="B58" s="96" t="s">
        <v>69</v>
      </c>
      <c r="C58" s="120"/>
      <c r="D58" s="14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66"/>
      <c r="AH58" s="68"/>
      <c r="AI58" s="69" t="str">
        <f t="shared" si="2"/>
        <v>小馬</v>
      </c>
      <c r="AJ58" s="73"/>
    </row>
    <row r="59" spans="1:36" ht="18" customHeight="1">
      <c r="A59" s="95" t="s">
        <v>58</v>
      </c>
      <c r="B59" s="96" t="s">
        <v>70</v>
      </c>
      <c r="C59" s="120"/>
      <c r="D59" s="14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66"/>
      <c r="AH59" s="68"/>
      <c r="AI59" s="69" t="str">
        <f t="shared" si="2"/>
        <v>Allen</v>
      </c>
      <c r="AJ59" s="73"/>
    </row>
    <row r="60" spans="1:36" ht="18" customHeight="1">
      <c r="A60" s="95" t="s">
        <v>58</v>
      </c>
      <c r="B60" s="96" t="s">
        <v>71</v>
      </c>
      <c r="C60" s="120"/>
      <c r="D60" s="14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66"/>
      <c r="AH60" s="68"/>
      <c r="AI60" s="69" t="str">
        <f t="shared" si="2"/>
        <v>嘴嘴</v>
      </c>
      <c r="AJ60" s="73"/>
    </row>
    <row r="61" spans="1:36" ht="18" customHeight="1">
      <c r="A61" s="95" t="s">
        <v>58</v>
      </c>
      <c r="B61" s="96" t="s">
        <v>74</v>
      </c>
      <c r="C61" s="120"/>
      <c r="D61" s="14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66"/>
      <c r="AH61" s="68"/>
      <c r="AI61" s="69" t="str">
        <f t="shared" si="2"/>
        <v>蘆葦</v>
      </c>
      <c r="AJ61" s="73"/>
    </row>
    <row r="62" spans="1:36" ht="18" customHeight="1">
      <c r="A62" s="95" t="s">
        <v>58</v>
      </c>
      <c r="B62" s="96" t="s">
        <v>30</v>
      </c>
      <c r="C62" s="120"/>
      <c r="D62" s="14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66"/>
      <c r="AH62" s="68"/>
      <c r="AI62" s="69" t="str">
        <f t="shared" si="2"/>
        <v>鯰魚</v>
      </c>
      <c r="AJ62" s="73"/>
    </row>
    <row r="63" spans="1:36" ht="18" customHeight="1">
      <c r="A63" s="95" t="s">
        <v>58</v>
      </c>
      <c r="B63" s="96" t="s">
        <v>31</v>
      </c>
      <c r="C63" s="120"/>
      <c r="D63" s="14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66"/>
      <c r="AH63" s="68"/>
      <c r="AI63" s="69" t="str">
        <f t="shared" si="2"/>
        <v>阿美</v>
      </c>
      <c r="AJ63" s="73"/>
    </row>
    <row r="64" spans="1:36" ht="18" customHeight="1">
      <c r="A64" s="95" t="s">
        <v>58</v>
      </c>
      <c r="B64" s="96" t="s">
        <v>73</v>
      </c>
      <c r="C64" s="120"/>
      <c r="D64" s="14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66"/>
      <c r="AH64" s="68"/>
      <c r="AI64" s="69" t="str">
        <f t="shared" si="2"/>
        <v>冠軍</v>
      </c>
      <c r="AJ64" s="73"/>
    </row>
    <row r="65" spans="1:36" ht="18" customHeight="1">
      <c r="A65" s="95" t="s">
        <v>58</v>
      </c>
      <c r="B65" s="96" t="s">
        <v>198</v>
      </c>
      <c r="C65" s="120"/>
      <c r="D65" s="14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66"/>
      <c r="AH65" s="68"/>
      <c r="AI65" s="69" t="str">
        <f t="shared" si="2"/>
        <v>郁翔</v>
      </c>
      <c r="AJ65" s="73"/>
    </row>
    <row r="66" spans="1:36" ht="18" customHeight="1">
      <c r="A66" s="95" t="s">
        <v>58</v>
      </c>
      <c r="B66" s="96" t="s">
        <v>67</v>
      </c>
      <c r="C66" s="120"/>
      <c r="D66" s="14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66"/>
      <c r="AH66" s="68"/>
      <c r="AI66" s="69" t="str">
        <f t="shared" si="2"/>
        <v>歐吉</v>
      </c>
      <c r="AJ66" s="73"/>
    </row>
    <row r="67" spans="1:36" ht="18" customHeight="1">
      <c r="A67" s="95" t="s">
        <v>58</v>
      </c>
      <c r="B67" s="96" t="s">
        <v>75</v>
      </c>
      <c r="C67" s="120"/>
      <c r="D67" s="14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66"/>
      <c r="AH67" s="68"/>
      <c r="AI67" s="69" t="str">
        <f t="shared" si="2"/>
        <v>叮噹</v>
      </c>
      <c r="AJ67" s="73"/>
    </row>
    <row r="68" spans="1:36" ht="18" customHeight="1">
      <c r="A68" s="95" t="s">
        <v>58</v>
      </c>
      <c r="B68" s="96" t="s">
        <v>76</v>
      </c>
      <c r="C68" s="120"/>
      <c r="D68" s="14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66"/>
      <c r="AH68" s="68"/>
      <c r="AI68" s="69" t="str">
        <f t="shared" ref="AI68:AI88" si="3">B68</f>
        <v>肥肥</v>
      </c>
      <c r="AJ68" s="73"/>
    </row>
    <row r="69" spans="1:36" ht="18" customHeight="1">
      <c r="A69" s="95" t="s">
        <v>58</v>
      </c>
      <c r="B69" s="96" t="s">
        <v>77</v>
      </c>
      <c r="C69" s="120"/>
      <c r="D69" s="14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66"/>
      <c r="AH69" s="68"/>
      <c r="AI69" s="69" t="str">
        <f t="shared" si="3"/>
        <v>小夫</v>
      </c>
      <c r="AJ69" s="73"/>
    </row>
    <row r="70" spans="1:36" ht="18" customHeight="1">
      <c r="A70" s="95" t="s">
        <v>58</v>
      </c>
      <c r="B70" s="96" t="s">
        <v>78</v>
      </c>
      <c r="C70" s="120"/>
      <c r="D70" s="14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66"/>
      <c r="AH70" s="68"/>
      <c r="AI70" s="69" t="str">
        <f t="shared" si="3"/>
        <v>小邱</v>
      </c>
      <c r="AJ70" s="73"/>
    </row>
    <row r="71" spans="1:36" ht="18" customHeight="1">
      <c r="A71" s="95" t="s">
        <v>58</v>
      </c>
      <c r="B71" s="96" t="s">
        <v>79</v>
      </c>
      <c r="C71" s="120"/>
      <c r="D71" s="14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66"/>
      <c r="AH71" s="68"/>
      <c r="AI71" s="69" t="str">
        <f t="shared" si="3"/>
        <v>淳淳</v>
      </c>
      <c r="AJ71" s="73"/>
    </row>
    <row r="72" spans="1:36" ht="18" customHeight="1">
      <c r="A72" s="95" t="s">
        <v>58</v>
      </c>
      <c r="B72" s="96" t="s">
        <v>80</v>
      </c>
      <c r="C72" s="120"/>
      <c r="D72" s="14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66"/>
      <c r="AH72" s="68"/>
      <c r="AI72" s="69" t="str">
        <f t="shared" si="3"/>
        <v>禿鷹</v>
      </c>
      <c r="AJ72" s="73"/>
    </row>
    <row r="73" spans="1:36" ht="18" customHeight="1">
      <c r="A73" s="95" t="s">
        <v>58</v>
      </c>
      <c r="B73" s="96" t="s">
        <v>81</v>
      </c>
      <c r="C73" s="120"/>
      <c r="D73" s="14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66"/>
      <c r="AH73" s="68"/>
      <c r="AI73" s="69" t="str">
        <f t="shared" si="3"/>
        <v>王宏</v>
      </c>
      <c r="AJ73" s="73"/>
    </row>
    <row r="74" spans="1:36" ht="18" customHeight="1">
      <c r="A74" s="95" t="s">
        <v>58</v>
      </c>
      <c r="B74" s="96" t="s">
        <v>82</v>
      </c>
      <c r="C74" s="120"/>
      <c r="D74" s="14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66"/>
      <c r="AH74" s="68"/>
      <c r="AI74" s="69" t="str">
        <f t="shared" si="3"/>
        <v>犀牛</v>
      </c>
      <c r="AJ74" s="73"/>
    </row>
    <row r="75" spans="1:36" ht="18" customHeight="1">
      <c r="A75" s="95" t="s">
        <v>58</v>
      </c>
      <c r="B75" s="96" t="s">
        <v>83</v>
      </c>
      <c r="C75" s="120"/>
      <c r="D75" s="14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66"/>
      <c r="AH75" s="68"/>
      <c r="AI75" s="69" t="str">
        <f t="shared" si="3"/>
        <v>來福</v>
      </c>
      <c r="AJ75" s="73"/>
    </row>
    <row r="76" spans="1:36" ht="18" customHeight="1">
      <c r="A76" s="95" t="s">
        <v>58</v>
      </c>
      <c r="B76" s="96" t="s">
        <v>84</v>
      </c>
      <c r="C76" s="120"/>
      <c r="D76" s="14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66"/>
      <c r="AH76" s="68"/>
      <c r="AI76" s="69" t="str">
        <f t="shared" si="3"/>
        <v>誌誌</v>
      </c>
      <c r="AJ76" s="73"/>
    </row>
    <row r="77" spans="1:36" ht="18" customHeight="1">
      <c r="A77" s="95" t="s">
        <v>58</v>
      </c>
      <c r="B77" s="96" t="s">
        <v>86</v>
      </c>
      <c r="C77" s="120"/>
      <c r="D77" s="14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66"/>
      <c r="AH77" s="68"/>
      <c r="AI77" s="69" t="str">
        <f t="shared" si="3"/>
        <v>正誼</v>
      </c>
      <c r="AJ77" s="73"/>
    </row>
    <row r="78" spans="1:36" ht="18" customHeight="1">
      <c r="A78" s="95" t="s">
        <v>58</v>
      </c>
      <c r="B78" s="96" t="s">
        <v>32</v>
      </c>
      <c r="C78" s="120"/>
      <c r="D78" s="14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66"/>
      <c r="AH78" s="68"/>
      <c r="AI78" s="69" t="str">
        <f t="shared" si="3"/>
        <v>小翔</v>
      </c>
      <c r="AJ78" s="73"/>
    </row>
    <row r="79" spans="1:36" ht="18" customHeight="1">
      <c r="A79" s="95" t="s">
        <v>58</v>
      </c>
      <c r="B79" s="96" t="s">
        <v>179</v>
      </c>
      <c r="C79" s="120"/>
      <c r="D79" s="14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66"/>
      <c r="AH79" s="68"/>
      <c r="AI79" s="69" t="str">
        <f t="shared" si="3"/>
        <v>玹玹</v>
      </c>
      <c r="AJ79" s="73"/>
    </row>
    <row r="80" spans="1:36" ht="18" customHeight="1">
      <c r="A80" s="95" t="s">
        <v>58</v>
      </c>
      <c r="B80" s="96" t="s">
        <v>85</v>
      </c>
      <c r="C80" s="120"/>
      <c r="D80" s="14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66"/>
      <c r="AH80" s="68"/>
      <c r="AI80" s="69" t="str">
        <f t="shared" si="3"/>
        <v>阿璽</v>
      </c>
      <c r="AJ80" s="73"/>
    </row>
    <row r="81" spans="1:36" ht="18" customHeight="1">
      <c r="A81" s="95" t="s">
        <v>58</v>
      </c>
      <c r="B81" s="96" t="s">
        <v>33</v>
      </c>
      <c r="C81" s="120"/>
      <c r="D81" s="14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66"/>
      <c r="AH81" s="68"/>
      <c r="AI81" s="69" t="str">
        <f t="shared" si="3"/>
        <v>一飛</v>
      </c>
      <c r="AJ81" s="73"/>
    </row>
    <row r="82" spans="1:36" ht="18" customHeight="1">
      <c r="A82" s="95" t="s">
        <v>58</v>
      </c>
      <c r="B82" s="96" t="s">
        <v>34</v>
      </c>
      <c r="C82" s="120"/>
      <c r="D82" s="14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66"/>
      <c r="AH82" s="68"/>
      <c r="AI82" s="69" t="str">
        <f t="shared" si="3"/>
        <v>雲翔</v>
      </c>
      <c r="AJ82" s="70"/>
    </row>
    <row r="83" spans="1:36" ht="18" customHeight="1">
      <c r="A83" s="95" t="s">
        <v>58</v>
      </c>
      <c r="B83" s="96" t="s">
        <v>88</v>
      </c>
      <c r="C83" s="120"/>
      <c r="D83" s="14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66"/>
      <c r="AH83" s="68"/>
      <c r="AI83" s="69" t="str">
        <f t="shared" si="3"/>
        <v>皓皓</v>
      </c>
      <c r="AJ83" s="70"/>
    </row>
    <row r="84" spans="1:36" ht="18" customHeight="1">
      <c r="A84" s="95" t="s">
        <v>58</v>
      </c>
      <c r="B84" s="96" t="s">
        <v>35</v>
      </c>
      <c r="C84" s="120"/>
      <c r="D84" s="14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66"/>
      <c r="AH84" s="68"/>
      <c r="AI84" s="69" t="str">
        <f t="shared" si="3"/>
        <v>阿戴</v>
      </c>
      <c r="AJ84" s="70"/>
    </row>
    <row r="85" spans="1:36" ht="18" customHeight="1">
      <c r="A85" s="95" t="s">
        <v>58</v>
      </c>
      <c r="B85" s="96" t="s">
        <v>36</v>
      </c>
      <c r="C85" s="120"/>
      <c r="D85" s="14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66"/>
      <c r="AH85" s="68"/>
      <c r="AI85" s="69" t="str">
        <f t="shared" si="3"/>
        <v>子澔</v>
      </c>
      <c r="AJ85" s="70"/>
    </row>
    <row r="86" spans="1:36" ht="18" customHeight="1">
      <c r="A86" s="95" t="s">
        <v>58</v>
      </c>
      <c r="B86" s="96" t="s">
        <v>37</v>
      </c>
      <c r="C86" s="120"/>
      <c r="D86" s="14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66"/>
      <c r="AH86" s="68"/>
      <c r="AI86" s="69" t="str">
        <f t="shared" si="3"/>
        <v>魚仔</v>
      </c>
      <c r="AJ86" s="70"/>
    </row>
    <row r="87" spans="1:36" ht="18" customHeight="1">
      <c r="A87" s="95" t="s">
        <v>58</v>
      </c>
      <c r="B87" s="96" t="s">
        <v>87</v>
      </c>
      <c r="C87" s="120"/>
      <c r="D87" s="14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66"/>
      <c r="AH87" s="68"/>
      <c r="AI87" s="69" t="str">
        <f t="shared" si="3"/>
        <v>Mango</v>
      </c>
      <c r="AJ87" s="70"/>
    </row>
    <row r="88" spans="1:36" ht="18" customHeight="1">
      <c r="A88" s="95" t="s">
        <v>58</v>
      </c>
      <c r="B88" s="96" t="s">
        <v>38</v>
      </c>
      <c r="C88" s="120"/>
      <c r="D88" s="14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66"/>
      <c r="AH88" s="68"/>
      <c r="AI88" s="69" t="str">
        <f t="shared" si="3"/>
        <v>阿龍</v>
      </c>
      <c r="AJ88" s="70"/>
    </row>
    <row r="89" spans="1:36" ht="18" customHeight="1">
      <c r="A89" s="95" t="s">
        <v>58</v>
      </c>
      <c r="B89" s="96" t="s">
        <v>39</v>
      </c>
      <c r="C89" s="120"/>
      <c r="D89" s="14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66"/>
      <c r="AH89" s="68"/>
      <c r="AI89" s="69" t="s">
        <v>39</v>
      </c>
      <c r="AJ89" s="70"/>
    </row>
    <row r="90" spans="1:36" ht="18" customHeight="1">
      <c r="A90" s="95" t="s">
        <v>58</v>
      </c>
      <c r="B90" s="96" t="s">
        <v>223</v>
      </c>
      <c r="C90" s="120"/>
      <c r="D90" s="14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60"/>
      <c r="W90" s="164"/>
      <c r="X90" s="160"/>
      <c r="Y90" s="164"/>
      <c r="Z90" s="160"/>
      <c r="AA90" s="120"/>
      <c r="AB90" s="120"/>
      <c r="AC90" s="120"/>
      <c r="AD90" s="120"/>
      <c r="AE90" s="120"/>
      <c r="AF90" s="120"/>
      <c r="AG90" s="66"/>
      <c r="AH90" s="68"/>
      <c r="AI90" s="69" t="s">
        <v>223</v>
      </c>
      <c r="AJ90" s="70"/>
    </row>
    <row r="91" spans="1:36" ht="18" customHeight="1">
      <c r="A91" s="95" t="s">
        <v>58</v>
      </c>
      <c r="B91" s="96" t="s">
        <v>40</v>
      </c>
      <c r="C91" s="120"/>
      <c r="D91" s="14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66"/>
      <c r="AH91" s="68"/>
      <c r="AI91" s="69" t="s">
        <v>40</v>
      </c>
      <c r="AJ91" s="70"/>
    </row>
    <row r="92" spans="1:36" ht="18" customHeight="1">
      <c r="A92" s="99" t="s">
        <v>58</v>
      </c>
      <c r="B92" s="100" t="s">
        <v>151</v>
      </c>
      <c r="C92" s="99"/>
      <c r="D92" s="132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77"/>
      <c r="AH92" s="98"/>
      <c r="AI92" s="79" t="str">
        <f t="shared" ref="AI92:AI111" si="4">B92</f>
        <v>宇嬅</v>
      </c>
      <c r="AJ92" s="82"/>
    </row>
    <row r="93" spans="1:36" ht="18" customHeight="1">
      <c r="A93" s="99" t="s">
        <v>58</v>
      </c>
      <c r="B93" s="100" t="s">
        <v>152</v>
      </c>
      <c r="C93" s="99"/>
      <c r="D93" s="132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77"/>
      <c r="AH93" s="98"/>
      <c r="AI93" s="79" t="str">
        <f t="shared" si="4"/>
        <v>阿俗</v>
      </c>
      <c r="AJ93" s="81"/>
    </row>
    <row r="94" spans="1:36" ht="18" customHeight="1">
      <c r="A94" s="99" t="s">
        <v>58</v>
      </c>
      <c r="B94" s="100" t="s">
        <v>153</v>
      </c>
      <c r="C94" s="99"/>
      <c r="D94" s="132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77"/>
      <c r="AH94" s="98"/>
      <c r="AI94" s="79" t="str">
        <f t="shared" si="4"/>
        <v>傻妹</v>
      </c>
      <c r="AJ94" s="81"/>
    </row>
    <row r="95" spans="1:36" ht="18" customHeight="1">
      <c r="A95" s="99" t="s">
        <v>58</v>
      </c>
      <c r="B95" s="100" t="s">
        <v>96</v>
      </c>
      <c r="C95" s="99"/>
      <c r="D95" s="132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77"/>
      <c r="AH95" s="98"/>
      <c r="AI95" s="79" t="str">
        <f t="shared" si="4"/>
        <v>靜婷</v>
      </c>
      <c r="AJ95" s="81"/>
    </row>
    <row r="96" spans="1:36" ht="18" customHeight="1">
      <c r="A96" s="99" t="s">
        <v>58</v>
      </c>
      <c r="B96" s="100" t="s">
        <v>154</v>
      </c>
      <c r="C96" s="99"/>
      <c r="D96" s="132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77"/>
      <c r="AH96" s="98"/>
      <c r="AI96" s="79" t="str">
        <f t="shared" si="4"/>
        <v>筱攸</v>
      </c>
      <c r="AJ96" s="81"/>
    </row>
    <row r="97" spans="1:36" ht="18" customHeight="1">
      <c r="A97" s="99" t="s">
        <v>58</v>
      </c>
      <c r="B97" s="100" t="s">
        <v>155</v>
      </c>
      <c r="C97" s="99"/>
      <c r="D97" s="132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77"/>
      <c r="AH97" s="98"/>
      <c r="AI97" s="79" t="str">
        <f t="shared" si="4"/>
        <v>康康</v>
      </c>
      <c r="AJ97" s="81"/>
    </row>
    <row r="98" spans="1:36" ht="18" customHeight="1">
      <c r="A98" s="99" t="s">
        <v>58</v>
      </c>
      <c r="B98" s="100" t="s">
        <v>156</v>
      </c>
      <c r="C98" s="99"/>
      <c r="D98" s="132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77"/>
      <c r="AH98" s="98"/>
      <c r="AI98" s="79" t="str">
        <f t="shared" si="4"/>
        <v>阿金</v>
      </c>
      <c r="AJ98" s="81"/>
    </row>
    <row r="99" spans="1:36" ht="18" customHeight="1">
      <c r="A99" s="99" t="s">
        <v>58</v>
      </c>
      <c r="B99" s="100" t="s">
        <v>157</v>
      </c>
      <c r="C99" s="99"/>
      <c r="D99" s="132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77"/>
      <c r="AH99" s="98"/>
      <c r="AI99" s="79" t="str">
        <f t="shared" si="4"/>
        <v>派大</v>
      </c>
      <c r="AJ99" s="81"/>
    </row>
    <row r="100" spans="1:36" ht="18" customHeight="1">
      <c r="A100" s="99" t="s">
        <v>58</v>
      </c>
      <c r="B100" s="100" t="s">
        <v>158</v>
      </c>
      <c r="C100" s="99"/>
      <c r="D100" s="132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77"/>
      <c r="AH100" s="98"/>
      <c r="AI100" s="79" t="str">
        <f t="shared" si="4"/>
        <v>吉娃</v>
      </c>
      <c r="AJ100" s="81"/>
    </row>
    <row r="101" spans="1:36" ht="18" customHeight="1">
      <c r="A101" s="99" t="s">
        <v>58</v>
      </c>
      <c r="B101" s="100" t="s">
        <v>159</v>
      </c>
      <c r="C101" s="99"/>
      <c r="D101" s="132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77"/>
      <c r="AH101" s="98"/>
      <c r="AI101" s="79" t="str">
        <f t="shared" si="4"/>
        <v>小寧</v>
      </c>
      <c r="AJ101" s="81"/>
    </row>
    <row r="102" spans="1:36" ht="18" customHeight="1">
      <c r="A102" s="99" t="s">
        <v>58</v>
      </c>
      <c r="B102" s="100" t="s">
        <v>160</v>
      </c>
      <c r="C102" s="99"/>
      <c r="D102" s="132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77"/>
      <c r="AH102" s="98"/>
      <c r="AI102" s="79" t="str">
        <f t="shared" si="4"/>
        <v>小妹</v>
      </c>
      <c r="AJ102" s="81"/>
    </row>
    <row r="103" spans="1:36" ht="18" customHeight="1">
      <c r="A103" s="99" t="s">
        <v>58</v>
      </c>
      <c r="B103" s="100" t="s">
        <v>101</v>
      </c>
      <c r="C103" s="99"/>
      <c r="D103" s="132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77"/>
      <c r="AH103" s="98"/>
      <c r="AI103" s="79" t="str">
        <f t="shared" si="4"/>
        <v>文媛</v>
      </c>
      <c r="AJ103" s="81"/>
    </row>
    <row r="104" spans="1:36" ht="18" customHeight="1">
      <c r="A104" s="99" t="s">
        <v>58</v>
      </c>
      <c r="B104" s="100" t="s">
        <v>161</v>
      </c>
      <c r="C104" s="99"/>
      <c r="D104" s="132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77"/>
      <c r="AH104" s="98"/>
      <c r="AI104" s="79" t="str">
        <f t="shared" si="4"/>
        <v>佩鈺</v>
      </c>
      <c r="AJ104" s="81"/>
    </row>
    <row r="105" spans="1:36" ht="18" customHeight="1">
      <c r="A105" s="99" t="s">
        <v>58</v>
      </c>
      <c r="B105" s="100" t="s">
        <v>162</v>
      </c>
      <c r="C105" s="99"/>
      <c r="D105" s="132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77"/>
      <c r="AH105" s="98"/>
      <c r="AI105" s="79" t="str">
        <f t="shared" si="4"/>
        <v>阿布</v>
      </c>
      <c r="AJ105" s="81"/>
    </row>
    <row r="106" spans="1:36" ht="18" customHeight="1">
      <c r="A106" s="99" t="s">
        <v>58</v>
      </c>
      <c r="B106" s="100" t="s">
        <v>100</v>
      </c>
      <c r="C106" s="99"/>
      <c r="D106" s="132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77"/>
      <c r="AH106" s="98"/>
      <c r="AI106" s="79" t="str">
        <f t="shared" si="4"/>
        <v>餅餅</v>
      </c>
      <c r="AJ106" s="81"/>
    </row>
    <row r="107" spans="1:36" ht="18" customHeight="1">
      <c r="A107" s="99" t="s">
        <v>58</v>
      </c>
      <c r="B107" s="100" t="s">
        <v>163</v>
      </c>
      <c r="C107" s="99"/>
      <c r="D107" s="132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77"/>
      <c r="AH107" s="98"/>
      <c r="AI107" s="79" t="str">
        <f t="shared" si="4"/>
        <v>小個</v>
      </c>
      <c r="AJ107" s="81"/>
    </row>
    <row r="108" spans="1:36" ht="18" customHeight="1">
      <c r="A108" s="99" t="s">
        <v>58</v>
      </c>
      <c r="B108" s="100" t="s">
        <v>164</v>
      </c>
      <c r="C108" s="99"/>
      <c r="D108" s="132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77"/>
      <c r="AH108" s="98"/>
      <c r="AI108" s="79" t="str">
        <f t="shared" si="4"/>
        <v>小菜</v>
      </c>
      <c r="AJ108" s="81"/>
    </row>
    <row r="109" spans="1:36" ht="18" customHeight="1">
      <c r="A109" s="99" t="s">
        <v>58</v>
      </c>
      <c r="B109" s="100" t="s">
        <v>102</v>
      </c>
      <c r="C109" s="99"/>
      <c r="D109" s="132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77"/>
      <c r="AH109" s="98"/>
      <c r="AI109" s="79" t="str">
        <f t="shared" si="4"/>
        <v>妮妮</v>
      </c>
      <c r="AJ109" s="81"/>
    </row>
    <row r="110" spans="1:36" ht="18" customHeight="1">
      <c r="A110" s="99" t="s">
        <v>58</v>
      </c>
      <c r="B110" s="100" t="s">
        <v>165</v>
      </c>
      <c r="C110" s="99"/>
      <c r="D110" s="132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77"/>
      <c r="AH110" s="98"/>
      <c r="AI110" s="79" t="str">
        <f t="shared" si="4"/>
        <v>小貓</v>
      </c>
      <c r="AJ110" s="81"/>
    </row>
    <row r="111" spans="1:36" ht="18" customHeight="1">
      <c r="A111" s="99" t="s">
        <v>58</v>
      </c>
      <c r="B111" s="100" t="s">
        <v>166</v>
      </c>
      <c r="C111" s="99"/>
      <c r="D111" s="132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77"/>
      <c r="AH111" s="98"/>
      <c r="AI111" s="79" t="str">
        <f t="shared" si="4"/>
        <v>哈比</v>
      </c>
      <c r="AJ111" s="81"/>
    </row>
    <row r="112" spans="1:36" ht="18" customHeight="1">
      <c r="A112" s="99" t="s">
        <v>58</v>
      </c>
      <c r="B112" s="100" t="s">
        <v>97</v>
      </c>
      <c r="C112" s="99"/>
      <c r="D112" s="132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77"/>
      <c r="AH112" s="98"/>
      <c r="AI112" s="79" t="s">
        <v>97</v>
      </c>
      <c r="AJ112" s="81"/>
    </row>
    <row r="113" spans="1:36" ht="18" customHeight="1">
      <c r="A113" s="99" t="s">
        <v>58</v>
      </c>
      <c r="B113" s="100" t="s">
        <v>98</v>
      </c>
      <c r="C113" s="99"/>
      <c r="D113" s="132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77"/>
      <c r="AH113" s="98"/>
      <c r="AI113" s="79" t="s">
        <v>98</v>
      </c>
      <c r="AJ113" s="81"/>
    </row>
    <row r="114" spans="1:36" ht="18" customHeight="1">
      <c r="A114" s="99" t="s">
        <v>58</v>
      </c>
      <c r="B114" s="100" t="s">
        <v>99</v>
      </c>
      <c r="C114" s="99"/>
      <c r="D114" s="132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77"/>
      <c r="AH114" s="98"/>
      <c r="AI114" s="79" t="s">
        <v>99</v>
      </c>
      <c r="AJ114" s="81"/>
    </row>
    <row r="115" spans="1:36" ht="18" customHeight="1">
      <c r="A115" s="101" t="s">
        <v>58</v>
      </c>
      <c r="B115" s="102" t="s">
        <v>124</v>
      </c>
      <c r="C115" s="101"/>
      <c r="D115" s="137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86"/>
      <c r="AH115" s="103"/>
      <c r="AI115" s="88" t="str">
        <f t="shared" ref="AI115:AI139" si="5">B115</f>
        <v>玉蕙</v>
      </c>
      <c r="AJ115" s="89"/>
    </row>
    <row r="116" spans="1:36" ht="18" customHeight="1">
      <c r="A116" s="101" t="s">
        <v>58</v>
      </c>
      <c r="B116" s="102" t="s">
        <v>125</v>
      </c>
      <c r="C116" s="101"/>
      <c r="D116" s="137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86"/>
      <c r="AH116" s="103"/>
      <c r="AI116" s="88" t="str">
        <f t="shared" si="5"/>
        <v>沛緁</v>
      </c>
      <c r="AJ116" s="89"/>
    </row>
    <row r="117" spans="1:36" ht="18" customHeight="1">
      <c r="A117" s="101" t="s">
        <v>58</v>
      </c>
      <c r="B117" s="102" t="s">
        <v>126</v>
      </c>
      <c r="C117" s="101"/>
      <c r="D117" s="137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86"/>
      <c r="AH117" s="103"/>
      <c r="AI117" s="88" t="str">
        <f t="shared" si="5"/>
        <v>妹妹</v>
      </c>
      <c r="AJ117" s="89"/>
    </row>
    <row r="118" spans="1:36" ht="18" customHeight="1">
      <c r="A118" s="101" t="s">
        <v>58</v>
      </c>
      <c r="B118" s="102" t="s">
        <v>127</v>
      </c>
      <c r="C118" s="101"/>
      <c r="D118" s="137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86"/>
      <c r="AH118" s="103"/>
      <c r="AI118" s="88" t="str">
        <f t="shared" si="5"/>
        <v>小雞</v>
      </c>
      <c r="AJ118" s="89"/>
    </row>
    <row r="119" spans="1:36" ht="18" customHeight="1">
      <c r="A119" s="101" t="s">
        <v>58</v>
      </c>
      <c r="B119" s="102" t="s">
        <v>128</v>
      </c>
      <c r="C119" s="101"/>
      <c r="D119" s="137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86"/>
      <c r="AH119" s="103"/>
      <c r="AI119" s="88" t="str">
        <f t="shared" si="5"/>
        <v>雨昕</v>
      </c>
      <c r="AJ119" s="89"/>
    </row>
    <row r="120" spans="1:36" ht="18" customHeight="1">
      <c r="A120" s="101" t="s">
        <v>58</v>
      </c>
      <c r="B120" s="102" t="s">
        <v>129</v>
      </c>
      <c r="C120" s="101"/>
      <c r="D120" s="137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86"/>
      <c r="AH120" s="103"/>
      <c r="AI120" s="88" t="str">
        <f t="shared" si="5"/>
        <v>矮矮</v>
      </c>
      <c r="AJ120" s="89"/>
    </row>
    <row r="121" spans="1:36" ht="18" customHeight="1">
      <c r="A121" s="101" t="s">
        <v>58</v>
      </c>
      <c r="B121" s="102" t="s">
        <v>130</v>
      </c>
      <c r="C121" s="101"/>
      <c r="D121" s="137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86"/>
      <c r="AH121" s="103"/>
      <c r="AI121" s="88" t="str">
        <f t="shared" si="5"/>
        <v>猛女</v>
      </c>
      <c r="AJ121" s="89"/>
    </row>
    <row r="122" spans="1:36" ht="18" customHeight="1">
      <c r="A122" s="101" t="s">
        <v>58</v>
      </c>
      <c r="B122" s="102" t="s">
        <v>131</v>
      </c>
      <c r="C122" s="101"/>
      <c r="D122" s="137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86"/>
      <c r="AH122" s="103"/>
      <c r="AI122" s="88" t="str">
        <f t="shared" si="5"/>
        <v>欣容</v>
      </c>
      <c r="AJ122" s="89"/>
    </row>
    <row r="123" spans="1:36" ht="18" customHeight="1">
      <c r="A123" s="101" t="s">
        <v>58</v>
      </c>
      <c r="B123" s="102" t="s">
        <v>132</v>
      </c>
      <c r="C123" s="101"/>
      <c r="D123" s="137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86"/>
      <c r="AH123" s="103"/>
      <c r="AI123" s="88" t="str">
        <f t="shared" si="5"/>
        <v>萁萁</v>
      </c>
      <c r="AJ123" s="89"/>
    </row>
    <row r="124" spans="1:36" ht="18" customHeight="1">
      <c r="A124" s="101" t="s">
        <v>58</v>
      </c>
      <c r="B124" s="102" t="s">
        <v>133</v>
      </c>
      <c r="C124" s="101"/>
      <c r="D124" s="137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86"/>
      <c r="AH124" s="87"/>
      <c r="AI124" s="88" t="str">
        <f t="shared" si="5"/>
        <v>萱</v>
      </c>
      <c r="AJ124" s="91"/>
    </row>
    <row r="125" spans="1:36" ht="18" customHeight="1">
      <c r="A125" s="101" t="s">
        <v>58</v>
      </c>
      <c r="B125" s="102" t="s">
        <v>134</v>
      </c>
      <c r="C125" s="101"/>
      <c r="D125" s="137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86"/>
      <c r="AH125" s="87"/>
      <c r="AI125" s="88" t="str">
        <f t="shared" si="5"/>
        <v>Mei</v>
      </c>
      <c r="AJ125" s="91"/>
    </row>
    <row r="126" spans="1:36" ht="18" customHeight="1">
      <c r="A126" s="101" t="s">
        <v>58</v>
      </c>
      <c r="B126" s="102" t="s">
        <v>135</v>
      </c>
      <c r="C126" s="101"/>
      <c r="D126" s="137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86"/>
      <c r="AH126" s="87"/>
      <c r="AI126" s="88" t="str">
        <f t="shared" si="5"/>
        <v>屁屁</v>
      </c>
      <c r="AJ126" s="91"/>
    </row>
    <row r="127" spans="1:36" ht="18" customHeight="1">
      <c r="A127" s="101" t="s">
        <v>58</v>
      </c>
      <c r="B127" s="102" t="s">
        <v>136</v>
      </c>
      <c r="C127" s="101"/>
      <c r="D127" s="137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86"/>
      <c r="AH127" s="87"/>
      <c r="AI127" s="88" t="str">
        <f t="shared" si="5"/>
        <v>泡泡</v>
      </c>
      <c r="AJ127" s="91"/>
    </row>
    <row r="128" spans="1:36" ht="18" customHeight="1">
      <c r="A128" s="101" t="s">
        <v>58</v>
      </c>
      <c r="B128" s="102" t="s">
        <v>137</v>
      </c>
      <c r="C128" s="101"/>
      <c r="D128" s="137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86"/>
      <c r="AH128" s="87"/>
      <c r="AI128" s="88" t="str">
        <f t="shared" si="5"/>
        <v>姚</v>
      </c>
      <c r="AJ128" s="91"/>
    </row>
    <row r="129" spans="1:36" ht="18" customHeight="1">
      <c r="A129" s="101" t="s">
        <v>58</v>
      </c>
      <c r="B129" s="102" t="s">
        <v>138</v>
      </c>
      <c r="C129" s="101"/>
      <c r="D129" s="137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86"/>
      <c r="AH129" s="87"/>
      <c r="AI129" s="88" t="str">
        <f t="shared" si="5"/>
        <v>奜茜</v>
      </c>
      <c r="AJ129" s="91"/>
    </row>
    <row r="130" spans="1:36" ht="18" customHeight="1">
      <c r="A130" s="101" t="s">
        <v>58</v>
      </c>
      <c r="B130" s="115" t="s">
        <v>139</v>
      </c>
      <c r="C130" s="101"/>
      <c r="D130" s="137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86"/>
      <c r="AH130" s="87"/>
      <c r="AI130" s="88" t="str">
        <f t="shared" si="5"/>
        <v>Tina</v>
      </c>
      <c r="AJ130" s="91"/>
    </row>
    <row r="131" spans="1:36" ht="18" customHeight="1">
      <c r="A131" s="101" t="s">
        <v>58</v>
      </c>
      <c r="B131" s="115" t="s">
        <v>140</v>
      </c>
      <c r="C131" s="101"/>
      <c r="D131" s="137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86"/>
      <c r="AH131" s="87"/>
      <c r="AI131" s="88" t="str">
        <f t="shared" si="5"/>
        <v>芷琦</v>
      </c>
      <c r="AJ131" s="91"/>
    </row>
    <row r="132" spans="1:36" ht="18" customHeight="1">
      <c r="A132" s="101" t="s">
        <v>58</v>
      </c>
      <c r="B132" s="115" t="s">
        <v>106</v>
      </c>
      <c r="C132" s="101"/>
      <c r="D132" s="137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86"/>
      <c r="AH132" s="87"/>
      <c r="AI132" s="88" t="str">
        <f t="shared" si="5"/>
        <v>Nina</v>
      </c>
      <c r="AJ132" s="91"/>
    </row>
    <row r="133" spans="1:36" ht="18" customHeight="1">
      <c r="A133" s="101" t="s">
        <v>58</v>
      </c>
      <c r="B133" s="102" t="s">
        <v>141</v>
      </c>
      <c r="C133" s="101"/>
      <c r="D133" s="137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86"/>
      <c r="AH133" s="87"/>
      <c r="AI133" s="88" t="str">
        <f t="shared" si="5"/>
        <v>Cindy</v>
      </c>
      <c r="AJ133" s="91"/>
    </row>
    <row r="134" spans="1:36" ht="18" customHeight="1">
      <c r="A134" s="101" t="s">
        <v>58</v>
      </c>
      <c r="B134" s="102" t="s">
        <v>142</v>
      </c>
      <c r="C134" s="101"/>
      <c r="D134" s="137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86"/>
      <c r="AH134" s="87"/>
      <c r="AI134" s="88" t="str">
        <f t="shared" si="5"/>
        <v>如靜</v>
      </c>
      <c r="AJ134" s="91"/>
    </row>
    <row r="135" spans="1:36" ht="18" customHeight="1">
      <c r="A135" s="101" t="s">
        <v>58</v>
      </c>
      <c r="B135" s="102" t="s">
        <v>143</v>
      </c>
      <c r="C135" s="101"/>
      <c r="D135" s="137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86"/>
      <c r="AH135" s="87"/>
      <c r="AI135" s="88" t="str">
        <f t="shared" si="5"/>
        <v>毓玫</v>
      </c>
      <c r="AJ135" s="91"/>
    </row>
    <row r="136" spans="1:36" ht="18" customHeight="1">
      <c r="A136" s="101" t="s">
        <v>58</v>
      </c>
      <c r="B136" s="102" t="s">
        <v>144</v>
      </c>
      <c r="C136" s="101"/>
      <c r="D136" s="137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86"/>
      <c r="AH136" s="87"/>
      <c r="AI136" s="88" t="str">
        <f t="shared" si="5"/>
        <v>美枝</v>
      </c>
      <c r="AJ136" s="91"/>
    </row>
    <row r="137" spans="1:36" ht="18" customHeight="1">
      <c r="A137" s="101" t="s">
        <v>58</v>
      </c>
      <c r="B137" s="102" t="s">
        <v>145</v>
      </c>
      <c r="C137" s="101"/>
      <c r="D137" s="137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86"/>
      <c r="AH137" s="87"/>
      <c r="AI137" s="88" t="str">
        <f t="shared" si="5"/>
        <v>魯魯咪</v>
      </c>
      <c r="AJ137" s="91"/>
    </row>
    <row r="138" spans="1:36" ht="18" customHeight="1">
      <c r="A138" s="120" t="s">
        <v>58</v>
      </c>
      <c r="B138" s="121" t="s">
        <v>41</v>
      </c>
      <c r="C138" s="120"/>
      <c r="D138" s="14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07"/>
      <c r="AH138" s="108"/>
      <c r="AI138" s="109" t="str">
        <f t="shared" si="5"/>
        <v>軟軟</v>
      </c>
      <c r="AJ138" s="110"/>
    </row>
    <row r="139" spans="1:36" ht="18" customHeight="1">
      <c r="A139" s="120" t="s">
        <v>58</v>
      </c>
      <c r="B139" s="121" t="s">
        <v>42</v>
      </c>
      <c r="C139" s="120"/>
      <c r="D139" s="14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07"/>
      <c r="AH139" s="108" t="e">
        <f ca="1">IF(A139="O", (VALUE(_xludf.IFS(AG139=0,"0",AG139=1,"150",AG139=2,"300",AG139=3,"450",AG139=4,"600",AG139=5,"750",AG139&gt;=6,"800"))),(VALUE(_xludf.IFS(AG139=0,"0",AG139=1,"150",AG139=2,"300",AG139=3,"450",AG139=4,"600",AG139=5,"750",AG139=6,"900",AG139&gt;=7,"1,000"))))</f>
        <v>#NAME?</v>
      </c>
      <c r="AI139" s="109" t="str">
        <f t="shared" si="5"/>
        <v>屎蛋</v>
      </c>
      <c r="AJ139" s="110"/>
    </row>
  </sheetData>
  <autoFilter ref="AG4:AI139" xr:uid="{00000000-0009-0000-0000-00001F000000}">
    <sortState xmlns:xlrd2="http://schemas.microsoft.com/office/spreadsheetml/2017/richdata2" ref="AG6:AI139">
      <sortCondition ref="AG4:AG139"/>
    </sortState>
  </autoFilter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39">
    <cfRule type="expression" dxfId="3" priority="1">
      <formula>COUNTIF($B:$B,$B2)&gt;1</formula>
    </cfRule>
  </conditionalFormatting>
  <dataValidations count="1">
    <dataValidation type="list" allowBlank="1" showDropDown="1" showErrorMessage="1" sqref="C1:AF1" xr:uid="{00000000-0002-0000-1F00-000000000000}">
      <formula1>"-,Jason,曉明,青蛙,李洋,Mars"</formula1>
    </dataValidation>
  </dataValidations>
  <printOptions horizontalCentered="1" gridLines="1"/>
  <pageMargins left="0.25" right="0.25" top="0.59055118110236215" bottom="0.59055118110236215" header="0" footer="0"/>
  <pageSetup paperSize="9" fitToHeight="0" pageOrder="overThenDown" orientation="landscape" cellComments="atEnd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EA9999"/>
    <outlinePr summaryBelow="0" summaryRight="0"/>
    <pageSetUpPr fitToPage="1"/>
  </sheetPr>
  <dimension ref="A1:AJ143"/>
  <sheetViews>
    <sheetView workbookViewId="0"/>
  </sheetViews>
  <sheetFormatPr defaultColWidth="12.54296875" defaultRowHeight="15.75" customHeight="1"/>
  <cols>
    <col min="1" max="1" width="6" customWidth="1"/>
    <col min="2" max="2" width="8.453125" customWidth="1"/>
    <col min="3" max="32" width="4.81640625" customWidth="1"/>
    <col min="33" max="33" width="4.453125" customWidth="1"/>
    <col min="34" max="34" width="6" customWidth="1"/>
    <col min="35" max="35" width="6.1796875" customWidth="1"/>
    <col min="36" max="36" width="13.26953125" hidden="1" customWidth="1"/>
  </cols>
  <sheetData>
    <row r="1" spans="1:36" ht="18" customHeight="1">
      <c r="A1" s="287" t="s">
        <v>0</v>
      </c>
      <c r="B1" s="280"/>
      <c r="C1" s="51"/>
      <c r="D1" s="126"/>
      <c r="E1" s="126"/>
      <c r="F1" s="51"/>
      <c r="G1" s="126"/>
      <c r="H1" s="51"/>
      <c r="I1" s="126"/>
      <c r="J1" s="126"/>
      <c r="K1" s="126"/>
      <c r="L1" s="126"/>
      <c r="M1" s="51"/>
      <c r="N1" s="126"/>
      <c r="O1" s="51"/>
      <c r="P1" s="126"/>
      <c r="Q1" s="126"/>
      <c r="R1" s="126"/>
      <c r="S1" s="126"/>
      <c r="T1" s="51"/>
      <c r="U1" s="126"/>
      <c r="V1" s="51"/>
      <c r="W1" s="126"/>
      <c r="X1" s="126"/>
      <c r="Y1" s="126"/>
      <c r="Z1" s="126"/>
      <c r="AA1" s="51"/>
      <c r="AB1" s="126"/>
      <c r="AC1" s="126"/>
      <c r="AD1" s="126"/>
      <c r="AE1" s="126"/>
      <c r="AF1" s="126"/>
      <c r="AG1" s="286" t="s">
        <v>6</v>
      </c>
      <c r="AH1" s="284" t="s">
        <v>7</v>
      </c>
      <c r="AI1" s="285" t="s">
        <v>172</v>
      </c>
      <c r="AJ1" s="288" t="s">
        <v>1</v>
      </c>
    </row>
    <row r="2" spans="1:36" ht="18" customHeight="1">
      <c r="A2" s="53" t="s">
        <v>2</v>
      </c>
      <c r="B2" s="54" t="s">
        <v>3</v>
      </c>
      <c r="C2" s="55">
        <v>45962</v>
      </c>
      <c r="D2" s="55">
        <v>45963</v>
      </c>
      <c r="E2" s="55">
        <v>45964</v>
      </c>
      <c r="F2" s="55">
        <v>45965</v>
      </c>
      <c r="G2" s="55">
        <v>45966</v>
      </c>
      <c r="H2" s="55">
        <v>45967</v>
      </c>
      <c r="I2" s="55">
        <v>45968</v>
      </c>
      <c r="J2" s="55">
        <v>45969</v>
      </c>
      <c r="K2" s="55">
        <v>45970</v>
      </c>
      <c r="L2" s="55">
        <v>45971</v>
      </c>
      <c r="M2" s="55">
        <v>45972</v>
      </c>
      <c r="N2" s="55">
        <v>45973</v>
      </c>
      <c r="O2" s="55">
        <v>45974</v>
      </c>
      <c r="P2" s="55">
        <v>45975</v>
      </c>
      <c r="Q2" s="55">
        <v>45976</v>
      </c>
      <c r="R2" s="55">
        <v>45977</v>
      </c>
      <c r="S2" s="55">
        <v>45978</v>
      </c>
      <c r="T2" s="55">
        <v>45979</v>
      </c>
      <c r="U2" s="55">
        <v>45980</v>
      </c>
      <c r="V2" s="55">
        <v>45981</v>
      </c>
      <c r="W2" s="55">
        <v>45982</v>
      </c>
      <c r="X2" s="55">
        <v>45983</v>
      </c>
      <c r="Y2" s="55">
        <v>45984</v>
      </c>
      <c r="Z2" s="55">
        <v>45985</v>
      </c>
      <c r="AA2" s="55">
        <v>45986</v>
      </c>
      <c r="AB2" s="55">
        <v>45987</v>
      </c>
      <c r="AC2" s="55">
        <v>45988</v>
      </c>
      <c r="AD2" s="55">
        <v>45989</v>
      </c>
      <c r="AE2" s="55">
        <v>45990</v>
      </c>
      <c r="AF2" s="55">
        <v>45991</v>
      </c>
      <c r="AG2" s="282"/>
      <c r="AH2" s="277"/>
      <c r="AI2" s="272"/>
      <c r="AJ2" s="275"/>
    </row>
    <row r="3" spans="1:36" ht="18" customHeight="1">
      <c r="A3" s="53" t="s">
        <v>4</v>
      </c>
      <c r="B3" s="54" t="s">
        <v>5</v>
      </c>
      <c r="C3" s="51">
        <f t="shared" ref="C3:AF3" si="0">WEEKDAY(C2-1)</f>
        <v>6</v>
      </c>
      <c r="D3" s="152">
        <f t="shared" si="0"/>
        <v>7</v>
      </c>
      <c r="E3" s="126">
        <f t="shared" si="0"/>
        <v>1</v>
      </c>
      <c r="F3" s="51">
        <f t="shared" si="0"/>
        <v>2</v>
      </c>
      <c r="G3" s="126">
        <f t="shared" si="0"/>
        <v>3</v>
      </c>
      <c r="H3" s="51">
        <f t="shared" si="0"/>
        <v>4</v>
      </c>
      <c r="I3" s="126">
        <f t="shared" si="0"/>
        <v>5</v>
      </c>
      <c r="J3" s="126">
        <f t="shared" si="0"/>
        <v>6</v>
      </c>
      <c r="K3" s="126">
        <f t="shared" si="0"/>
        <v>7</v>
      </c>
      <c r="L3" s="126">
        <f t="shared" si="0"/>
        <v>1</v>
      </c>
      <c r="M3" s="51">
        <f t="shared" si="0"/>
        <v>2</v>
      </c>
      <c r="N3" s="126">
        <f t="shared" si="0"/>
        <v>3</v>
      </c>
      <c r="O3" s="51">
        <f t="shared" si="0"/>
        <v>4</v>
      </c>
      <c r="P3" s="126">
        <f t="shared" si="0"/>
        <v>5</v>
      </c>
      <c r="Q3" s="126">
        <f t="shared" si="0"/>
        <v>6</v>
      </c>
      <c r="R3" s="126">
        <f t="shared" si="0"/>
        <v>7</v>
      </c>
      <c r="S3" s="126">
        <f t="shared" si="0"/>
        <v>1</v>
      </c>
      <c r="T3" s="51">
        <f t="shared" si="0"/>
        <v>2</v>
      </c>
      <c r="U3" s="126">
        <f t="shared" si="0"/>
        <v>3</v>
      </c>
      <c r="V3" s="51">
        <f t="shared" si="0"/>
        <v>4</v>
      </c>
      <c r="W3" s="126">
        <f t="shared" si="0"/>
        <v>5</v>
      </c>
      <c r="X3" s="126">
        <f t="shared" si="0"/>
        <v>6</v>
      </c>
      <c r="Y3" s="126">
        <f t="shared" si="0"/>
        <v>7</v>
      </c>
      <c r="Z3" s="126">
        <f t="shared" si="0"/>
        <v>1</v>
      </c>
      <c r="AA3" s="51">
        <f t="shared" si="0"/>
        <v>2</v>
      </c>
      <c r="AB3" s="126">
        <f t="shared" si="0"/>
        <v>3</v>
      </c>
      <c r="AC3" s="126">
        <f t="shared" si="0"/>
        <v>4</v>
      </c>
      <c r="AD3" s="126">
        <f t="shared" si="0"/>
        <v>5</v>
      </c>
      <c r="AE3" s="126">
        <f t="shared" si="0"/>
        <v>6</v>
      </c>
      <c r="AF3" s="126">
        <f t="shared" si="0"/>
        <v>7</v>
      </c>
      <c r="AG3" s="283"/>
      <c r="AH3" s="278"/>
      <c r="AI3" s="273"/>
      <c r="AJ3" s="62" t="e">
        <f ca="1">SUM(AH4:AH144)</f>
        <v>#NAME?</v>
      </c>
    </row>
    <row r="4" spans="1:36" ht="18" customHeight="1">
      <c r="A4" s="92" t="s">
        <v>58</v>
      </c>
      <c r="B4" s="93" t="s">
        <v>10</v>
      </c>
      <c r="C4" s="149"/>
      <c r="D4" s="150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66">
        <v>2</v>
      </c>
      <c r="AH4" s="68" t="e">
        <f ca="1">IF(A4="O", (VALUE(_xludf.IFS(AG4=0,"0",AG4=1,"150",AG4=2,"300",AG4=3,"450",AG4=4,"600",AG4=5,"750",AG4&gt;=6,"800"))),(VALUE(_xludf.IFS(AG4=0,"0",AG4=1,"150",AG4=2,"300",AG4=3,"450",AG4=4,"600",AG4=5,"750",AG4=6,"900",AG4&gt;=7,"1,000"))))</f>
        <v>#NAME?</v>
      </c>
      <c r="AI4" s="69" t="str">
        <f t="shared" ref="AI4:AI35" si="1">B4</f>
        <v>阿發</v>
      </c>
      <c r="AJ4" s="70"/>
    </row>
    <row r="5" spans="1:36" ht="18" customHeight="1">
      <c r="A5" s="95" t="s">
        <v>174</v>
      </c>
      <c r="B5" s="122" t="s">
        <v>11</v>
      </c>
      <c r="C5" s="151"/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66">
        <v>18</v>
      </c>
      <c r="AH5" s="68" t="e">
        <f ca="1">(IF(A5="O", (VALUE(_xludf.IFS(AG5=0,"0",AG5=1,"150",AG5=2,"300",AG5=3,"450",AG5=4,"600",AG5=5,"750",AG5&gt;=6,"800"))),(VALUE(_xludf.IFS(AG5=0,"0",AG5=1,"150",AG5=2,"300",AG5=3,"450",AG5=4,"600",AG5=5,"750",AG5=6,"900",AG5&gt;=7,"1,000")))))/2</f>
        <v>#NAME?</v>
      </c>
      <c r="AI5" s="122" t="str">
        <f t="shared" si="1"/>
        <v>捷升</v>
      </c>
      <c r="AJ5" s="70"/>
    </row>
    <row r="6" spans="1:36" ht="18" customHeight="1">
      <c r="A6" s="95" t="s">
        <v>174</v>
      </c>
      <c r="B6" s="122" t="s">
        <v>14</v>
      </c>
      <c r="C6" s="151"/>
      <c r="D6" s="150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66">
        <v>22</v>
      </c>
      <c r="AH6" s="68" t="e">
        <f ca="1">(IF(A6="O", (VALUE(_xludf.IFS(AG6=0,"0",AG6=1,"150",AG6=2,"300",AG6=3,"450",AG6=4,"600",AG6=5,"750",AG6&gt;=6,"800"))),(VALUE(_xludf.IFS(AG6=0,"0",AG6=1,"150",AG6=2,"300",AG6=3,"450",AG6=4,"600",AG6=5,"750",AG6=6,"900",AG6&gt;=7,"1,000")))))/2</f>
        <v>#NAME?</v>
      </c>
      <c r="AI6" s="122" t="str">
        <f t="shared" si="1"/>
        <v>曉明</v>
      </c>
      <c r="AJ6" s="70"/>
    </row>
    <row r="7" spans="1:36" ht="18" customHeight="1">
      <c r="A7" s="95" t="s">
        <v>174</v>
      </c>
      <c r="B7" s="96" t="s">
        <v>15</v>
      </c>
      <c r="C7" s="151"/>
      <c r="D7" s="150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66">
        <v>17</v>
      </c>
      <c r="AH7" s="68" t="e">
        <f ca="1">IF(A7="O", (VALUE(_xludf.IFS(AG7=0,"0",AG7=1,"150",AG7=2,"300",AG7=3,"450",AG7=4,"600",AG7=5,"750",AG7&gt;=6,"800"))),(VALUE(_xludf.IFS(AG7=0,"0",AG7=1,"150",AG7=2,"300",AG7=3,"450",AG7=4,"600",AG7=5,"750",AG7=6,"900",AG7&gt;=7,"1,000"))))</f>
        <v>#NAME?</v>
      </c>
      <c r="AI7" s="69" t="str">
        <f t="shared" si="1"/>
        <v>大支</v>
      </c>
      <c r="AJ7" s="70"/>
    </row>
    <row r="8" spans="1:36" ht="18" customHeight="1">
      <c r="A8" s="95" t="s">
        <v>174</v>
      </c>
      <c r="B8" s="96" t="s">
        <v>16</v>
      </c>
      <c r="C8" s="151"/>
      <c r="D8" s="1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66">
        <v>0</v>
      </c>
      <c r="AH8" s="68" t="e">
        <f ca="1">IF(A8="O", (VALUE(_xludf.IFS(AG8=0,"0",AG8=1,"150",AG8=2,"300",AG8=3,"450",AG8=4,"600",AG8=5,"750",AG8&gt;=6,"800"))),(VALUE(_xludf.IFS(AG8=0,"0",AG8=1,"150",AG8=2,"300",AG8=3,"450",AG8=4,"600",AG8=5,"750",AG8=6,"900",AG8&gt;=7,"1,000"))))</f>
        <v>#NAME?</v>
      </c>
      <c r="AI8" s="69" t="str">
        <f t="shared" si="1"/>
        <v>弼善</v>
      </c>
      <c r="AJ8" s="70"/>
    </row>
    <row r="9" spans="1:36" ht="18" customHeight="1">
      <c r="A9" s="95" t="s">
        <v>174</v>
      </c>
      <c r="B9" s="96" t="s">
        <v>17</v>
      </c>
      <c r="C9" s="151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66">
        <v>18</v>
      </c>
      <c r="AH9" s="68" t="e">
        <f ca="1">IF(A9="O", (VALUE(_xludf.IFS(AG9=0,"0",AG9=1,"150",AG9=2,"300",AG9=3,"450",AG9=4,"600",AG9=5,"750",AG9&gt;=6,"800"))),(VALUE(_xludf.IFS(AG9=0,"0",AG9=1,"150",AG9=2,"300",AG9=3,"450",AG9=4,"600",AG9=5,"750",AG9=6,"900",AG9&gt;=7,"1,000"))))</f>
        <v>#NAME?</v>
      </c>
      <c r="AI9" s="69" t="str">
        <f t="shared" si="1"/>
        <v>光曜</v>
      </c>
      <c r="AJ9" s="70"/>
    </row>
    <row r="10" spans="1:36" ht="18" customHeight="1">
      <c r="A10" s="95" t="s">
        <v>174</v>
      </c>
      <c r="B10" s="122" t="s">
        <v>13</v>
      </c>
      <c r="C10" s="151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66">
        <v>18</v>
      </c>
      <c r="AH10" s="68" t="e">
        <f ca="1">(IF(A10="O", (VALUE(_xludf.IFS(AG10=0,"0",AG10=1,"150",AG10=2,"300",AG10=3,"450",AG10=4,"600",AG10=5,"750",AG10&gt;=6,"800"))),(VALUE(_xludf.IFS(AG10=0,"0",AG10=1,"150",AG10=2,"300",AG10=3,"450",AG10=4,"600",AG10=5,"750",AG10=6,"900",AG10&gt;=7,"1,000")))))/2</f>
        <v>#NAME?</v>
      </c>
      <c r="AI10" s="122" t="str">
        <f t="shared" si="1"/>
        <v>李洋</v>
      </c>
      <c r="AJ10" s="70"/>
    </row>
    <row r="11" spans="1:36" ht="18" customHeight="1">
      <c r="A11" s="95" t="s">
        <v>58</v>
      </c>
      <c r="B11" s="96" t="s">
        <v>18</v>
      </c>
      <c r="C11" s="151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66">
        <v>18</v>
      </c>
      <c r="AH11" s="68" t="e">
        <f ca="1">IF(A11="O", (VALUE(_xludf.IFS(AG11=0,"0",AG11=1,"150",AG11=2,"300",AG11=3,"450",AG11=4,"600",AG11=5,"750",AG11&gt;=6,"800"))),(VALUE(_xludf.IFS(AG11=0,"0",AG11=1,"150",AG11=2,"300",AG11=3,"450",AG11=4,"600",AG11=5,"750",AG11=6,"900",AG11&gt;=7,"1,000"))))</f>
        <v>#NAME?</v>
      </c>
      <c r="AI11" s="69" t="str">
        <f t="shared" si="1"/>
        <v>皓元</v>
      </c>
      <c r="AJ11" s="70"/>
    </row>
    <row r="12" spans="1:36" ht="18" customHeight="1">
      <c r="A12" s="95" t="s">
        <v>174</v>
      </c>
      <c r="B12" s="198" t="s">
        <v>19</v>
      </c>
      <c r="C12" s="151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66">
        <v>3</v>
      </c>
      <c r="AH12" s="68" t="e">
        <f ca="1">IF(A12="O", (VALUE(_xludf.IFS(AG12=0,"0",AG12=1,"150",AG12=2,"300",AG12=3,"450",AG12=4,"600",AG12=5,"750",AG12&gt;=6,"800"))),(VALUE(_xludf.IFS(AG12=0,"0",AG12=1,"150",AG12=2,"300",AG12=3,"450",AG12=4,"600",AG12=5,"750",AG12=6,"900",AG12&gt;=7,"1,000"))))</f>
        <v>#NAME?</v>
      </c>
      <c r="AI12" s="198" t="str">
        <f t="shared" si="1"/>
        <v>青蛙</v>
      </c>
      <c r="AJ12" s="70"/>
    </row>
    <row r="13" spans="1:36" ht="18" customHeight="1">
      <c r="A13" s="95" t="s">
        <v>9</v>
      </c>
      <c r="B13" s="96" t="s">
        <v>61</v>
      </c>
      <c r="C13" s="151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66">
        <v>0</v>
      </c>
      <c r="AH13" s="68" t="e">
        <f ca="1">IF(A13="O", (VALUE(_xludf.IFS(AG13=0,"0",AG13=1,"150",AG13=2,"300",AG13=3,"450",AG13=4,"600",AG13=5,"750",AG13&gt;=6,"800"))),(VALUE(_xludf.IFS(AG13=0,"0",AG13=1,"150",AG13=2,"300",AG13=3,"450",AG13=4,"600",AG13=5,"750",AG13=6,"900",AG13&gt;=7,"1,000"))))</f>
        <v>#NAME?</v>
      </c>
      <c r="AI13" s="69" t="str">
        <f t="shared" si="1"/>
        <v>韋融</v>
      </c>
      <c r="AJ13" s="70"/>
    </row>
    <row r="14" spans="1:36" ht="18" customHeight="1">
      <c r="A14" s="95" t="s">
        <v>174</v>
      </c>
      <c r="B14" s="96" t="s">
        <v>175</v>
      </c>
      <c r="C14" s="151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66">
        <v>15</v>
      </c>
      <c r="AH14" s="68" t="e">
        <f ca="1">IF(A14="O", (VALUE(_xludf.IFS(AG14=0,"0",AG14=1,"150",AG14=2,"300",AG14=3,"450",AG14=4,"600",AG14=5,"750",AG14&gt;=6,"800"))),(VALUE(_xludf.IFS(AG14=0,"0",AG14=1,"150",AG14=2,"300",AG14=3,"450",AG14=4,"600",AG14=5,"750",AG14=6,"900",AG14&gt;=7,"1,000"))))</f>
        <v>#NAME?</v>
      </c>
      <c r="AI14" s="69" t="str">
        <f t="shared" si="1"/>
        <v>咪咪</v>
      </c>
      <c r="AJ14" s="70"/>
    </row>
    <row r="15" spans="1:36" ht="18" customHeight="1">
      <c r="A15" s="95" t="s">
        <v>174</v>
      </c>
      <c r="B15" s="96" t="s">
        <v>20</v>
      </c>
      <c r="C15" s="151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66">
        <v>17</v>
      </c>
      <c r="AH15" s="68" t="e">
        <f ca="1">IF(A15="O", (VALUE(_xludf.IFS(AG15=0,"0",AG15=1,"150",AG15=2,"300",AG15=3,"450",AG15=4,"600",AG15=5,"750",AG15&gt;=6,"800"))),(VALUE(_xludf.IFS(AG15=0,"0",AG15=1,"150",AG15=2,"300",AG15=3,"450",AG15=4,"600",AG15=5,"750",AG15=6,"900",AG15&gt;=7,"1,000"))))</f>
        <v>#NAME?</v>
      </c>
      <c r="AI15" s="69" t="str">
        <f t="shared" si="1"/>
        <v>港弟</v>
      </c>
      <c r="AJ15" s="70"/>
    </row>
    <row r="16" spans="1:36" ht="18" customHeight="1">
      <c r="A16" s="95" t="s">
        <v>174</v>
      </c>
      <c r="B16" s="96" t="s">
        <v>21</v>
      </c>
      <c r="C16" s="151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66">
        <v>18</v>
      </c>
      <c r="AH16" s="68" t="e">
        <f ca="1">IF(A16="O", (VALUE(_xludf.IFS(AG16=0,"0",AG16=1,"150",AG16=2,"300",AG16=3,"450",AG16=4,"600",AG16=5,"750",AG16&gt;=6,"800"))),(VALUE(_xludf.IFS(AG16=0,"0",AG16=1,"150",AG16=2,"300",AG16=3,"450",AG16=4,"600",AG16=5,"750",AG16=6,"900",AG16&gt;=7,"1,000"))))</f>
        <v>#NAME?</v>
      </c>
      <c r="AI16" s="69" t="str">
        <f t="shared" si="1"/>
        <v>晧全</v>
      </c>
      <c r="AJ16" s="70"/>
    </row>
    <row r="17" spans="1:36" ht="18" customHeight="1">
      <c r="A17" s="95" t="s">
        <v>174</v>
      </c>
      <c r="B17" s="96" t="s">
        <v>22</v>
      </c>
      <c r="C17" s="151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66">
        <v>15</v>
      </c>
      <c r="AH17" s="68" t="e">
        <f ca="1">IF(A17="O", (VALUE(_xludf.IFS(AG17=0,"0",AG17=1,"150",AG17=2,"300",AG17=3,"450",AG17=4,"600",AG17=5,"750",AG17&gt;=6,"800"))),(VALUE(_xludf.IFS(AG17=0,"0",AG17=1,"150",AG17=2,"300",AG17=3,"450",AG17=4,"600",AG17=5,"750",AG17=6,"900",AG17&gt;=7,"1,000"))))</f>
        <v>#NAME?</v>
      </c>
      <c r="AI17" s="69" t="str">
        <f t="shared" si="1"/>
        <v>Mars</v>
      </c>
      <c r="AJ17" s="70"/>
    </row>
    <row r="18" spans="1:36" ht="18" customHeight="1">
      <c r="A18" s="99" t="s">
        <v>174</v>
      </c>
      <c r="B18" s="100" t="s">
        <v>89</v>
      </c>
      <c r="C18" s="99"/>
      <c r="D18" s="132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77">
        <v>0</v>
      </c>
      <c r="AH18" s="78" t="e">
        <f ca="1">IF(A18="O", (VALUE(_xludf.IFS(AG18=0,"0",AG18=1,"150",AG18=2,"300",AG18=3,"450",AG18=4,"600",AG18=5,"750",AG18&gt;=6,"800"))),(VALUE(_xludf.IFS(AG18=0,"0",AG18=1,"150",AG18=2,"300",AG18=3,"450",AG18=4,"600",AG18=5,"750",AG18=6,"900",AG18&gt;=7,"1,000"))))</f>
        <v>#NAME?</v>
      </c>
      <c r="AI18" s="79" t="str">
        <f t="shared" si="1"/>
        <v>泡芙</v>
      </c>
      <c r="AJ18" s="80"/>
    </row>
    <row r="19" spans="1:36" ht="18" customHeight="1">
      <c r="A19" s="99" t="s">
        <v>174</v>
      </c>
      <c r="B19" s="100" t="s">
        <v>90</v>
      </c>
      <c r="C19" s="99"/>
      <c r="D19" s="13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77">
        <v>15</v>
      </c>
      <c r="AH19" s="78" t="e">
        <f ca="1">IF(A19="O", (VALUE(_xludf.IFS(AG19=0,"0",AG19=1,"150",AG19=2,"300",AG19=3,"450",AG19=4,"600",AG19=5,"750",AG19&gt;=6,"800"))),(VALUE(_xludf.IFS(AG19=0,"0",AG19=1,"150",AG19=2,"300",AG19=3,"450",AG19=4,"600",AG19=5,"750",AG19=6,"900",AG19&gt;=7,"1,000"))))</f>
        <v>#NAME?</v>
      </c>
      <c r="AI19" s="79" t="str">
        <f t="shared" si="1"/>
        <v>蓓蓓</v>
      </c>
      <c r="AJ19" s="80"/>
    </row>
    <row r="20" spans="1:36" ht="18" customHeight="1">
      <c r="A20" s="99" t="s">
        <v>58</v>
      </c>
      <c r="B20" s="100" t="s">
        <v>91</v>
      </c>
      <c r="C20" s="99"/>
      <c r="D20" s="132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77">
        <v>0</v>
      </c>
      <c r="AH20" s="78" t="e">
        <f ca="1">IF(A20="O", (VALUE(_xludf.IFS(AG20=0,"0",AG20=1,"150",AG20=2,"300",AG20=3,"450",AG20=4,"600",AG20=5,"750",AG20&gt;=6,"800"))),(VALUE(_xludf.IFS(AG20=0,"0",AG20=1,"150",AG20=2,"300",AG20=3,"450",AG20=4,"600",AG20=5,"750",AG20=6,"900",AG20&gt;=7,"1,000"))))</f>
        <v>#NAME?</v>
      </c>
      <c r="AI20" s="79" t="str">
        <f t="shared" si="1"/>
        <v>柔柔</v>
      </c>
      <c r="AJ20" s="80"/>
    </row>
    <row r="21" spans="1:36" ht="18" customHeight="1">
      <c r="A21" s="99" t="s">
        <v>174</v>
      </c>
      <c r="B21" s="100" t="s">
        <v>92</v>
      </c>
      <c r="C21" s="99"/>
      <c r="D21" s="132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77">
        <v>4</v>
      </c>
      <c r="AH21" s="78" t="e">
        <f ca="1">IF(A21="O", (VALUE(_xludf.IFS(AG21=0,"0",AG21=1,"150",AG21=2,"300",AG21=3,"450",AG21=4,"600",AG21=5,"750",AG21&gt;=6,"800"))),(VALUE(_xludf.IFS(AG21=0,"0",AG21=1,"150",AG21=2,"300",AG21=3,"450",AG21=4,"600",AG21=5,"750",AG21=6,"900",AG21&gt;=7,"1,000"))))</f>
        <v>#NAME?</v>
      </c>
      <c r="AI21" s="79" t="str">
        <f t="shared" si="1"/>
        <v>婉晴</v>
      </c>
      <c r="AJ21" s="80"/>
    </row>
    <row r="22" spans="1:36" ht="18" customHeight="1">
      <c r="A22" s="99" t="s">
        <v>174</v>
      </c>
      <c r="B22" s="100" t="s">
        <v>93</v>
      </c>
      <c r="C22" s="99"/>
      <c r="D22" s="132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77">
        <v>14</v>
      </c>
      <c r="AH22" s="78" t="e">
        <f ca="1">IF(A22="O", (VALUE(_xludf.IFS(AG22=0,"0",AG22=1,"150",AG22=2,"300",AG22=3,"450",AG22=4,"600",AG22=5,"750",AG22&gt;=6,"800"))),(VALUE(_xludf.IFS(AG22=0,"0",AG22=1,"150",AG22=2,"300",AG22=3,"450",AG22=4,"600",AG22=5,"750",AG22=6,"900",AG22&gt;=7,"1,000"))))</f>
        <v>#NAME?</v>
      </c>
      <c r="AI22" s="79" t="str">
        <f t="shared" si="1"/>
        <v>冠婷</v>
      </c>
      <c r="AJ22" s="81"/>
    </row>
    <row r="23" spans="1:36" ht="18" customHeight="1">
      <c r="A23" s="99" t="s">
        <v>174</v>
      </c>
      <c r="B23" s="100" t="s">
        <v>149</v>
      </c>
      <c r="C23" s="99"/>
      <c r="D23" s="132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77">
        <v>0</v>
      </c>
      <c r="AH23" s="78" t="e">
        <f ca="1">IF(A23="O", (VALUE(_xludf.IFS(AG23=0,"0",AG23=1,"150",AG23=2,"300",AG23=3,"450",AG23=4,"600",AG23=5,"750",AG23&gt;=6,"800"))),(VALUE(_xludf.IFS(AG23=0,"0",AG23=1,"150",AG23=2,"300",AG23=3,"450",AG23=4,"600",AG23=5,"750",AG23=6,"900",AG23&gt;=7,"1,000"))))</f>
        <v>#NAME?</v>
      </c>
      <c r="AI23" s="79" t="str">
        <f t="shared" si="1"/>
        <v>晏寧</v>
      </c>
      <c r="AJ23" s="82"/>
    </row>
    <row r="24" spans="1:36" ht="18" customHeight="1">
      <c r="A24" s="99" t="s">
        <v>174</v>
      </c>
      <c r="B24" s="100" t="s">
        <v>150</v>
      </c>
      <c r="C24" s="99"/>
      <c r="D24" s="132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77">
        <v>0</v>
      </c>
      <c r="AH24" s="78" t="e">
        <f ca="1">IF(A24="O", (VALUE(_xludf.IFS(AG24=0,"0",AG24=1,"150",AG24=2,"300",AG24=3,"450",AG24=4,"600",AG24=5,"750",AG24&gt;=6,"800"))),(VALUE(_xludf.IFS(AG24=0,"0",AG24=1,"150",AG24=2,"300",AG24=3,"450",AG24=4,"600",AG24=5,"750",AG24=6,"900",AG24&gt;=7,"1,000"))))</f>
        <v>#NAME?</v>
      </c>
      <c r="AI24" s="79" t="str">
        <f t="shared" si="1"/>
        <v>高麗菜</v>
      </c>
      <c r="AJ24" s="80"/>
    </row>
    <row r="25" spans="1:36" ht="18" customHeight="1">
      <c r="A25" s="99" t="s">
        <v>174</v>
      </c>
      <c r="B25" s="100" t="s">
        <v>113</v>
      </c>
      <c r="C25" s="99"/>
      <c r="D25" s="132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77">
        <v>0</v>
      </c>
      <c r="AH25" s="78" t="e">
        <f ca="1">IF(A25="O", (VALUE(_xludf.IFS(AG25=0,"0",AG25=1,"150",AG25=2,"300",AG25=3,"450",AG25=4,"600",AG25=5,"750",AG25&gt;=6,"800"))),(VALUE(_xludf.IFS(AG25=0,"0",AG25=1,"150",AG25=2,"300",AG25=3,"450",AG25=4,"600",AG25=5,"750",AG25=6,"900",AG25&gt;=7,"1,000"))))</f>
        <v>#NAME?</v>
      </c>
      <c r="AI25" s="79" t="str">
        <f t="shared" si="1"/>
        <v>容容</v>
      </c>
      <c r="AJ25" s="82"/>
    </row>
    <row r="26" spans="1:36" ht="18" customHeight="1">
      <c r="A26" s="99" t="s">
        <v>174</v>
      </c>
      <c r="B26" s="100" t="s">
        <v>94</v>
      </c>
      <c r="C26" s="99"/>
      <c r="D26" s="132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77">
        <v>17</v>
      </c>
      <c r="AH26" s="78" t="e">
        <f ca="1">IF(A26="O", (VALUE(_xludf.IFS(AG26=0,"0",AG26=1,"150",AG26=2,"300",AG26=3,"450",AG26=4,"600",AG26=5,"750",AG26&gt;=6,"800"))),(VALUE(_xludf.IFS(AG26=0,"0",AG26=1,"150",AG26=2,"300",AG26=3,"450",AG26=4,"600",AG26=5,"750",AG26=6,"900",AG26&gt;=7,"1,000"))))</f>
        <v>#NAME?</v>
      </c>
      <c r="AI26" s="79" t="str">
        <f t="shared" si="1"/>
        <v>小花</v>
      </c>
      <c r="AJ26" s="80"/>
    </row>
    <row r="27" spans="1:36" ht="18" customHeight="1">
      <c r="A27" s="99" t="s">
        <v>174</v>
      </c>
      <c r="B27" s="100" t="s">
        <v>95</v>
      </c>
      <c r="C27" s="99"/>
      <c r="D27" s="132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77">
        <v>16</v>
      </c>
      <c r="AH27" s="78" t="e">
        <f ca="1">IF(A27="O", (VALUE(_xludf.IFS(AG27=0,"0",AG27=1,"150",AG27=2,"300",AG27=3,"450",AG27=4,"600",AG27=5,"750",AG27&gt;=6,"800"))),(VALUE(_xludf.IFS(AG27=0,"0",AG27=1,"150",AG27=2,"300",AG27=3,"450",AG27=4,"600",AG27=5,"750",AG27=6,"900",AG27&gt;=7,"1,000"))))</f>
        <v>#NAME?</v>
      </c>
      <c r="AI27" s="79" t="str">
        <f t="shared" si="1"/>
        <v>小吱</v>
      </c>
      <c r="AJ27" s="80"/>
    </row>
    <row r="28" spans="1:36" ht="18" customHeight="1">
      <c r="A28" s="99" t="s">
        <v>174</v>
      </c>
      <c r="B28" s="100" t="s">
        <v>146</v>
      </c>
      <c r="C28" s="99"/>
      <c r="D28" s="132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77">
        <v>0</v>
      </c>
      <c r="AH28" s="78" t="e">
        <f ca="1">IF(A28="O", (VALUE(_xludf.IFS(AG28=0,"0",AG28=1,"150",AG28=2,"300",AG28=3,"450",AG28=4,"600",AG28=5,"750",AG28&gt;=6,"800"))),(VALUE(_xludf.IFS(AG28=0,"0",AG28=1,"150",AG28=2,"300",AG28=3,"450",AG28=4,"600",AG28=5,"750",AG28=6,"900",AG28&gt;=7,"1,000"))))</f>
        <v>#NAME?</v>
      </c>
      <c r="AI28" s="79" t="str">
        <f t="shared" si="1"/>
        <v>飛飛</v>
      </c>
      <c r="AJ28" s="81"/>
    </row>
    <row r="29" spans="1:36" ht="18" customHeight="1">
      <c r="A29" s="99" t="s">
        <v>58</v>
      </c>
      <c r="B29" s="100" t="s">
        <v>147</v>
      </c>
      <c r="C29" s="99"/>
      <c r="D29" s="132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77">
        <v>0</v>
      </c>
      <c r="AH29" s="78" t="e">
        <f ca="1">IF(A29="O", (VALUE(_xludf.IFS(AG29=0,"0",AG29=1,"150",AG29=2,"300",AG29=3,"450",AG29=4,"600",AG29=5,"750",AG29&gt;=6,"800"))),(VALUE(_xludf.IFS(AG29=0,"0",AG29=1,"150",AG29=2,"300",AG29=3,"450",AG29=4,"600",AG29=5,"750",AG29=6,"900",AG29&gt;=7,"1,000"))))</f>
        <v>#NAME?</v>
      </c>
      <c r="AI29" s="79" t="str">
        <f t="shared" si="1"/>
        <v>湘苡</v>
      </c>
      <c r="AJ29" s="80"/>
    </row>
    <row r="30" spans="1:36" ht="18" customHeight="1">
      <c r="A30" s="99" t="s">
        <v>58</v>
      </c>
      <c r="B30" s="100" t="s">
        <v>148</v>
      </c>
      <c r="C30" s="99"/>
      <c r="D30" s="132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77">
        <v>0</v>
      </c>
      <c r="AH30" s="78" t="e">
        <f ca="1">IF(A30="O", (VALUE(_xludf.IFS(AG30=0,"0",AG30=1,"150",AG30=2,"300",AG30=3,"450",AG30=4,"600",AG30=5,"750",AG30&gt;=6,"800"))),(VALUE(_xludf.IFS(AG30=0,"0",AG30=1,"150",AG30=2,"300",AG30=3,"450",AG30=4,"600",AG30=5,"750",AG30=6,"900",AG30&gt;=7,"1,000"))))</f>
        <v>#NAME?</v>
      </c>
      <c r="AI30" s="79" t="str">
        <f t="shared" si="1"/>
        <v>雅雅</v>
      </c>
      <c r="AJ30" s="82"/>
    </row>
    <row r="31" spans="1:36" ht="18" customHeight="1">
      <c r="A31" s="101" t="s">
        <v>174</v>
      </c>
      <c r="B31" s="102" t="s">
        <v>103</v>
      </c>
      <c r="C31" s="101"/>
      <c r="D31" s="137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86">
        <v>0</v>
      </c>
      <c r="AH31" s="87" t="e">
        <f ca="1">IF(A31="O", (VALUE(_xludf.IFS(AG31=0,"0",AG31=1,"150",AG31=2,"300",AG31=3,"450",AG31=4,"600",AG31=5,"750",AG31&gt;=6,"800"))),(VALUE(_xludf.IFS(AG31=0,"0",AG31=1,"150",AG31=2,"300",AG31=3,"450",AG31=4,"600",AG31=5,"750",AG31=6,"900",AG31&gt;=7,"1,000"))))</f>
        <v>#NAME?</v>
      </c>
      <c r="AI31" s="88" t="str">
        <f t="shared" si="1"/>
        <v>圈圈</v>
      </c>
      <c r="AJ31" s="90"/>
    </row>
    <row r="32" spans="1:36" ht="18" customHeight="1">
      <c r="A32" s="101" t="s">
        <v>174</v>
      </c>
      <c r="B32" s="102" t="s">
        <v>104</v>
      </c>
      <c r="C32" s="101"/>
      <c r="D32" s="137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86">
        <v>15</v>
      </c>
      <c r="AH32" s="87" t="e">
        <f ca="1">IF(A32="O", (VALUE(_xludf.IFS(AG32=0,"0",AG32=1,"150",AG32=2,"300",AG32=3,"450",AG32=4,"600",AG32=5,"750",AG32&gt;=6,"800"))),(VALUE(_xludf.IFS(AG32=0,"0",AG32=1,"150",AG32=2,"300",AG32=3,"450",AG32=4,"600",AG32=5,"750",AG32=6,"900",AG32&gt;=7,"1,000"))))</f>
        <v>#NAME?</v>
      </c>
      <c r="AI32" s="88" t="str">
        <f t="shared" si="1"/>
        <v>卡丘</v>
      </c>
      <c r="AJ32" s="90"/>
    </row>
    <row r="33" spans="1:36" ht="18" customHeight="1">
      <c r="A33" s="101" t="s">
        <v>174</v>
      </c>
      <c r="B33" s="102" t="s">
        <v>105</v>
      </c>
      <c r="C33" s="101"/>
      <c r="D33" s="137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86">
        <v>0</v>
      </c>
      <c r="AH33" s="87" t="e">
        <f ca="1">IF(A33="O", (VALUE(_xludf.IFS(AG33=0,"0",AG33=1,"150",AG33=2,"300",AG33=3,"450",AG33=4,"600",AG33=5,"750",AG33&gt;=6,"800"))),(VALUE(_xludf.IFS(AG33=0,"0",AG33=1,"150",AG33=2,"300",AG33=3,"450",AG33=4,"600",AG33=5,"750",AG33=6,"900",AG33&gt;=7,"1,000"))))</f>
        <v>#NAME?</v>
      </c>
      <c r="AI33" s="88" t="str">
        <f t="shared" si="1"/>
        <v>琬蓁</v>
      </c>
      <c r="AJ33" s="90"/>
    </row>
    <row r="34" spans="1:36" ht="18" customHeight="1">
      <c r="A34" s="101" t="s">
        <v>174</v>
      </c>
      <c r="B34" s="102" t="s">
        <v>116</v>
      </c>
      <c r="C34" s="101"/>
      <c r="D34" s="137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86">
        <v>0</v>
      </c>
      <c r="AH34" s="87" t="e">
        <f ca="1">IF(A34="O", (VALUE(_xludf.IFS(AG34=0,"0",AG34=1,"150",AG34=2,"300",AG34=3,"450",AG34=4,"600",AG34=5,"750",AG34&gt;=6,"800"))),(VALUE(_xludf.IFS(AG34=0,"0",AG34=1,"150",AG34=2,"300",AG34=3,"450",AG34=4,"600",AG34=5,"750",AG34=6,"900",AG34&gt;=7,"1,000"))))</f>
        <v>#NAME?</v>
      </c>
      <c r="AI34" s="88" t="str">
        <f t="shared" si="1"/>
        <v>大汪</v>
      </c>
      <c r="AJ34" s="89"/>
    </row>
    <row r="35" spans="1:36" ht="18" customHeight="1">
      <c r="A35" s="101" t="s">
        <v>58</v>
      </c>
      <c r="B35" s="102" t="s">
        <v>117</v>
      </c>
      <c r="C35" s="101"/>
      <c r="D35" s="137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86">
        <v>0</v>
      </c>
      <c r="AH35" s="87" t="e">
        <f ca="1">IF(A35="O", (VALUE(_xludf.IFS(AG35=0,"0",AG35=1,"150",AG35=2,"300",AG35=3,"450",AG35=4,"600",AG35=5,"750",AG35&gt;=6,"800"))),(VALUE(_xludf.IFS(AG35=0,"0",AG35=1,"150",AG35=2,"300",AG35=3,"450",AG35=4,"600",AG35=5,"750",AG35=6,"900",AG35&gt;=7,"1,000"))))</f>
        <v>#NAME?</v>
      </c>
      <c r="AI35" s="88" t="str">
        <f t="shared" si="1"/>
        <v>依凡</v>
      </c>
      <c r="AJ35" s="89"/>
    </row>
    <row r="36" spans="1:36" ht="18" customHeight="1">
      <c r="A36" s="101" t="s">
        <v>58</v>
      </c>
      <c r="B36" s="102" t="s">
        <v>118</v>
      </c>
      <c r="C36" s="101"/>
      <c r="D36" s="137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86">
        <v>0</v>
      </c>
      <c r="AH36" s="87" t="e">
        <f ca="1">IF(A36="O", (VALUE(_xludf.IFS(AG36=0,"0",AG36=1,"150",AG36=2,"300",AG36=3,"450",AG36=4,"600",AG36=5,"750",AG36&gt;=6,"800"))),(VALUE(_xludf.IFS(AG36=0,"0",AG36=1,"150",AG36=2,"300",AG36=3,"450",AG36=4,"600",AG36=5,"750",AG36=6,"900",AG36&gt;=7,"1,000"))))</f>
        <v>#NAME?</v>
      </c>
      <c r="AI36" s="88" t="str">
        <f t="shared" ref="AI36:AI67" si="2">B36</f>
        <v>雅筑</v>
      </c>
      <c r="AJ36" s="89"/>
    </row>
    <row r="37" spans="1:36" ht="18" customHeight="1">
      <c r="A37" s="101" t="s">
        <v>58</v>
      </c>
      <c r="B37" s="102" t="s">
        <v>119</v>
      </c>
      <c r="C37" s="101"/>
      <c r="D37" s="137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86">
        <v>1</v>
      </c>
      <c r="AH37" s="87" t="e">
        <f ca="1">IF(A37="O", (VALUE(_xludf.IFS(AG37=0,"0",AG37=1,"150",AG37=2,"300",AG37=3,"450",AG37=4,"600",AG37=5,"750",AG37&gt;=6,"800"))),(VALUE(_xludf.IFS(AG37=0,"0",AG37=1,"150",AG37=2,"300",AG37=3,"450",AG37=4,"600",AG37=5,"750",AG37=6,"900",AG37&gt;=7,"1,000"))))</f>
        <v>#NAME?</v>
      </c>
      <c r="AI37" s="88" t="str">
        <f t="shared" si="2"/>
        <v>ABBY</v>
      </c>
      <c r="AJ37" s="90"/>
    </row>
    <row r="38" spans="1:36" ht="18" customHeight="1">
      <c r="A38" s="101" t="s">
        <v>58</v>
      </c>
      <c r="B38" s="102" t="s">
        <v>120</v>
      </c>
      <c r="C38" s="101"/>
      <c r="D38" s="137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86">
        <v>0</v>
      </c>
      <c r="AH38" s="87" t="e">
        <f ca="1">IF(A38="O", (VALUE(_xludf.IFS(AG38=0,"0",AG38=1,"150",AG38=2,"300",AG38=3,"450",AG38=4,"600",AG38=5,"750",AG38&gt;=6,"800"))),(VALUE(_xludf.IFS(AG38=0,"0",AG38=1,"150",AG38=2,"300",AG38=3,"450",AG38=4,"600",AG38=5,"750",AG38=6,"900",AG38&gt;=7,"1,000"))))</f>
        <v>#NAME?</v>
      </c>
      <c r="AI38" s="88" t="str">
        <f t="shared" si="2"/>
        <v>品君</v>
      </c>
      <c r="AJ38" s="90"/>
    </row>
    <row r="39" spans="1:36" ht="18" customHeight="1">
      <c r="A39" s="101" t="s">
        <v>174</v>
      </c>
      <c r="B39" s="102" t="s">
        <v>121</v>
      </c>
      <c r="C39" s="101"/>
      <c r="D39" s="137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86">
        <v>0</v>
      </c>
      <c r="AH39" s="87" t="e">
        <f ca="1">IF(A39="O", (VALUE(_xludf.IFS(AG39=0,"0",AG39=1,"150",AG39=2,"300",AG39=3,"450",AG39=4,"600",AG39=5,"750",AG39&gt;=6,"800"))),(VALUE(_xludf.IFS(AG39=0,"0",AG39=1,"150",AG39=2,"300",AG39=3,"450",AG39=4,"600",AG39=5,"750",AG39=6,"900",AG39&gt;=7,"1,000"))))</f>
        <v>#NAME?</v>
      </c>
      <c r="AI39" s="88" t="str">
        <f t="shared" si="2"/>
        <v>冰沙</v>
      </c>
      <c r="AJ39" s="90"/>
    </row>
    <row r="40" spans="1:36" ht="18" customHeight="1">
      <c r="A40" s="101" t="s">
        <v>58</v>
      </c>
      <c r="B40" s="102" t="s">
        <v>122</v>
      </c>
      <c r="C40" s="101"/>
      <c r="D40" s="137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86">
        <v>0</v>
      </c>
      <c r="AH40" s="87" t="e">
        <f ca="1">IF(A40="O", (VALUE(_xludf.IFS(AG40=0,"0",AG40=1,"150",AG40=2,"300",AG40=3,"450",AG40=4,"600",AG40=5,"750",AG40&gt;=6,"800"))),(VALUE(_xludf.IFS(AG40=0,"0",AG40=1,"150",AG40=2,"300",AG40=3,"450",AG40=4,"600",AG40=5,"750",AG40=6,"900",AG40&gt;=7,"1,000"))))</f>
        <v>#NAME?</v>
      </c>
      <c r="AI40" s="88" t="str">
        <f t="shared" si="2"/>
        <v>幸恩</v>
      </c>
      <c r="AJ40" s="90"/>
    </row>
    <row r="41" spans="1:36" ht="18" customHeight="1">
      <c r="A41" s="101" t="s">
        <v>174</v>
      </c>
      <c r="B41" s="102" t="s">
        <v>123</v>
      </c>
      <c r="C41" s="101"/>
      <c r="D41" s="13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86">
        <v>0</v>
      </c>
      <c r="AH41" s="87" t="e">
        <f ca="1">IF(A41="O", (VALUE(_xludf.IFS(AG41=0,"0",AG41=1,"150",AG41=2,"300",AG41=3,"450",AG41=4,"600",AG41=5,"750",AG41&gt;=6,"800"))),(VALUE(_xludf.IFS(AG41=0,"0",AG41=1,"150",AG41=2,"300",AG41=3,"450",AG41=4,"600",AG41=5,"750",AG41=6,"900",AG41&gt;=7,"1,000"))))</f>
        <v>#NAME?</v>
      </c>
      <c r="AI41" s="88" t="str">
        <f t="shared" si="2"/>
        <v>瑤瑤</v>
      </c>
      <c r="AJ41" s="89"/>
    </row>
    <row r="42" spans="1:36" ht="18" customHeight="1">
      <c r="A42" s="95" t="s">
        <v>58</v>
      </c>
      <c r="B42" s="96" t="s">
        <v>23</v>
      </c>
      <c r="C42" s="120"/>
      <c r="D42" s="14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66">
        <v>0</v>
      </c>
      <c r="AH42" s="68" t="e">
        <f ca="1">IF(A42="O", (VALUE(_xludf.IFS(AG42=0,"0",AG42=1,"150",AG42=2,"300",AG42=3,"450",AG42=4,"600",AG42=5,"750",AG42&gt;=6,"800"))),(VALUE(_xludf.IFS(AG42=0,"0",AG42=1,"150",AG42=2,"300",AG42=3,"450",AG42=4,"600",AG42=5,"750",AG42=6,"900",AG42&gt;=7,"1,000"))))</f>
        <v>#NAME?</v>
      </c>
      <c r="AI42" s="69" t="str">
        <f t="shared" si="2"/>
        <v>ㄈㄈ</v>
      </c>
      <c r="AJ42" s="73"/>
    </row>
    <row r="43" spans="1:36" ht="18" customHeight="1">
      <c r="A43" s="95" t="s">
        <v>58</v>
      </c>
      <c r="B43" s="96" t="s">
        <v>24</v>
      </c>
      <c r="C43" s="120"/>
      <c r="D43" s="14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66">
        <v>13</v>
      </c>
      <c r="AH43" s="68" t="e">
        <f ca="1">IF(A43="O", (VALUE(_xludf.IFS(AG43=0,"0",AG43=1,"150",AG43=2,"300",AG43=3,"450",AG43=4,"600",AG43=5,"750",AG43&gt;=6,"800"))),(VALUE(_xludf.IFS(AG43=0,"0",AG43=1,"150",AG43=2,"300",AG43=3,"450",AG43=4,"600",AG43=5,"750",AG43=6,"900",AG43&gt;=7,"1,000"))))</f>
        <v>#NAME?</v>
      </c>
      <c r="AI43" s="69" t="str">
        <f t="shared" si="2"/>
        <v>大熊</v>
      </c>
      <c r="AJ43" s="73"/>
    </row>
    <row r="44" spans="1:36" ht="18" customHeight="1">
      <c r="A44" s="95" t="s">
        <v>58</v>
      </c>
      <c r="B44" s="96" t="s">
        <v>64</v>
      </c>
      <c r="C44" s="120"/>
      <c r="D44" s="14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66">
        <v>0</v>
      </c>
      <c r="AH44" s="68" t="e">
        <f ca="1">IF(A44="O", (VALUE(_xludf.IFS(AG44=0,"0",AG44=1,"150",AG44=2,"300",AG44=3,"450",AG44=4,"600",AG44=5,"750",AG44&gt;=6,"800"))),(VALUE(_xludf.IFS(AG44=0,"0",AG44=1,"150",AG44=2,"300",AG44=3,"450",AG44=4,"600",AG44=5,"750",AG44=6,"900",AG44&gt;=7,"1,000"))))</f>
        <v>#NAME?</v>
      </c>
      <c r="AI44" s="69" t="str">
        <f t="shared" si="2"/>
        <v>園棠</v>
      </c>
      <c r="AJ44" s="73"/>
    </row>
    <row r="45" spans="1:36" ht="18" customHeight="1">
      <c r="A45" s="95" t="s">
        <v>9</v>
      </c>
      <c r="B45" s="96" t="s">
        <v>25</v>
      </c>
      <c r="C45" s="120"/>
      <c r="D45" s="14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66">
        <v>10</v>
      </c>
      <c r="AH45" s="68" t="e">
        <f ca="1">IF(A45="O", (VALUE(_xludf.IFS(AG45=0,"0",AG45=1,"150",AG45=2,"300",AG45=3,"450",AG45=4,"600",AG45=5,"750",AG45&gt;=6,"800"))),(VALUE(_xludf.IFS(AG45=0,"0",AG45=1,"150",AG45=2,"300",AG45=3,"450",AG45=4,"600",AG45=5,"750",AG45=6,"900",AG45&gt;=7,"1,000"))))</f>
        <v>#NAME?</v>
      </c>
      <c r="AI45" s="69" t="str">
        <f t="shared" si="2"/>
        <v>潘潘</v>
      </c>
      <c r="AJ45" s="73"/>
    </row>
    <row r="46" spans="1:36" ht="18" customHeight="1">
      <c r="A46" s="95" t="s">
        <v>58</v>
      </c>
      <c r="B46" s="96" t="s">
        <v>63</v>
      </c>
      <c r="C46" s="120"/>
      <c r="D46" s="14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66">
        <v>0</v>
      </c>
      <c r="AH46" s="68" t="e">
        <f ca="1">IF(A46="O", (VALUE(_xludf.IFS(AG46=0,"0",AG46=1,"150",AG46=2,"300",AG46=3,"450",AG46=4,"600",AG46=5,"750",AG46&gt;=6,"800"))),(VALUE(_xludf.IFS(AG46=0,"0",AG46=1,"150",AG46=2,"300",AG46=3,"450",AG46=4,"600",AG46=5,"750",AG46=6,"900",AG46&gt;=7,"1,000"))))</f>
        <v>#NAME?</v>
      </c>
      <c r="AI46" s="69" t="str">
        <f t="shared" si="2"/>
        <v>芒果</v>
      </c>
      <c r="AJ46" s="73"/>
    </row>
    <row r="47" spans="1:36" ht="18" customHeight="1">
      <c r="A47" s="95" t="s">
        <v>58</v>
      </c>
      <c r="B47" s="96" t="s">
        <v>62</v>
      </c>
      <c r="C47" s="120"/>
      <c r="D47" s="14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66">
        <v>0</v>
      </c>
      <c r="AH47" s="68" t="e">
        <f ca="1">IF(A47="O", (VALUE(_xludf.IFS(AG47=0,"0",AG47=1,"150",AG47=2,"300",AG47=3,"450",AG47=4,"600",AG47=5,"750",AG47&gt;=6,"800"))),(VALUE(_xludf.IFS(AG47=0,"0",AG47=1,"150",AG47=2,"300",AG47=3,"450",AG47=4,"600",AG47=5,"750",AG47=6,"900",AG47&gt;=7,"1,000"))))</f>
        <v>#NAME?</v>
      </c>
      <c r="AI47" s="69" t="str">
        <f t="shared" si="2"/>
        <v>國源</v>
      </c>
      <c r="AJ47" s="73"/>
    </row>
    <row r="48" spans="1:36" ht="18" customHeight="1">
      <c r="A48" s="95" t="s">
        <v>9</v>
      </c>
      <c r="B48" s="96" t="s">
        <v>26</v>
      </c>
      <c r="C48" s="120"/>
      <c r="D48" s="14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66">
        <v>18</v>
      </c>
      <c r="AH48" s="68" t="e">
        <f ca="1">IF(A48="O", (VALUE(_xludf.IFS(AG48=0,"0",AG48=1,"150",AG48=2,"300",AG48=3,"450",AG48=4,"600",AG48=5,"750",AG48&gt;=6,"800"))),(VALUE(_xludf.IFS(AG48=0,"0",AG48=1,"150",AG48=2,"300",AG48=3,"450",AG48=4,"600",AG48=5,"750",AG48=6,"900",AG48&gt;=7,"1,000"))))</f>
        <v>#NAME?</v>
      </c>
      <c r="AI48" s="69" t="str">
        <f t="shared" si="2"/>
        <v>曉強</v>
      </c>
      <c r="AJ48" s="73"/>
    </row>
    <row r="49" spans="1:36" ht="18" customHeight="1">
      <c r="A49" s="95" t="s">
        <v>58</v>
      </c>
      <c r="B49" s="96" t="s">
        <v>59</v>
      </c>
      <c r="C49" s="120"/>
      <c r="D49" s="14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66">
        <v>0</v>
      </c>
      <c r="AH49" s="68" t="e">
        <f ca="1">IF(A49="O", (VALUE(_xludf.IFS(AG49=0,"0",AG49=1,"150",AG49=2,"300",AG49=3,"450",AG49=4,"600",AG49=5,"750",AG49&gt;=6,"800"))),(VALUE(_xludf.IFS(AG49=0,"0",AG49=1,"150",AG49=2,"300",AG49=3,"450",AG49=4,"600",AG49=5,"750",AG49=6,"900",AG49&gt;=7,"1,000"))))</f>
        <v>#NAME?</v>
      </c>
      <c r="AI49" s="69" t="str">
        <f t="shared" si="2"/>
        <v>阿幹</v>
      </c>
      <c r="AJ49" s="73"/>
    </row>
    <row r="50" spans="1:36" ht="18" customHeight="1">
      <c r="A50" s="95" t="s">
        <v>9</v>
      </c>
      <c r="B50" s="96" t="s">
        <v>27</v>
      </c>
      <c r="C50" s="120"/>
      <c r="D50" s="14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66">
        <v>0</v>
      </c>
      <c r="AH50" s="68" t="e">
        <f ca="1">IF(A50="O", (VALUE(_xludf.IFS(AG50=0,"0",AG50=1,"150",AG50=2,"300",AG50=3,"450",AG50=4,"600",AG50=5,"750",AG50&gt;=6,"800"))),(VALUE(_xludf.IFS(AG50=0,"0",AG50=1,"150",AG50=2,"300",AG50=3,"450",AG50=4,"600",AG50=5,"750",AG50=6,"900",AG50&gt;=7,"1,000"))))</f>
        <v>#NAME?</v>
      </c>
      <c r="AI50" s="69" t="str">
        <f t="shared" si="2"/>
        <v>芋圓</v>
      </c>
      <c r="AJ50" s="73"/>
    </row>
    <row r="51" spans="1:36" ht="18" customHeight="1">
      <c r="A51" s="95" t="s">
        <v>58</v>
      </c>
      <c r="B51" s="96" t="s">
        <v>28</v>
      </c>
      <c r="C51" s="120"/>
      <c r="D51" s="14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66">
        <v>0</v>
      </c>
      <c r="AH51" s="68" t="e">
        <f ca="1">IF(A51="O", (VALUE(_xludf.IFS(AG51=0,"0",AG51=1,"150",AG51=2,"300",AG51=3,"450",AG51=4,"600",AG51=5,"750",AG51&gt;=6,"800"))),(VALUE(_xludf.IFS(AG51=0,"0",AG51=1,"150",AG51=2,"300",AG51=3,"450",AG51=4,"600",AG51=5,"750",AG51=6,"900",AG51&gt;=7,"1,000"))))</f>
        <v>#NAME?</v>
      </c>
      <c r="AI51" s="69" t="str">
        <f t="shared" si="2"/>
        <v>克勤</v>
      </c>
      <c r="AJ51" s="73"/>
    </row>
    <row r="52" spans="1:36" ht="18" customHeight="1">
      <c r="A52" s="95" t="s">
        <v>58</v>
      </c>
      <c r="B52" s="96" t="s">
        <v>29</v>
      </c>
      <c r="C52" s="120"/>
      <c r="D52" s="14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66">
        <v>0</v>
      </c>
      <c r="AH52" s="68" t="e">
        <f ca="1">IF(A52="O", (VALUE(_xludf.IFS(AG52=0,"0",AG52=1,"150",AG52=2,"300",AG52=3,"450",AG52=4,"600",AG52=5,"750",AG52&gt;=6,"800"))),(VALUE(_xludf.IFS(AG52=0,"0",AG52=1,"150",AG52=2,"300",AG52=3,"450",AG52=4,"600",AG52=5,"750",AG52=6,"900",AG52&gt;=7,"1,000"))))</f>
        <v>#NAME?</v>
      </c>
      <c r="AI52" s="69" t="str">
        <f t="shared" si="2"/>
        <v>大頭</v>
      </c>
      <c r="AJ52" s="73"/>
    </row>
    <row r="53" spans="1:36" ht="18" customHeight="1">
      <c r="A53" s="95" t="s">
        <v>9</v>
      </c>
      <c r="B53" s="96" t="s">
        <v>65</v>
      </c>
      <c r="C53" s="120"/>
      <c r="D53" s="14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66">
        <v>0</v>
      </c>
      <c r="AH53" s="68" t="e">
        <f ca="1">IF(A53="O", (VALUE(_xludf.IFS(AG53=0,"0",AG53=1,"150",AG53=2,"300",AG53=3,"450",AG53=4,"600",AG53=5,"750",AG53&gt;=6,"800"))),(VALUE(_xludf.IFS(AG53=0,"0",AG53=1,"150",AG53=2,"300",AG53=3,"450",AG53=4,"600",AG53=5,"750",AG53=6,"900",AG53&gt;=7,"1,000"))))</f>
        <v>#NAME?</v>
      </c>
      <c r="AI53" s="69" t="str">
        <f t="shared" si="2"/>
        <v>文淵</v>
      </c>
      <c r="AJ53" s="73"/>
    </row>
    <row r="54" spans="1:36" ht="18" customHeight="1">
      <c r="A54" s="95" t="s">
        <v>58</v>
      </c>
      <c r="B54" s="96" t="s">
        <v>72</v>
      </c>
      <c r="C54" s="120"/>
      <c r="D54" s="14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66">
        <v>0</v>
      </c>
      <c r="AH54" s="68" t="e">
        <f ca="1">IF(A54="O", (VALUE(_xludf.IFS(AG54=0,"0",AG54=1,"150",AG54=2,"300",AG54=3,"450",AG54=4,"600",AG54=5,"750",AG54&gt;=6,"800"))),(VALUE(_xludf.IFS(AG54=0,"0",AG54=1,"150",AG54=2,"300",AG54=3,"450",AG54=4,"600",AG54=5,"750",AG54=6,"900",AG54&gt;=7,"1,000"))))</f>
        <v>#NAME?</v>
      </c>
      <c r="AI54" s="69" t="str">
        <f t="shared" si="2"/>
        <v>八卦</v>
      </c>
      <c r="AJ54" s="73"/>
    </row>
    <row r="55" spans="1:36" ht="18" customHeight="1">
      <c r="A55" s="95" t="s">
        <v>58</v>
      </c>
      <c r="B55" s="96" t="s">
        <v>66</v>
      </c>
      <c r="C55" s="120"/>
      <c r="D55" s="14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66">
        <v>0</v>
      </c>
      <c r="AH55" s="68" t="e">
        <f ca="1">IF(A55="O", (VALUE(_xludf.IFS(AG55=0,"0",AG55=1,"150",AG55=2,"300",AG55=3,"450",AG55=4,"600",AG55=5,"750",AG55&gt;=6,"800"))),(VALUE(_xludf.IFS(AG55=0,"0",AG55=1,"150",AG55=2,"300",AG55=3,"450",AG55=4,"600",AG55=5,"750",AG55=6,"900",AG55&gt;=7,"1,000"))))</f>
        <v>#NAME?</v>
      </c>
      <c r="AI55" s="69" t="str">
        <f t="shared" si="2"/>
        <v>昆佑</v>
      </c>
      <c r="AJ55" s="73"/>
    </row>
    <row r="56" spans="1:36" ht="18" customHeight="1">
      <c r="A56" s="95" t="s">
        <v>58</v>
      </c>
      <c r="B56" s="96" t="s">
        <v>68</v>
      </c>
      <c r="C56" s="120"/>
      <c r="D56" s="14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66">
        <v>0</v>
      </c>
      <c r="AH56" s="68" t="e">
        <f ca="1">IF(A56="O", (VALUE(_xludf.IFS(AG56=0,"0",AG56=1,"150",AG56=2,"300",AG56=3,"450",AG56=4,"600",AG56=5,"750",AG56&gt;=6,"800"))),(VALUE(_xludf.IFS(AG56=0,"0",AG56=1,"150",AG56=2,"300",AG56=3,"450",AG56=4,"600",AG56=5,"750",AG56=6,"900",AG56&gt;=7,"1,000"))))</f>
        <v>#NAME?</v>
      </c>
      <c r="AI56" s="69" t="str">
        <f t="shared" si="2"/>
        <v>兔子</v>
      </c>
      <c r="AJ56" s="73"/>
    </row>
    <row r="57" spans="1:36" ht="18" customHeight="1">
      <c r="A57" s="95" t="s">
        <v>58</v>
      </c>
      <c r="B57" s="96" t="s">
        <v>69</v>
      </c>
      <c r="C57" s="120"/>
      <c r="D57" s="14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66">
        <v>0</v>
      </c>
      <c r="AH57" s="68" t="e">
        <f ca="1">IF(A57="O", (VALUE(_xludf.IFS(AG57=0,"0",AG57=1,"150",AG57=2,"300",AG57=3,"450",AG57=4,"600",AG57=5,"750",AG57&gt;=6,"800"))),(VALUE(_xludf.IFS(AG57=0,"0",AG57=1,"150",AG57=2,"300",AG57=3,"450",AG57=4,"600",AG57=5,"750",AG57=6,"900",AG57&gt;=7,"1,000"))))</f>
        <v>#NAME?</v>
      </c>
      <c r="AI57" s="69" t="str">
        <f t="shared" si="2"/>
        <v>小馬</v>
      </c>
      <c r="AJ57" s="73"/>
    </row>
    <row r="58" spans="1:36" ht="18" customHeight="1">
      <c r="A58" s="95" t="s">
        <v>58</v>
      </c>
      <c r="B58" s="96" t="s">
        <v>70</v>
      </c>
      <c r="C58" s="120"/>
      <c r="D58" s="14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66">
        <v>15</v>
      </c>
      <c r="AH58" s="68" t="e">
        <f ca="1">IF(A58="O", (VALUE(_xludf.IFS(AG58=0,"0",AG58=1,"150",AG58=2,"300",AG58=3,"450",AG58=4,"600",AG58=5,"750",AG58&gt;=6,"800"))),(VALUE(_xludf.IFS(AG58=0,"0",AG58=1,"150",AG58=2,"300",AG58=3,"450",AG58=4,"600",AG58=5,"750",AG58=6,"900",AG58&gt;=7,"1,000"))))</f>
        <v>#NAME?</v>
      </c>
      <c r="AI58" s="69" t="str">
        <f t="shared" si="2"/>
        <v>Allen</v>
      </c>
      <c r="AJ58" s="73"/>
    </row>
    <row r="59" spans="1:36" ht="18" customHeight="1">
      <c r="A59" s="95" t="s">
        <v>58</v>
      </c>
      <c r="B59" s="96" t="s">
        <v>71</v>
      </c>
      <c r="C59" s="120"/>
      <c r="D59" s="14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66">
        <v>0</v>
      </c>
      <c r="AH59" s="68" t="e">
        <f ca="1">IF(A59="O", (VALUE(_xludf.IFS(AG59=0,"0",AG59=1,"150",AG59=2,"300",AG59=3,"450",AG59=4,"600",AG59=5,"750",AG59&gt;=6,"800"))),(VALUE(_xludf.IFS(AG59=0,"0",AG59=1,"150",AG59=2,"300",AG59=3,"450",AG59=4,"600",AG59=5,"750",AG59=6,"900",AG59&gt;=7,"1,000"))))</f>
        <v>#NAME?</v>
      </c>
      <c r="AI59" s="69" t="str">
        <f t="shared" si="2"/>
        <v>嘴嘴</v>
      </c>
      <c r="AJ59" s="73"/>
    </row>
    <row r="60" spans="1:36" ht="18" customHeight="1">
      <c r="A60" s="95" t="s">
        <v>58</v>
      </c>
      <c r="B60" s="96" t="s">
        <v>74</v>
      </c>
      <c r="C60" s="120"/>
      <c r="D60" s="14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66">
        <v>0</v>
      </c>
      <c r="AH60" s="68" t="e">
        <f ca="1">IF(A60="O", (VALUE(_xludf.IFS(AG60=0,"0",AG60=1,"150",AG60=2,"300",AG60=3,"450",AG60=4,"600",AG60=5,"750",AG60&gt;=6,"800"))),(VALUE(_xludf.IFS(AG60=0,"0",AG60=1,"150",AG60=2,"300",AG60=3,"450",AG60=4,"600",AG60=5,"750",AG60=6,"900",AG60&gt;=7,"1,000"))))</f>
        <v>#NAME?</v>
      </c>
      <c r="AI60" s="69" t="str">
        <f t="shared" si="2"/>
        <v>蘆葦</v>
      </c>
      <c r="AJ60" s="73"/>
    </row>
    <row r="61" spans="1:36" ht="18" customHeight="1">
      <c r="A61" s="95" t="s">
        <v>58</v>
      </c>
      <c r="B61" s="96" t="s">
        <v>30</v>
      </c>
      <c r="C61" s="120"/>
      <c r="D61" s="14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66">
        <v>0</v>
      </c>
      <c r="AH61" s="68" t="e">
        <f ca="1">IF(A61="O", (VALUE(_xludf.IFS(AG61=0,"0",AG61=1,"150",AG61=2,"300",AG61=3,"450",AG61=4,"600",AG61=5,"750",AG61&gt;=6,"800"))),(VALUE(_xludf.IFS(AG61=0,"0",AG61=1,"150",AG61=2,"300",AG61=3,"450",AG61=4,"600",AG61=5,"750",AG61=6,"900",AG61&gt;=7,"1,000"))))</f>
        <v>#NAME?</v>
      </c>
      <c r="AI61" s="69" t="str">
        <f t="shared" si="2"/>
        <v>鯰魚</v>
      </c>
      <c r="AJ61" s="73"/>
    </row>
    <row r="62" spans="1:36" ht="18" customHeight="1">
      <c r="A62" s="95" t="s">
        <v>58</v>
      </c>
      <c r="B62" s="96" t="s">
        <v>31</v>
      </c>
      <c r="C62" s="120"/>
      <c r="D62" s="14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66">
        <v>1</v>
      </c>
      <c r="AH62" s="68" t="e">
        <f ca="1">IF(A62="O", (VALUE(_xludf.IFS(AG62=0,"0",AG62=1,"150",AG62=2,"300",AG62=3,"450",AG62=4,"600",AG62=5,"750",AG62&gt;=6,"800"))),(VALUE(_xludf.IFS(AG62=0,"0",AG62=1,"150",AG62=2,"300",AG62=3,"450",AG62=4,"600",AG62=5,"750",AG62=6,"900",AG62&gt;=7,"1,000"))))</f>
        <v>#NAME?</v>
      </c>
      <c r="AI62" s="69" t="str">
        <f t="shared" si="2"/>
        <v>阿美</v>
      </c>
      <c r="AJ62" s="73"/>
    </row>
    <row r="63" spans="1:36" ht="18" customHeight="1">
      <c r="A63" s="95" t="s">
        <v>58</v>
      </c>
      <c r="B63" s="96" t="s">
        <v>73</v>
      </c>
      <c r="C63" s="120"/>
      <c r="D63" s="14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66">
        <v>0</v>
      </c>
      <c r="AH63" s="68" t="e">
        <f ca="1">IF(A63="O", (VALUE(_xludf.IFS(AG63=0,"0",AG63=1,"150",AG63=2,"300",AG63=3,"450",AG63=4,"600",AG63=5,"750",AG63&gt;=6,"800"))),(VALUE(_xludf.IFS(AG63=0,"0",AG63=1,"150",AG63=2,"300",AG63=3,"450",AG63=4,"600",AG63=5,"750",AG63=6,"900",AG63&gt;=7,"1,000"))))</f>
        <v>#NAME?</v>
      </c>
      <c r="AI63" s="69" t="str">
        <f t="shared" si="2"/>
        <v>冠軍</v>
      </c>
      <c r="AJ63" s="73"/>
    </row>
    <row r="64" spans="1:36" ht="18" customHeight="1">
      <c r="A64" s="95" t="s">
        <v>9</v>
      </c>
      <c r="B64" s="96" t="s">
        <v>198</v>
      </c>
      <c r="C64" s="120"/>
      <c r="D64" s="14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66">
        <v>0</v>
      </c>
      <c r="AH64" s="68" t="e">
        <f ca="1">IF(A64="O", (VALUE(_xludf.IFS(AG64=0,"0",AG64=1,"150",AG64=2,"300",AG64=3,"450",AG64=4,"600",AG64=5,"750",AG64&gt;=6,"800"))),(VALUE(_xludf.IFS(AG64=0,"0",AG64=1,"150",AG64=2,"300",AG64=3,"450",AG64=4,"600",AG64=5,"750",AG64=6,"900",AG64&gt;=7,"1,000"))))</f>
        <v>#NAME?</v>
      </c>
      <c r="AI64" s="69" t="str">
        <f t="shared" si="2"/>
        <v>郁翔</v>
      </c>
      <c r="AJ64" s="73"/>
    </row>
    <row r="65" spans="1:36" ht="18" customHeight="1">
      <c r="A65" s="95" t="s">
        <v>58</v>
      </c>
      <c r="B65" s="96" t="s">
        <v>67</v>
      </c>
      <c r="C65" s="120"/>
      <c r="D65" s="14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66">
        <v>0</v>
      </c>
      <c r="AH65" s="68" t="e">
        <f ca="1">IF(A65="O", (VALUE(_xludf.IFS(AG65=0,"0",AG65=1,"150",AG65=2,"300",AG65=3,"450",AG65=4,"600",AG65=5,"750",AG65&gt;=6,"800"))),(VALUE(_xludf.IFS(AG65=0,"0",AG65=1,"150",AG65=2,"300",AG65=3,"450",AG65=4,"600",AG65=5,"750",AG65=6,"900",AG65&gt;=7,"1,000"))))</f>
        <v>#NAME?</v>
      </c>
      <c r="AI65" s="69" t="str">
        <f t="shared" si="2"/>
        <v>歐吉</v>
      </c>
      <c r="AJ65" s="73"/>
    </row>
    <row r="66" spans="1:36" ht="18" customHeight="1">
      <c r="A66" s="95" t="s">
        <v>58</v>
      </c>
      <c r="B66" s="96" t="s">
        <v>75</v>
      </c>
      <c r="C66" s="120"/>
      <c r="D66" s="14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66">
        <v>0</v>
      </c>
      <c r="AH66" s="68" t="e">
        <f ca="1">IF(A66="O", (VALUE(_xludf.IFS(AG66=0,"0",AG66=1,"150",AG66=2,"300",AG66=3,"450",AG66=4,"600",AG66=5,"750",AG66&gt;=6,"800"))),(VALUE(_xludf.IFS(AG66=0,"0",AG66=1,"150",AG66=2,"300",AG66=3,"450",AG66=4,"600",AG66=5,"750",AG66=6,"900",AG66&gt;=7,"1,000"))))</f>
        <v>#NAME?</v>
      </c>
      <c r="AI66" s="69" t="str">
        <f t="shared" si="2"/>
        <v>叮噹</v>
      </c>
      <c r="AJ66" s="73"/>
    </row>
    <row r="67" spans="1:36" ht="18" customHeight="1">
      <c r="A67" s="95" t="s">
        <v>58</v>
      </c>
      <c r="B67" s="96" t="s">
        <v>76</v>
      </c>
      <c r="C67" s="120"/>
      <c r="D67" s="14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66">
        <v>0</v>
      </c>
      <c r="AH67" s="68" t="e">
        <f ca="1">IF(A67="O", (VALUE(_xludf.IFS(AG67=0,"0",AG67=1,"150",AG67=2,"300",AG67=3,"450",AG67=4,"600",AG67=5,"750",AG67&gt;=6,"800"))),(VALUE(_xludf.IFS(AG67=0,"0",AG67=1,"150",AG67=2,"300",AG67=3,"450",AG67=4,"600",AG67=5,"750",AG67=6,"900",AG67&gt;=7,"1,000"))))</f>
        <v>#NAME?</v>
      </c>
      <c r="AI67" s="69" t="str">
        <f t="shared" si="2"/>
        <v>肥肥</v>
      </c>
      <c r="AJ67" s="73"/>
    </row>
    <row r="68" spans="1:36" ht="18" customHeight="1">
      <c r="A68" s="95" t="s">
        <v>58</v>
      </c>
      <c r="B68" s="96" t="s">
        <v>77</v>
      </c>
      <c r="C68" s="120"/>
      <c r="D68" s="14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66">
        <v>0</v>
      </c>
      <c r="AH68" s="68" t="e">
        <f ca="1">IF(A68="O", (VALUE(_xludf.IFS(AG68=0,"0",AG68=1,"150",AG68=2,"300",AG68=3,"450",AG68=4,"600",AG68=5,"750",AG68&gt;=6,"800"))),(VALUE(_xludf.IFS(AG68=0,"0",AG68=1,"150",AG68=2,"300",AG68=3,"450",AG68=4,"600",AG68=5,"750",AG68=6,"900",AG68&gt;=7,"1,000"))))</f>
        <v>#NAME?</v>
      </c>
      <c r="AI68" s="69" t="str">
        <f t="shared" ref="AI68:AI87" si="3">B68</f>
        <v>小夫</v>
      </c>
      <c r="AJ68" s="73"/>
    </row>
    <row r="69" spans="1:36" ht="18" customHeight="1">
      <c r="A69" s="95" t="s">
        <v>58</v>
      </c>
      <c r="B69" s="96" t="s">
        <v>78</v>
      </c>
      <c r="C69" s="120"/>
      <c r="D69" s="14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66">
        <v>0</v>
      </c>
      <c r="AH69" s="68" t="e">
        <f ca="1">IF(A69="O", (VALUE(_xludf.IFS(AG69=0,"0",AG69=1,"150",AG69=2,"300",AG69=3,"450",AG69=4,"600",AG69=5,"750",AG69&gt;=6,"800"))),(VALUE(_xludf.IFS(AG69=0,"0",AG69=1,"150",AG69=2,"300",AG69=3,"450",AG69=4,"600",AG69=5,"750",AG69=6,"900",AG69&gt;=7,"1,000"))))</f>
        <v>#NAME?</v>
      </c>
      <c r="AI69" s="69" t="str">
        <f t="shared" si="3"/>
        <v>小邱</v>
      </c>
      <c r="AJ69" s="73"/>
    </row>
    <row r="70" spans="1:36" ht="18" customHeight="1">
      <c r="A70" s="95" t="s">
        <v>58</v>
      </c>
      <c r="B70" s="96" t="s">
        <v>79</v>
      </c>
      <c r="C70" s="120"/>
      <c r="D70" s="14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66">
        <v>0</v>
      </c>
      <c r="AH70" s="68" t="e">
        <f ca="1">IF(A70="O", (VALUE(_xludf.IFS(AG70=0,"0",AG70=1,"150",AG70=2,"300",AG70=3,"450",AG70=4,"600",AG70=5,"750",AG70&gt;=6,"800"))),(VALUE(_xludf.IFS(AG70=0,"0",AG70=1,"150",AG70=2,"300",AG70=3,"450",AG70=4,"600",AG70=5,"750",AG70=6,"900",AG70&gt;=7,"1,000"))))</f>
        <v>#NAME?</v>
      </c>
      <c r="AI70" s="69" t="str">
        <f t="shared" si="3"/>
        <v>淳淳</v>
      </c>
      <c r="AJ70" s="73"/>
    </row>
    <row r="71" spans="1:36" ht="18" customHeight="1">
      <c r="A71" s="95" t="s">
        <v>58</v>
      </c>
      <c r="B71" s="96" t="s">
        <v>80</v>
      </c>
      <c r="C71" s="120"/>
      <c r="D71" s="14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66">
        <v>0</v>
      </c>
      <c r="AH71" s="68" t="e">
        <f ca="1">IF(A71="O", (VALUE(_xludf.IFS(AG71=0,"0",AG71=1,"150",AG71=2,"300",AG71=3,"450",AG71=4,"600",AG71=5,"750",AG71&gt;=6,"800"))),(VALUE(_xludf.IFS(AG71=0,"0",AG71=1,"150",AG71=2,"300",AG71=3,"450",AG71=4,"600",AG71=5,"750",AG71=6,"900",AG71&gt;=7,"1,000"))))</f>
        <v>#NAME?</v>
      </c>
      <c r="AI71" s="69" t="str">
        <f t="shared" si="3"/>
        <v>禿鷹</v>
      </c>
      <c r="AJ71" s="73"/>
    </row>
    <row r="72" spans="1:36" ht="18" customHeight="1">
      <c r="A72" s="95" t="s">
        <v>58</v>
      </c>
      <c r="B72" s="96" t="s">
        <v>81</v>
      </c>
      <c r="C72" s="120"/>
      <c r="D72" s="14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66">
        <v>0</v>
      </c>
      <c r="AH72" s="68" t="e">
        <f ca="1">IF(A72="O", (VALUE(_xludf.IFS(AG72=0,"0",AG72=1,"150",AG72=2,"300",AG72=3,"450",AG72=4,"600",AG72=5,"750",AG72&gt;=6,"800"))),(VALUE(_xludf.IFS(AG72=0,"0",AG72=1,"150",AG72=2,"300",AG72=3,"450",AG72=4,"600",AG72=5,"750",AG72=6,"900",AG72&gt;=7,"1,000"))))</f>
        <v>#NAME?</v>
      </c>
      <c r="AI72" s="69" t="str">
        <f t="shared" si="3"/>
        <v>王宏</v>
      </c>
      <c r="AJ72" s="73"/>
    </row>
    <row r="73" spans="1:36" ht="18" customHeight="1">
      <c r="A73" s="95" t="s">
        <v>58</v>
      </c>
      <c r="B73" s="96" t="s">
        <v>82</v>
      </c>
      <c r="C73" s="120"/>
      <c r="D73" s="14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66">
        <v>0</v>
      </c>
      <c r="AH73" s="68" t="e">
        <f ca="1">IF(A73="O", (VALUE(_xludf.IFS(AG73=0,"0",AG73=1,"150",AG73=2,"300",AG73=3,"450",AG73=4,"600",AG73=5,"750",AG73&gt;=6,"800"))),(VALUE(_xludf.IFS(AG73=0,"0",AG73=1,"150",AG73=2,"300",AG73=3,"450",AG73=4,"600",AG73=5,"750",AG73=6,"900",AG73&gt;=7,"1,000"))))</f>
        <v>#NAME?</v>
      </c>
      <c r="AI73" s="69" t="str">
        <f t="shared" si="3"/>
        <v>犀牛</v>
      </c>
      <c r="AJ73" s="73"/>
    </row>
    <row r="74" spans="1:36" ht="18" customHeight="1">
      <c r="A74" s="95" t="s">
        <v>58</v>
      </c>
      <c r="B74" s="96" t="s">
        <v>83</v>
      </c>
      <c r="C74" s="120"/>
      <c r="D74" s="14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66">
        <v>0</v>
      </c>
      <c r="AH74" s="68" t="e">
        <f ca="1">IF(A74="O", (VALUE(_xludf.IFS(AG74=0,"0",AG74=1,"150",AG74=2,"300",AG74=3,"450",AG74=4,"600",AG74=5,"750",AG74&gt;=6,"800"))),(VALUE(_xludf.IFS(AG74=0,"0",AG74=1,"150",AG74=2,"300",AG74=3,"450",AG74=4,"600",AG74=5,"750",AG74=6,"900",AG74&gt;=7,"1,000"))))</f>
        <v>#NAME?</v>
      </c>
      <c r="AI74" s="69" t="str">
        <f t="shared" si="3"/>
        <v>來福</v>
      </c>
      <c r="AJ74" s="73"/>
    </row>
    <row r="75" spans="1:36" ht="18" customHeight="1">
      <c r="A75" s="95" t="s">
        <v>58</v>
      </c>
      <c r="B75" s="96" t="s">
        <v>84</v>
      </c>
      <c r="C75" s="120"/>
      <c r="D75" s="14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66">
        <v>0</v>
      </c>
      <c r="AH75" s="68" t="e">
        <f ca="1">IF(A75="O", (VALUE(_xludf.IFS(AG75=0,"0",AG75=1,"150",AG75=2,"300",AG75=3,"450",AG75=4,"600",AG75=5,"750",AG75&gt;=6,"800"))),(VALUE(_xludf.IFS(AG75=0,"0",AG75=1,"150",AG75=2,"300",AG75=3,"450",AG75=4,"600",AG75=5,"750",AG75=6,"900",AG75&gt;=7,"1,000"))))</f>
        <v>#NAME?</v>
      </c>
      <c r="AI75" s="69" t="str">
        <f t="shared" si="3"/>
        <v>誌誌</v>
      </c>
      <c r="AJ75" s="73"/>
    </row>
    <row r="76" spans="1:36" ht="18" customHeight="1">
      <c r="A76" s="95" t="s">
        <v>58</v>
      </c>
      <c r="B76" s="96" t="s">
        <v>86</v>
      </c>
      <c r="C76" s="120"/>
      <c r="D76" s="14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66">
        <v>0</v>
      </c>
      <c r="AH76" s="68" t="e">
        <f ca="1">IF(A76="O", (VALUE(_xludf.IFS(AG76=0,"0",AG76=1,"150",AG76=2,"300",AG76=3,"450",AG76=4,"600",AG76=5,"750",AG76&gt;=6,"800"))),(VALUE(_xludf.IFS(AG76=0,"0",AG76=1,"150",AG76=2,"300",AG76=3,"450",AG76=4,"600",AG76=5,"750",AG76=6,"900",AG76&gt;=7,"1,000"))))</f>
        <v>#NAME?</v>
      </c>
      <c r="AI76" s="69" t="str">
        <f t="shared" si="3"/>
        <v>正誼</v>
      </c>
      <c r="AJ76" s="73"/>
    </row>
    <row r="77" spans="1:36" ht="18" customHeight="1">
      <c r="A77" s="95" t="s">
        <v>58</v>
      </c>
      <c r="B77" s="96" t="s">
        <v>32</v>
      </c>
      <c r="C77" s="120"/>
      <c r="D77" s="14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66">
        <v>0</v>
      </c>
      <c r="AH77" s="68" t="e">
        <f ca="1">IF(A77="O", (VALUE(_xludf.IFS(AG77=0,"0",AG77=1,"150",AG77=2,"300",AG77=3,"450",AG77=4,"600",AG77=5,"750",AG77&gt;=6,"800"))),(VALUE(_xludf.IFS(AG77=0,"0",AG77=1,"150",AG77=2,"300",AG77=3,"450",AG77=4,"600",AG77=5,"750",AG77=6,"900",AG77&gt;=7,"1,000"))))</f>
        <v>#NAME?</v>
      </c>
      <c r="AI77" s="69" t="str">
        <f t="shared" si="3"/>
        <v>小翔</v>
      </c>
      <c r="AJ77" s="73"/>
    </row>
    <row r="78" spans="1:36" ht="18" customHeight="1">
      <c r="A78" s="95" t="s">
        <v>58</v>
      </c>
      <c r="B78" s="96" t="s">
        <v>179</v>
      </c>
      <c r="C78" s="120"/>
      <c r="D78" s="14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66">
        <v>0</v>
      </c>
      <c r="AH78" s="68" t="e">
        <f ca="1">IF(A78="O", (VALUE(_xludf.IFS(AG78=0,"0",AG78=1,"150",AG78=2,"300",AG78=3,"450",AG78=4,"600",AG78=5,"750",AG78&gt;=6,"800"))),(VALUE(_xludf.IFS(AG78=0,"0",AG78=1,"150",AG78=2,"300",AG78=3,"450",AG78=4,"600",AG78=5,"750",AG78=6,"900",AG78&gt;=7,"1,000"))))</f>
        <v>#NAME?</v>
      </c>
      <c r="AI78" s="69" t="str">
        <f t="shared" si="3"/>
        <v>玹玹</v>
      </c>
      <c r="AJ78" s="73"/>
    </row>
    <row r="79" spans="1:36" ht="18" customHeight="1">
      <c r="A79" s="95" t="s">
        <v>58</v>
      </c>
      <c r="B79" s="96" t="s">
        <v>85</v>
      </c>
      <c r="C79" s="120"/>
      <c r="D79" s="14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66">
        <v>0</v>
      </c>
      <c r="AH79" s="68" t="e">
        <f ca="1">IF(A79="O", (VALUE(_xludf.IFS(AG79=0,"0",AG79=1,"150",AG79=2,"300",AG79=3,"450",AG79=4,"600",AG79=5,"750",AG79&gt;=6,"800"))),(VALUE(_xludf.IFS(AG79=0,"0",AG79=1,"150",AG79=2,"300",AG79=3,"450",AG79=4,"600",AG79=5,"750",AG79=6,"900",AG79&gt;=7,"1,000"))))</f>
        <v>#NAME?</v>
      </c>
      <c r="AI79" s="69" t="str">
        <f t="shared" si="3"/>
        <v>阿璽</v>
      </c>
      <c r="AJ79" s="73"/>
    </row>
    <row r="80" spans="1:36" ht="18" customHeight="1">
      <c r="A80" s="95" t="s">
        <v>58</v>
      </c>
      <c r="B80" s="96" t="s">
        <v>33</v>
      </c>
      <c r="C80" s="120"/>
      <c r="D80" s="14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66">
        <v>0</v>
      </c>
      <c r="AH80" s="68" t="e">
        <f ca="1">IF(A80="O", (VALUE(_xludf.IFS(AG80=0,"0",AG80=1,"150",AG80=2,"300",AG80=3,"450",AG80=4,"600",AG80=5,"750",AG80&gt;=6,"800"))),(VALUE(_xludf.IFS(AG80=0,"0",AG80=1,"150",AG80=2,"300",AG80=3,"450",AG80=4,"600",AG80=5,"750",AG80=6,"900",AG80&gt;=7,"1,000"))))</f>
        <v>#NAME?</v>
      </c>
      <c r="AI80" s="69" t="str">
        <f t="shared" si="3"/>
        <v>一飛</v>
      </c>
      <c r="AJ80" s="73"/>
    </row>
    <row r="81" spans="1:36" ht="18" customHeight="1">
      <c r="A81" s="95" t="s">
        <v>58</v>
      </c>
      <c r="B81" s="96" t="s">
        <v>34</v>
      </c>
      <c r="C81" s="120"/>
      <c r="D81" s="14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66">
        <v>10</v>
      </c>
      <c r="AH81" s="68" t="e">
        <f ca="1">IF(A81="O", (VALUE(_xludf.IFS(AG81=0,"0",AG81=1,"150",AG81=2,"300",AG81=3,"450",AG81=4,"600",AG81=5,"750",AG81&gt;=6,"800"))),(VALUE(_xludf.IFS(AG81=0,"0",AG81=1,"150",AG81=2,"300",AG81=3,"450",AG81=4,"600",AG81=5,"750",AG81=6,"900",AG81&gt;=7,"1,000"))))</f>
        <v>#NAME?</v>
      </c>
      <c r="AI81" s="69" t="str">
        <f t="shared" si="3"/>
        <v>雲翔</v>
      </c>
      <c r="AJ81" s="70"/>
    </row>
    <row r="82" spans="1:36" ht="18" customHeight="1">
      <c r="A82" s="95" t="s">
        <v>58</v>
      </c>
      <c r="B82" s="96" t="s">
        <v>88</v>
      </c>
      <c r="C82" s="120"/>
      <c r="D82" s="14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66">
        <v>0</v>
      </c>
      <c r="AH82" s="68" t="e">
        <f ca="1">IF(A82="O", (VALUE(_xludf.IFS(AG82=0,"0",AG82=1,"150",AG82=2,"300",AG82=3,"450",AG82=4,"600",AG82=5,"750",AG82&gt;=6,"800"))),(VALUE(_xludf.IFS(AG82=0,"0",AG82=1,"150",AG82=2,"300",AG82=3,"450",AG82=4,"600",AG82=5,"750",AG82=6,"900",AG82&gt;=7,"1,000"))))</f>
        <v>#NAME?</v>
      </c>
      <c r="AI82" s="69" t="str">
        <f t="shared" si="3"/>
        <v>皓皓</v>
      </c>
      <c r="AJ82" s="70"/>
    </row>
    <row r="83" spans="1:36" ht="18" customHeight="1">
      <c r="A83" s="95" t="s">
        <v>58</v>
      </c>
      <c r="B83" s="96" t="s">
        <v>35</v>
      </c>
      <c r="C83" s="120"/>
      <c r="D83" s="14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66">
        <v>0</v>
      </c>
      <c r="AH83" s="68" t="e">
        <f ca="1">IF(A83="O", (VALUE(_xludf.IFS(AG83=0,"0",AG83=1,"150",AG83=2,"300",AG83=3,"450",AG83=4,"600",AG83=5,"750",AG83&gt;=6,"800"))),(VALUE(_xludf.IFS(AG83=0,"0",AG83=1,"150",AG83=2,"300",AG83=3,"450",AG83=4,"600",AG83=5,"750",AG83=6,"900",AG83&gt;=7,"1,000"))))</f>
        <v>#NAME?</v>
      </c>
      <c r="AI83" s="69" t="str">
        <f t="shared" si="3"/>
        <v>阿戴</v>
      </c>
      <c r="AJ83" s="70"/>
    </row>
    <row r="84" spans="1:36" ht="18" customHeight="1">
      <c r="A84" s="95" t="s">
        <v>9</v>
      </c>
      <c r="B84" s="96" t="s">
        <v>36</v>
      </c>
      <c r="C84" s="120"/>
      <c r="D84" s="14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66">
        <v>0</v>
      </c>
      <c r="AH84" s="68" t="e">
        <f ca="1">IF(A84="O", (VALUE(_xludf.IFS(AG84=0,"0",AG84=1,"150",AG84=2,"300",AG84=3,"450",AG84=4,"600",AG84=5,"750",AG84&gt;=6,"800"))),(VALUE(_xludf.IFS(AG84=0,"0",AG84=1,"150",AG84=2,"300",AG84=3,"450",AG84=4,"600",AG84=5,"750",AG84=6,"900",AG84&gt;=7,"1,000"))))</f>
        <v>#NAME?</v>
      </c>
      <c r="AI84" s="69" t="str">
        <f t="shared" si="3"/>
        <v>子澔</v>
      </c>
      <c r="AJ84" s="70"/>
    </row>
    <row r="85" spans="1:36" ht="18" customHeight="1">
      <c r="A85" s="95" t="s">
        <v>58</v>
      </c>
      <c r="B85" s="96" t="s">
        <v>37</v>
      </c>
      <c r="C85" s="120"/>
      <c r="D85" s="14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66">
        <v>2</v>
      </c>
      <c r="AH85" s="68" t="e">
        <f ca="1">IF(A85="O", (VALUE(_xludf.IFS(AG85=0,"0",AG85=1,"150",AG85=2,"300",AG85=3,"450",AG85=4,"600",AG85=5,"750",AG85&gt;=6,"800"))),(VALUE(_xludf.IFS(AG85=0,"0",AG85=1,"150",AG85=2,"300",AG85=3,"450",AG85=4,"600",AG85=5,"750",AG85=6,"900",AG85&gt;=7,"1,000"))))</f>
        <v>#NAME?</v>
      </c>
      <c r="AI85" s="69" t="str">
        <f t="shared" si="3"/>
        <v>魚仔</v>
      </c>
      <c r="AJ85" s="70"/>
    </row>
    <row r="86" spans="1:36" ht="18" customHeight="1">
      <c r="A86" s="95" t="s">
        <v>58</v>
      </c>
      <c r="B86" s="96" t="s">
        <v>87</v>
      </c>
      <c r="C86" s="120"/>
      <c r="D86" s="14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66">
        <v>0</v>
      </c>
      <c r="AH86" s="68" t="e">
        <f ca="1">IF(A86="O", (VALUE(_xludf.IFS(AG86=0,"0",AG86=1,"150",AG86=2,"300",AG86=3,"450",AG86=4,"600",AG86=5,"750",AG86&gt;=6,"800"))),(VALUE(_xludf.IFS(AG86=0,"0",AG86=1,"150",AG86=2,"300",AG86=3,"450",AG86=4,"600",AG86=5,"750",AG86=6,"900",AG86&gt;=7,"1,000"))))</f>
        <v>#NAME?</v>
      </c>
      <c r="AI86" s="69" t="str">
        <f t="shared" si="3"/>
        <v>Mango</v>
      </c>
      <c r="AJ86" s="70"/>
    </row>
    <row r="87" spans="1:36" ht="18" customHeight="1">
      <c r="A87" s="95" t="s">
        <v>58</v>
      </c>
      <c r="B87" s="96" t="s">
        <v>38</v>
      </c>
      <c r="C87" s="120"/>
      <c r="D87" s="14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66">
        <v>0</v>
      </c>
      <c r="AH87" s="68" t="e">
        <f ca="1">IF(A87="O", (VALUE(_xludf.IFS(AG87=0,"0",AG87=1,"150",AG87=2,"300",AG87=3,"450",AG87=4,"600",AG87=5,"750",AG87&gt;=6,"800"))),(VALUE(_xludf.IFS(AG87=0,"0",AG87=1,"150",AG87=2,"300",AG87=3,"450",AG87=4,"600",AG87=5,"750",AG87=6,"900",AG87&gt;=7,"1,000"))))</f>
        <v>#NAME?</v>
      </c>
      <c r="AI87" s="69" t="str">
        <f t="shared" si="3"/>
        <v>阿龍</v>
      </c>
      <c r="AJ87" s="70"/>
    </row>
    <row r="88" spans="1:36" ht="18" customHeight="1">
      <c r="A88" s="95" t="s">
        <v>58</v>
      </c>
      <c r="B88" s="96" t="s">
        <v>39</v>
      </c>
      <c r="C88" s="120"/>
      <c r="D88" s="14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66">
        <v>0</v>
      </c>
      <c r="AH88" s="68" t="e">
        <f ca="1">IF(A88="O", (VALUE(_xludf.IFS(AG88=0,"0",AG88=1,"150",AG88=2,"300",AG88=3,"450",AG88=4,"600",AG88=5,"750",AG88&gt;=6,"800"))),(VALUE(_xludf.IFS(AG88=0,"0",AG88=1,"150",AG88=2,"300",AG88=3,"450",AG88=4,"600",AG88=5,"750",AG88=6,"900",AG88&gt;=7,"1,000"))))</f>
        <v>#NAME?</v>
      </c>
      <c r="AI88" s="69" t="s">
        <v>39</v>
      </c>
      <c r="AJ88" s="70"/>
    </row>
    <row r="89" spans="1:36" ht="18" customHeight="1">
      <c r="A89" s="95" t="s">
        <v>58</v>
      </c>
      <c r="B89" s="96" t="s">
        <v>40</v>
      </c>
      <c r="C89" s="120"/>
      <c r="D89" s="14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66">
        <v>0</v>
      </c>
      <c r="AH89" s="68" t="e">
        <f ca="1">IF(A89="O", (VALUE(_xludf.IFS(AG89=0,"0",AG89=1,"150",AG89=2,"300",AG89=3,"450",AG89=4,"600",AG89=5,"750",AG89&gt;=6,"800"))),(VALUE(_xludf.IFS(AG89=0,"0",AG89=1,"150",AG89=2,"300",AG89=3,"450",AG89=4,"600",AG89=5,"750",AG89=6,"900",AG89&gt;=7,"1,000"))))</f>
        <v>#NAME?</v>
      </c>
      <c r="AI89" s="69" t="s">
        <v>40</v>
      </c>
      <c r="AJ89" s="70"/>
    </row>
    <row r="90" spans="1:36" ht="18" customHeight="1">
      <c r="A90" s="99" t="s">
        <v>58</v>
      </c>
      <c r="B90" s="100" t="s">
        <v>151</v>
      </c>
      <c r="C90" s="99"/>
      <c r="D90" s="132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77">
        <v>0</v>
      </c>
      <c r="AH90" s="98" t="e">
        <f ca="1">IF(A90="O", (VALUE(_xludf.IFS(AG90=0,"0",AG90=1,"150",AG90=2,"300",AG90=3,"450",AG90=4,"600",AG90=5,"750",AG90&gt;=6,"800"))),(VALUE(_xludf.IFS(AG90=0,"0",AG90=1,"150",AG90=2,"300",AG90=3,"450",AG90=4,"600",AG90=5,"750",AG90=6,"900",AG90&gt;=7,"1,000"))))</f>
        <v>#NAME?</v>
      </c>
      <c r="AI90" s="79" t="str">
        <f t="shared" ref="AI90:AI109" si="4">B90</f>
        <v>宇嬅</v>
      </c>
      <c r="AJ90" s="82"/>
    </row>
    <row r="91" spans="1:36" ht="18" customHeight="1">
      <c r="A91" s="99" t="s">
        <v>58</v>
      </c>
      <c r="B91" s="100" t="s">
        <v>152</v>
      </c>
      <c r="C91" s="99"/>
      <c r="D91" s="132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77">
        <v>0</v>
      </c>
      <c r="AH91" s="98" t="e">
        <f ca="1">IF(A91="O", (VALUE(_xludf.IFS(AG91=0,"0",AG91=1,"150",AG91=2,"300",AG91=3,"450",AG91=4,"600",AG91=5,"750",AG91&gt;=6,"800"))),(VALUE(_xludf.IFS(AG91=0,"0",AG91=1,"150",AG91=2,"300",AG91=3,"450",AG91=4,"600",AG91=5,"750",AG91=6,"900",AG91&gt;=7,"1,000"))))</f>
        <v>#NAME?</v>
      </c>
      <c r="AI91" s="79" t="str">
        <f t="shared" si="4"/>
        <v>阿俗</v>
      </c>
      <c r="AJ91" s="81"/>
    </row>
    <row r="92" spans="1:36" ht="18" customHeight="1">
      <c r="A92" s="99" t="s">
        <v>58</v>
      </c>
      <c r="B92" s="100" t="s">
        <v>153</v>
      </c>
      <c r="C92" s="99"/>
      <c r="D92" s="132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77">
        <v>0</v>
      </c>
      <c r="AH92" s="98" t="e">
        <f ca="1">IF(A92="O", (VALUE(_xludf.IFS(AG92=0,"0",AG92=1,"150",AG92=2,"300",AG92=3,"450",AG92=4,"600",AG92=5,"750",AG92&gt;=6,"800"))),(VALUE(_xludf.IFS(AG92=0,"0",AG92=1,"150",AG92=2,"300",AG92=3,"450",AG92=4,"600",AG92=5,"750",AG92=6,"900",AG92&gt;=7,"1,000"))))</f>
        <v>#NAME?</v>
      </c>
      <c r="AI92" s="79" t="str">
        <f t="shared" si="4"/>
        <v>傻妹</v>
      </c>
      <c r="AJ92" s="81"/>
    </row>
    <row r="93" spans="1:36" ht="18" customHeight="1">
      <c r="A93" s="99" t="s">
        <v>9</v>
      </c>
      <c r="B93" s="100" t="s">
        <v>96</v>
      </c>
      <c r="C93" s="99"/>
      <c r="D93" s="132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77">
        <v>16</v>
      </c>
      <c r="AH93" s="98" t="e">
        <f ca="1">IF(A93="O", (VALUE(_xludf.IFS(AG93=0,"0",AG93=1,"150",AG93=2,"300",AG93=3,"450",AG93=4,"600",AG93=5,"750",AG93&gt;=6,"800"))),(VALUE(_xludf.IFS(AG93=0,"0",AG93=1,"150",AG93=2,"300",AG93=3,"450",AG93=4,"600",AG93=5,"750",AG93=6,"900",AG93&gt;=7,"1,000"))))</f>
        <v>#NAME?</v>
      </c>
      <c r="AI93" s="79" t="str">
        <f t="shared" si="4"/>
        <v>靜婷</v>
      </c>
      <c r="AJ93" s="81"/>
    </row>
    <row r="94" spans="1:36" ht="18" customHeight="1">
      <c r="A94" s="99" t="s">
        <v>58</v>
      </c>
      <c r="B94" s="100" t="s">
        <v>154</v>
      </c>
      <c r="C94" s="99"/>
      <c r="D94" s="132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77">
        <v>2</v>
      </c>
      <c r="AH94" s="98" t="e">
        <f ca="1">IF(A94="O", (VALUE(_xludf.IFS(AG94=0,"0",AG94=1,"150",AG94=2,"300",AG94=3,"450",AG94=4,"600",AG94=5,"750",AG94&gt;=6,"800"))),(VALUE(_xludf.IFS(AG94=0,"0",AG94=1,"150",AG94=2,"300",AG94=3,"450",AG94=4,"600",AG94=5,"750",AG94=6,"900",AG94&gt;=7,"1,000"))))</f>
        <v>#NAME?</v>
      </c>
      <c r="AI94" s="79" t="str">
        <f t="shared" si="4"/>
        <v>筱攸</v>
      </c>
      <c r="AJ94" s="81"/>
    </row>
    <row r="95" spans="1:36" ht="18" customHeight="1">
      <c r="A95" s="99" t="s">
        <v>58</v>
      </c>
      <c r="B95" s="100" t="s">
        <v>155</v>
      </c>
      <c r="C95" s="99"/>
      <c r="D95" s="132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77">
        <v>0</v>
      </c>
      <c r="AH95" s="98" t="e">
        <f ca="1">IF(A95="O", (VALUE(_xludf.IFS(AG95=0,"0",AG95=1,"150",AG95=2,"300",AG95=3,"450",AG95=4,"600",AG95=5,"750",AG95&gt;=6,"800"))),(VALUE(_xludf.IFS(AG95=0,"0",AG95=1,"150",AG95=2,"300",AG95=3,"450",AG95=4,"600",AG95=5,"750",AG95=6,"900",AG95&gt;=7,"1,000"))))</f>
        <v>#NAME?</v>
      </c>
      <c r="AI95" s="79" t="str">
        <f t="shared" si="4"/>
        <v>康康</v>
      </c>
      <c r="AJ95" s="81"/>
    </row>
    <row r="96" spans="1:36" ht="18" customHeight="1">
      <c r="A96" s="99" t="s">
        <v>58</v>
      </c>
      <c r="B96" s="100" t="s">
        <v>156</v>
      </c>
      <c r="C96" s="99"/>
      <c r="D96" s="132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77">
        <v>0</v>
      </c>
      <c r="AH96" s="98" t="e">
        <f ca="1">IF(A96="O", (VALUE(_xludf.IFS(AG96=0,"0",AG96=1,"150",AG96=2,"300",AG96=3,"450",AG96=4,"600",AG96=5,"750",AG96&gt;=6,"800"))),(VALUE(_xludf.IFS(AG96=0,"0",AG96=1,"150",AG96=2,"300",AG96=3,"450",AG96=4,"600",AG96=5,"750",AG96=6,"900",AG96&gt;=7,"1,000"))))</f>
        <v>#NAME?</v>
      </c>
      <c r="AI96" s="79" t="str">
        <f t="shared" si="4"/>
        <v>阿金</v>
      </c>
      <c r="AJ96" s="81"/>
    </row>
    <row r="97" spans="1:36" ht="18" customHeight="1">
      <c r="A97" s="99" t="s">
        <v>58</v>
      </c>
      <c r="B97" s="100" t="s">
        <v>157</v>
      </c>
      <c r="C97" s="99"/>
      <c r="D97" s="132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77">
        <v>0</v>
      </c>
      <c r="AH97" s="98" t="e">
        <f ca="1">IF(A97="O", (VALUE(_xludf.IFS(AG97=0,"0",AG97=1,"150",AG97=2,"300",AG97=3,"450",AG97=4,"600",AG97=5,"750",AG97&gt;=6,"800"))),(VALUE(_xludf.IFS(AG97=0,"0",AG97=1,"150",AG97=2,"300",AG97=3,"450",AG97=4,"600",AG97=5,"750",AG97=6,"900",AG97&gt;=7,"1,000"))))</f>
        <v>#NAME?</v>
      </c>
      <c r="AI97" s="79" t="str">
        <f t="shared" si="4"/>
        <v>派大</v>
      </c>
      <c r="AJ97" s="81"/>
    </row>
    <row r="98" spans="1:36" ht="18" customHeight="1">
      <c r="A98" s="99" t="s">
        <v>58</v>
      </c>
      <c r="B98" s="100" t="s">
        <v>158</v>
      </c>
      <c r="C98" s="99"/>
      <c r="D98" s="132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77">
        <v>0</v>
      </c>
      <c r="AH98" s="98" t="e">
        <f ca="1">IF(A98="O", (VALUE(_xludf.IFS(AG98=0,"0",AG98=1,"150",AG98=2,"300",AG98=3,"450",AG98=4,"600",AG98=5,"750",AG98&gt;=6,"800"))),(VALUE(_xludf.IFS(AG98=0,"0",AG98=1,"150",AG98=2,"300",AG98=3,"450",AG98=4,"600",AG98=5,"750",AG98=6,"900",AG98&gt;=7,"1,000"))))</f>
        <v>#NAME?</v>
      </c>
      <c r="AI98" s="79" t="str">
        <f t="shared" si="4"/>
        <v>吉娃</v>
      </c>
      <c r="AJ98" s="81"/>
    </row>
    <row r="99" spans="1:36" ht="18" customHeight="1">
      <c r="A99" s="99" t="s">
        <v>58</v>
      </c>
      <c r="B99" s="100" t="s">
        <v>159</v>
      </c>
      <c r="C99" s="99"/>
      <c r="D99" s="132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77">
        <v>0</v>
      </c>
      <c r="AH99" s="98" t="e">
        <f ca="1">IF(A99="O", (VALUE(_xludf.IFS(AG99=0,"0",AG99=1,"150",AG99=2,"300",AG99=3,"450",AG99=4,"600",AG99=5,"750",AG99&gt;=6,"800"))),(VALUE(_xludf.IFS(AG99=0,"0",AG99=1,"150",AG99=2,"300",AG99=3,"450",AG99=4,"600",AG99=5,"750",AG99=6,"900",AG99&gt;=7,"1,000"))))</f>
        <v>#NAME?</v>
      </c>
      <c r="AI99" s="79" t="str">
        <f t="shared" si="4"/>
        <v>小寧</v>
      </c>
      <c r="AJ99" s="81"/>
    </row>
    <row r="100" spans="1:36" ht="18" customHeight="1">
      <c r="A100" s="99" t="s">
        <v>58</v>
      </c>
      <c r="B100" s="100" t="s">
        <v>160</v>
      </c>
      <c r="C100" s="99"/>
      <c r="D100" s="132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77">
        <v>0</v>
      </c>
      <c r="AH100" s="98" t="e">
        <f ca="1">IF(A100="O", (VALUE(_xludf.IFS(AG100=0,"0",AG100=1,"150",AG100=2,"300",AG100=3,"450",AG100=4,"600",AG100=5,"750",AG100&gt;=6,"800"))),(VALUE(_xludf.IFS(AG100=0,"0",AG100=1,"150",AG100=2,"300",AG100=3,"450",AG100=4,"600",AG100=5,"750",AG100=6,"900",AG100&gt;=7,"1,000"))))</f>
        <v>#NAME?</v>
      </c>
      <c r="AI100" s="79" t="str">
        <f t="shared" si="4"/>
        <v>小妹</v>
      </c>
      <c r="AJ100" s="81"/>
    </row>
    <row r="101" spans="1:36" ht="18" customHeight="1">
      <c r="A101" s="99" t="s">
        <v>58</v>
      </c>
      <c r="B101" s="100" t="s">
        <v>101</v>
      </c>
      <c r="C101" s="99"/>
      <c r="D101" s="132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77">
        <v>14</v>
      </c>
      <c r="AH101" s="98" t="e">
        <f ca="1">IF(A101="O", (VALUE(_xludf.IFS(AG101=0,"0",AG101=1,"150",AG101=2,"300",AG101=3,"450",AG101=4,"600",AG101=5,"750",AG101&gt;=6,"800"))),(VALUE(_xludf.IFS(AG101=0,"0",AG101=1,"150",AG101=2,"300",AG101=3,"450",AG101=4,"600",AG101=5,"750",AG101=6,"900",AG101&gt;=7,"1,000"))))</f>
        <v>#NAME?</v>
      </c>
      <c r="AI101" s="79" t="str">
        <f t="shared" si="4"/>
        <v>文媛</v>
      </c>
      <c r="AJ101" s="81"/>
    </row>
    <row r="102" spans="1:36" ht="18" customHeight="1">
      <c r="A102" s="99" t="s">
        <v>58</v>
      </c>
      <c r="B102" s="100" t="s">
        <v>161</v>
      </c>
      <c r="C102" s="99"/>
      <c r="D102" s="132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77">
        <v>0</v>
      </c>
      <c r="AH102" s="98" t="e">
        <f ca="1">IF(A102="O", (VALUE(_xludf.IFS(AG102=0,"0",AG102=1,"150",AG102=2,"300",AG102=3,"450",AG102=4,"600",AG102=5,"750",AG102&gt;=6,"800"))),(VALUE(_xludf.IFS(AG102=0,"0",AG102=1,"150",AG102=2,"300",AG102=3,"450",AG102=4,"600",AG102=5,"750",AG102=6,"900",AG102&gt;=7,"1,000"))))</f>
        <v>#NAME?</v>
      </c>
      <c r="AI102" s="79" t="str">
        <f t="shared" si="4"/>
        <v>佩鈺</v>
      </c>
      <c r="AJ102" s="81"/>
    </row>
    <row r="103" spans="1:36" ht="18" customHeight="1">
      <c r="A103" s="99" t="s">
        <v>58</v>
      </c>
      <c r="B103" s="100" t="s">
        <v>162</v>
      </c>
      <c r="C103" s="99"/>
      <c r="D103" s="132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77">
        <v>0</v>
      </c>
      <c r="AH103" s="98" t="e">
        <f ca="1">IF(A103="O", (VALUE(_xludf.IFS(AG103=0,"0",AG103=1,"150",AG103=2,"300",AG103=3,"450",AG103=4,"600",AG103=5,"750",AG103&gt;=6,"800"))),(VALUE(_xludf.IFS(AG103=0,"0",AG103=1,"150",AG103=2,"300",AG103=3,"450",AG103=4,"600",AG103=5,"750",AG103=6,"900",AG103&gt;=7,"1,000"))))</f>
        <v>#NAME?</v>
      </c>
      <c r="AI103" s="79" t="str">
        <f t="shared" si="4"/>
        <v>阿布</v>
      </c>
      <c r="AJ103" s="81"/>
    </row>
    <row r="104" spans="1:36" ht="18" customHeight="1">
      <c r="A104" s="99" t="s">
        <v>58</v>
      </c>
      <c r="B104" s="100" t="s">
        <v>100</v>
      </c>
      <c r="C104" s="99"/>
      <c r="D104" s="132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77">
        <v>15</v>
      </c>
      <c r="AH104" s="98" t="e">
        <f ca="1">IF(A104="O", (VALUE(_xludf.IFS(AG104=0,"0",AG104=1,"150",AG104=2,"300",AG104=3,"450",AG104=4,"600",AG104=5,"750",AG104&gt;=6,"800"))),(VALUE(_xludf.IFS(AG104=0,"0",AG104=1,"150",AG104=2,"300",AG104=3,"450",AG104=4,"600",AG104=5,"750",AG104=6,"900",AG104&gt;=7,"1,000"))))</f>
        <v>#NAME?</v>
      </c>
      <c r="AI104" s="79" t="str">
        <f t="shared" si="4"/>
        <v>餅餅</v>
      </c>
      <c r="AJ104" s="81"/>
    </row>
    <row r="105" spans="1:36" ht="18" customHeight="1">
      <c r="A105" s="99" t="s">
        <v>58</v>
      </c>
      <c r="B105" s="100" t="s">
        <v>163</v>
      </c>
      <c r="C105" s="99"/>
      <c r="D105" s="132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77">
        <v>0</v>
      </c>
      <c r="AH105" s="98" t="e">
        <f ca="1">IF(A105="O", (VALUE(_xludf.IFS(AG105=0,"0",AG105=1,"150",AG105=2,"300",AG105=3,"450",AG105=4,"600",AG105=5,"750",AG105&gt;=6,"800"))),(VALUE(_xludf.IFS(AG105=0,"0",AG105=1,"150",AG105=2,"300",AG105=3,"450",AG105=4,"600",AG105=5,"750",AG105=6,"900",AG105&gt;=7,"1,000"))))</f>
        <v>#NAME?</v>
      </c>
      <c r="AI105" s="79" t="str">
        <f t="shared" si="4"/>
        <v>小個</v>
      </c>
      <c r="AJ105" s="81"/>
    </row>
    <row r="106" spans="1:36" ht="18" customHeight="1">
      <c r="A106" s="99" t="s">
        <v>58</v>
      </c>
      <c r="B106" s="100" t="s">
        <v>164</v>
      </c>
      <c r="C106" s="99"/>
      <c r="D106" s="132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77">
        <v>0</v>
      </c>
      <c r="AH106" s="98" t="e">
        <f ca="1">IF(A106="O", (VALUE(_xludf.IFS(AG106=0,"0",AG106=1,"150",AG106=2,"300",AG106=3,"450",AG106=4,"600",AG106=5,"750",AG106&gt;=6,"800"))),(VALUE(_xludf.IFS(AG106=0,"0",AG106=1,"150",AG106=2,"300",AG106=3,"450",AG106=4,"600",AG106=5,"750",AG106=6,"900",AG106&gt;=7,"1,000"))))</f>
        <v>#NAME?</v>
      </c>
      <c r="AI106" s="79" t="str">
        <f t="shared" si="4"/>
        <v>小菜</v>
      </c>
      <c r="AJ106" s="81"/>
    </row>
    <row r="107" spans="1:36" ht="18" customHeight="1">
      <c r="A107" s="99" t="s">
        <v>58</v>
      </c>
      <c r="B107" s="100" t="s">
        <v>102</v>
      </c>
      <c r="C107" s="99"/>
      <c r="D107" s="132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77">
        <v>0</v>
      </c>
      <c r="AH107" s="98" t="e">
        <f ca="1">IF(A107="O", (VALUE(_xludf.IFS(AG107=0,"0",AG107=1,"150",AG107=2,"300",AG107=3,"450",AG107=4,"600",AG107=5,"750",AG107&gt;=6,"800"))),(VALUE(_xludf.IFS(AG107=0,"0",AG107=1,"150",AG107=2,"300",AG107=3,"450",AG107=4,"600",AG107=5,"750",AG107=6,"900",AG107&gt;=7,"1,000"))))</f>
        <v>#NAME?</v>
      </c>
      <c r="AI107" s="79" t="str">
        <f t="shared" si="4"/>
        <v>妮妮</v>
      </c>
      <c r="AJ107" s="81"/>
    </row>
    <row r="108" spans="1:36" ht="18" customHeight="1">
      <c r="A108" s="99" t="s">
        <v>58</v>
      </c>
      <c r="B108" s="100" t="s">
        <v>165</v>
      </c>
      <c r="C108" s="99"/>
      <c r="D108" s="132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77">
        <v>0</v>
      </c>
      <c r="AH108" s="98" t="e">
        <f ca="1">IF(A108="O", (VALUE(_xludf.IFS(AG108=0,"0",AG108=1,"150",AG108=2,"300",AG108=3,"450",AG108=4,"600",AG108=5,"750",AG108&gt;=6,"800"))),(VALUE(_xludf.IFS(AG108=0,"0",AG108=1,"150",AG108=2,"300",AG108=3,"450",AG108=4,"600",AG108=5,"750",AG108=6,"900",AG108&gt;=7,"1,000"))))</f>
        <v>#NAME?</v>
      </c>
      <c r="AI108" s="79" t="str">
        <f t="shared" si="4"/>
        <v>小貓</v>
      </c>
      <c r="AJ108" s="81"/>
    </row>
    <row r="109" spans="1:36" ht="18" customHeight="1">
      <c r="A109" s="99" t="s">
        <v>58</v>
      </c>
      <c r="B109" s="100" t="s">
        <v>166</v>
      </c>
      <c r="C109" s="99"/>
      <c r="D109" s="132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77">
        <v>0</v>
      </c>
      <c r="AH109" s="98" t="e">
        <f ca="1">IF(A109="O", (VALUE(_xludf.IFS(AG109=0,"0",AG109=1,"150",AG109=2,"300",AG109=3,"450",AG109=4,"600",AG109=5,"750",AG109&gt;=6,"800"))),(VALUE(_xludf.IFS(AG109=0,"0",AG109=1,"150",AG109=2,"300",AG109=3,"450",AG109=4,"600",AG109=5,"750",AG109=6,"900",AG109&gt;=7,"1,000"))))</f>
        <v>#NAME?</v>
      </c>
      <c r="AI109" s="79" t="str">
        <f t="shared" si="4"/>
        <v>哈比</v>
      </c>
      <c r="AJ109" s="81"/>
    </row>
    <row r="110" spans="1:36" ht="18" customHeight="1">
      <c r="A110" s="99" t="s">
        <v>9</v>
      </c>
      <c r="B110" s="100" t="s">
        <v>97</v>
      </c>
      <c r="C110" s="99"/>
      <c r="D110" s="132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77">
        <v>13</v>
      </c>
      <c r="AH110" s="98" t="e">
        <f ca="1">IF(A110="O", (VALUE(_xludf.IFS(AG110=0,"0",AG110=1,"150",AG110=2,"300",AG110=3,"450",AG110=4,"600",AG110=5,"750",AG110&gt;=6,"800"))),(VALUE(_xludf.IFS(AG110=0,"0",AG110=1,"150",AG110=2,"300",AG110=3,"450",AG110=4,"600",AG110=5,"750",AG110=6,"900",AG110&gt;=7,"1,000"))))</f>
        <v>#NAME?</v>
      </c>
      <c r="AI110" s="79" t="s">
        <v>97</v>
      </c>
      <c r="AJ110" s="81"/>
    </row>
    <row r="111" spans="1:36" ht="18" customHeight="1">
      <c r="A111" s="99" t="s">
        <v>9</v>
      </c>
      <c r="B111" s="100" t="s">
        <v>98</v>
      </c>
      <c r="C111" s="99"/>
      <c r="D111" s="132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77">
        <v>16</v>
      </c>
      <c r="AH111" s="98" t="e">
        <f ca="1">IF(A111="O", (VALUE(_xludf.IFS(AG111=0,"0",AG111=1,"150",AG111=2,"300",AG111=3,"450",AG111=4,"600",AG111=5,"750",AG111&gt;=6,"800"))),(VALUE(_xludf.IFS(AG111=0,"0",AG111=1,"150",AG111=2,"300",AG111=3,"450",AG111=4,"600",AG111=5,"750",AG111=6,"900",AG111&gt;=7,"1,000"))))</f>
        <v>#NAME?</v>
      </c>
      <c r="AI111" s="79" t="s">
        <v>98</v>
      </c>
      <c r="AJ111" s="81"/>
    </row>
    <row r="112" spans="1:36" ht="18" customHeight="1">
      <c r="A112" s="99" t="s">
        <v>9</v>
      </c>
      <c r="B112" s="100" t="s">
        <v>99</v>
      </c>
      <c r="C112" s="99"/>
      <c r="D112" s="132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77">
        <v>0</v>
      </c>
      <c r="AH112" s="98" t="e">
        <f ca="1">IF(A112="O", (VALUE(_xludf.IFS(AG112=0,"0",AG112=1,"150",AG112=2,"300",AG112=3,"450",AG112=4,"600",AG112=5,"750",AG112&gt;=6,"800"))),(VALUE(_xludf.IFS(AG112=0,"0",AG112=1,"150",AG112=2,"300",AG112=3,"450",AG112=4,"600",AG112=5,"750",AG112=6,"900",AG112&gt;=7,"1,000"))))</f>
        <v>#NAME?</v>
      </c>
      <c r="AI112" s="79" t="s">
        <v>99</v>
      </c>
      <c r="AJ112" s="81"/>
    </row>
    <row r="113" spans="1:36" ht="18" customHeight="1">
      <c r="A113" s="101" t="s">
        <v>58</v>
      </c>
      <c r="B113" s="102" t="s">
        <v>124</v>
      </c>
      <c r="C113" s="101"/>
      <c r="D113" s="137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86">
        <v>0</v>
      </c>
      <c r="AH113" s="103" t="e">
        <f ca="1">IF(A113="O", (VALUE(_xludf.IFS(AG113=0,"0",AG113=1,"150",AG113=2,"300",AG113=3,"450",AG113=4,"600",AG113=5,"750",AG113&gt;=6,"800"))),(VALUE(_xludf.IFS(AG113=0,"0",AG113=1,"150",AG113=2,"300",AG113=3,"450",AG113=4,"600",AG113=5,"750",AG113=6,"900",AG113&gt;=7,"1,000"))))</f>
        <v>#NAME?</v>
      </c>
      <c r="AI113" s="88" t="str">
        <f t="shared" ref="AI113:AI137" si="5">B113</f>
        <v>玉蕙</v>
      </c>
      <c r="AJ113" s="89"/>
    </row>
    <row r="114" spans="1:36" ht="18" customHeight="1">
      <c r="A114" s="101" t="s">
        <v>58</v>
      </c>
      <c r="B114" s="102" t="s">
        <v>125</v>
      </c>
      <c r="C114" s="101"/>
      <c r="D114" s="137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86">
        <v>0</v>
      </c>
      <c r="AH114" s="103" t="e">
        <f ca="1">IF(A114="O", (VALUE(_xludf.IFS(AG114=0,"0",AG114=1,"150",AG114=2,"300",AG114=3,"450",AG114=4,"600",AG114=5,"750",AG114&gt;=6,"800"))),(VALUE(_xludf.IFS(AG114=0,"0",AG114=1,"150",AG114=2,"300",AG114=3,"450",AG114=4,"600",AG114=5,"750",AG114=6,"900",AG114&gt;=7,"1,000"))))</f>
        <v>#NAME?</v>
      </c>
      <c r="AI114" s="88" t="str">
        <f t="shared" si="5"/>
        <v>沛緁</v>
      </c>
      <c r="AJ114" s="89"/>
    </row>
    <row r="115" spans="1:36" ht="18" customHeight="1">
      <c r="A115" s="101" t="s">
        <v>58</v>
      </c>
      <c r="B115" s="102" t="s">
        <v>126</v>
      </c>
      <c r="C115" s="101"/>
      <c r="D115" s="137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86">
        <v>0</v>
      </c>
      <c r="AH115" s="103" t="e">
        <f ca="1">IF(A115="O", (VALUE(_xludf.IFS(AG115=0,"0",AG115=1,"150",AG115=2,"300",AG115=3,"450",AG115=4,"600",AG115=5,"750",AG115&gt;=6,"800"))),(VALUE(_xludf.IFS(AG115=0,"0",AG115=1,"150",AG115=2,"300",AG115=3,"450",AG115=4,"600",AG115=5,"750",AG115=6,"900",AG115&gt;=7,"1,000"))))</f>
        <v>#NAME?</v>
      </c>
      <c r="AI115" s="88" t="str">
        <f t="shared" si="5"/>
        <v>妹妹</v>
      </c>
      <c r="AJ115" s="89"/>
    </row>
    <row r="116" spans="1:36" ht="18" customHeight="1">
      <c r="A116" s="101" t="s">
        <v>58</v>
      </c>
      <c r="B116" s="102" t="s">
        <v>127</v>
      </c>
      <c r="C116" s="101"/>
      <c r="D116" s="137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86">
        <v>14</v>
      </c>
      <c r="AH116" s="103" t="e">
        <f ca="1">IF(A116="O", (VALUE(_xludf.IFS(AG116=0,"0",AG116=1,"150",AG116=2,"300",AG116=3,"450",AG116=4,"600",AG116=5,"750",AG116&gt;=6,"800"))),(VALUE(_xludf.IFS(AG116=0,"0",AG116=1,"150",AG116=2,"300",AG116=3,"450",AG116=4,"600",AG116=5,"750",AG116=6,"900",AG116&gt;=7,"1,000"))))</f>
        <v>#NAME?</v>
      </c>
      <c r="AI116" s="88" t="str">
        <f t="shared" si="5"/>
        <v>小雞</v>
      </c>
      <c r="AJ116" s="89"/>
    </row>
    <row r="117" spans="1:36" ht="18" customHeight="1">
      <c r="A117" s="101" t="s">
        <v>58</v>
      </c>
      <c r="B117" s="102" t="s">
        <v>128</v>
      </c>
      <c r="C117" s="101"/>
      <c r="D117" s="137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86">
        <v>0</v>
      </c>
      <c r="AH117" s="103" t="e">
        <f ca="1">IF(A117="O", (VALUE(_xludf.IFS(AG117=0,"0",AG117=1,"150",AG117=2,"300",AG117=3,"450",AG117=4,"600",AG117=5,"750",AG117&gt;=6,"800"))),(VALUE(_xludf.IFS(AG117=0,"0",AG117=1,"150",AG117=2,"300",AG117=3,"450",AG117=4,"600",AG117=5,"750",AG117=6,"900",AG117&gt;=7,"1,000"))))</f>
        <v>#NAME?</v>
      </c>
      <c r="AI117" s="88" t="str">
        <f t="shared" si="5"/>
        <v>雨昕</v>
      </c>
      <c r="AJ117" s="89"/>
    </row>
    <row r="118" spans="1:36" ht="18" customHeight="1">
      <c r="A118" s="101" t="s">
        <v>58</v>
      </c>
      <c r="B118" s="102" t="s">
        <v>129</v>
      </c>
      <c r="C118" s="101"/>
      <c r="D118" s="137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86">
        <v>0</v>
      </c>
      <c r="AH118" s="103" t="e">
        <f ca="1">IF(A118="O", (VALUE(_xludf.IFS(AG118=0,"0",AG118=1,"150",AG118=2,"300",AG118=3,"450",AG118=4,"600",AG118=5,"750",AG118&gt;=6,"800"))),(VALUE(_xludf.IFS(AG118=0,"0",AG118=1,"150",AG118=2,"300",AG118=3,"450",AG118=4,"600",AG118=5,"750",AG118=6,"900",AG118&gt;=7,"1,000"))))</f>
        <v>#NAME?</v>
      </c>
      <c r="AI118" s="88" t="str">
        <f t="shared" si="5"/>
        <v>矮矮</v>
      </c>
      <c r="AJ118" s="89"/>
    </row>
    <row r="119" spans="1:36" ht="18" customHeight="1">
      <c r="A119" s="101" t="s">
        <v>58</v>
      </c>
      <c r="B119" s="102" t="s">
        <v>130</v>
      </c>
      <c r="C119" s="101"/>
      <c r="D119" s="137"/>
      <c r="E119" s="101"/>
      <c r="F119" s="101"/>
      <c r="G119" s="101"/>
      <c r="H119" s="101"/>
      <c r="I119" s="101"/>
      <c r="J119" s="101"/>
      <c r="K119" s="101"/>
      <c r="L119" s="185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86">
        <v>0</v>
      </c>
      <c r="AH119" s="103" t="e">
        <f ca="1">IF(A119="O", (VALUE(_xludf.IFS(AG119=0,"0",AG119=1,"150",AG119=2,"300",AG119=3,"450",AG119=4,"600",AG119=5,"750",AG119&gt;=6,"800"))),(VALUE(_xludf.IFS(AG119=0,"0",AG119=1,"150",AG119=2,"300",AG119=3,"450",AG119=4,"600",AG119=5,"750",AG119=6,"900",AG119&gt;=7,"1,000"))))</f>
        <v>#NAME?</v>
      </c>
      <c r="AI119" s="88" t="str">
        <f t="shared" si="5"/>
        <v>猛女</v>
      </c>
      <c r="AJ119" s="89"/>
    </row>
    <row r="120" spans="1:36" ht="18" customHeight="1">
      <c r="A120" s="101" t="s">
        <v>58</v>
      </c>
      <c r="B120" s="102" t="s">
        <v>131</v>
      </c>
      <c r="C120" s="101"/>
      <c r="D120" s="137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86">
        <v>0</v>
      </c>
      <c r="AH120" s="103" t="e">
        <f ca="1">IF(A120="O", (VALUE(_xludf.IFS(AG120=0,"0",AG120=1,"150",AG120=2,"300",AG120=3,"450",AG120=4,"600",AG120=5,"750",AG120&gt;=6,"800"))),(VALUE(_xludf.IFS(AG120=0,"0",AG120=1,"150",AG120=2,"300",AG120=3,"450",AG120=4,"600",AG120=5,"750",AG120=6,"900",AG120&gt;=7,"1,000"))))</f>
        <v>#NAME?</v>
      </c>
      <c r="AI120" s="88" t="str">
        <f t="shared" si="5"/>
        <v>欣容</v>
      </c>
      <c r="AJ120" s="89"/>
    </row>
    <row r="121" spans="1:36" ht="18" customHeight="1">
      <c r="A121" s="101" t="s">
        <v>58</v>
      </c>
      <c r="B121" s="102" t="s">
        <v>132</v>
      </c>
      <c r="C121" s="101"/>
      <c r="D121" s="137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86">
        <v>0</v>
      </c>
      <c r="AH121" s="103" t="e">
        <f ca="1">IF(A121="O", (VALUE(_xludf.IFS(AG121=0,"0",AG121=1,"150",AG121=2,"300",AG121=3,"450",AG121=4,"600",AG121=5,"750",AG121&gt;=6,"800"))),(VALUE(_xludf.IFS(AG121=0,"0",AG121=1,"150",AG121=2,"300",AG121=3,"450",AG121=4,"600",AG121=5,"750",AG121=6,"900",AG121&gt;=7,"1,000"))))</f>
        <v>#NAME?</v>
      </c>
      <c r="AI121" s="88" t="str">
        <f t="shared" si="5"/>
        <v>萁萁</v>
      </c>
      <c r="AJ121" s="89"/>
    </row>
    <row r="122" spans="1:36" ht="18" customHeight="1">
      <c r="A122" s="101" t="s">
        <v>58</v>
      </c>
      <c r="B122" s="102" t="s">
        <v>133</v>
      </c>
      <c r="C122" s="101"/>
      <c r="D122" s="137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86">
        <v>0</v>
      </c>
      <c r="AH122" s="87" t="e">
        <f ca="1">IF(A122="O", (VALUE(_xludf.IFS(AG122=0,"0",AG122=1,"150",AG122=2,"300",AG122=3,"450",AG122=4,"600",AG122=5,"750",AG122&gt;=6,"800"))),(VALUE(_xludf.IFS(AG122=0,"0",AG122=1,"150",AG122=2,"300",AG122=3,"450",AG122=4,"600",AG122=5,"750",AG122=6,"900",AG122&gt;=7,"1,000"))))</f>
        <v>#NAME?</v>
      </c>
      <c r="AI122" s="88" t="str">
        <f t="shared" si="5"/>
        <v>萱</v>
      </c>
      <c r="AJ122" s="91"/>
    </row>
    <row r="123" spans="1:36" ht="18" customHeight="1">
      <c r="A123" s="101" t="s">
        <v>58</v>
      </c>
      <c r="B123" s="102" t="s">
        <v>134</v>
      </c>
      <c r="C123" s="101"/>
      <c r="D123" s="137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86">
        <v>0</v>
      </c>
      <c r="AH123" s="87" t="e">
        <f ca="1">IF(A123="O", (VALUE(_xludf.IFS(AG123=0,"0",AG123=1,"150",AG123=2,"300",AG123=3,"450",AG123=4,"600",AG123=5,"750",AG123&gt;=6,"800"))),(VALUE(_xludf.IFS(AG123=0,"0",AG123=1,"150",AG123=2,"300",AG123=3,"450",AG123=4,"600",AG123=5,"750",AG123=6,"900",AG123&gt;=7,"1,000"))))</f>
        <v>#NAME?</v>
      </c>
      <c r="AI123" s="88" t="str">
        <f t="shared" si="5"/>
        <v>Mei</v>
      </c>
      <c r="AJ123" s="91"/>
    </row>
    <row r="124" spans="1:36" ht="18" customHeight="1">
      <c r="A124" s="101" t="s">
        <v>58</v>
      </c>
      <c r="B124" s="102" t="s">
        <v>135</v>
      </c>
      <c r="C124" s="101"/>
      <c r="D124" s="137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86">
        <v>0</v>
      </c>
      <c r="AH124" s="87" t="e">
        <f ca="1">IF(A124="O", (VALUE(_xludf.IFS(AG124=0,"0",AG124=1,"150",AG124=2,"300",AG124=3,"450",AG124=4,"600",AG124=5,"750",AG124&gt;=6,"800"))),(VALUE(_xludf.IFS(AG124=0,"0",AG124=1,"150",AG124=2,"300",AG124=3,"450",AG124=4,"600",AG124=5,"750",AG124=6,"900",AG124&gt;=7,"1,000"))))</f>
        <v>#NAME?</v>
      </c>
      <c r="AI124" s="88" t="str">
        <f t="shared" si="5"/>
        <v>屁屁</v>
      </c>
      <c r="AJ124" s="91"/>
    </row>
    <row r="125" spans="1:36" ht="18" customHeight="1">
      <c r="A125" s="101" t="s">
        <v>58</v>
      </c>
      <c r="B125" s="102" t="s">
        <v>136</v>
      </c>
      <c r="C125" s="101"/>
      <c r="D125" s="137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86">
        <v>0</v>
      </c>
      <c r="AH125" s="87" t="e">
        <f ca="1">IF(A125="O", (VALUE(_xludf.IFS(AG125=0,"0",AG125=1,"150",AG125=2,"300",AG125=3,"450",AG125=4,"600",AG125=5,"750",AG125&gt;=6,"800"))),(VALUE(_xludf.IFS(AG125=0,"0",AG125=1,"150",AG125=2,"300",AG125=3,"450",AG125=4,"600",AG125=5,"750",AG125=6,"900",AG125&gt;=7,"1,000"))))</f>
        <v>#NAME?</v>
      </c>
      <c r="AI125" s="88" t="str">
        <f t="shared" si="5"/>
        <v>泡泡</v>
      </c>
      <c r="AJ125" s="91"/>
    </row>
    <row r="126" spans="1:36" ht="18" customHeight="1">
      <c r="A126" s="101" t="s">
        <v>58</v>
      </c>
      <c r="B126" s="102" t="s">
        <v>137</v>
      </c>
      <c r="C126" s="101"/>
      <c r="D126" s="137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86">
        <v>0</v>
      </c>
      <c r="AH126" s="87" t="e">
        <f ca="1">IF(A126="O", (VALUE(_xludf.IFS(AG126=0,"0",AG126=1,"150",AG126=2,"300",AG126=3,"450",AG126=4,"600",AG126=5,"750",AG126&gt;=6,"800"))),(VALUE(_xludf.IFS(AG126=0,"0",AG126=1,"150",AG126=2,"300",AG126=3,"450",AG126=4,"600",AG126=5,"750",AG126=6,"900",AG126&gt;=7,"1,000"))))</f>
        <v>#NAME?</v>
      </c>
      <c r="AI126" s="88" t="str">
        <f t="shared" si="5"/>
        <v>姚</v>
      </c>
      <c r="AJ126" s="91"/>
    </row>
    <row r="127" spans="1:36" ht="18" customHeight="1">
      <c r="A127" s="101" t="s">
        <v>58</v>
      </c>
      <c r="B127" s="102" t="s">
        <v>138</v>
      </c>
      <c r="C127" s="101"/>
      <c r="D127" s="137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86">
        <v>0</v>
      </c>
      <c r="AH127" s="87" t="e">
        <f ca="1">IF(A127="O", (VALUE(_xludf.IFS(AG127=0,"0",AG127=1,"150",AG127=2,"300",AG127=3,"450",AG127=4,"600",AG127=5,"750",AG127&gt;=6,"800"))),(VALUE(_xludf.IFS(AG127=0,"0",AG127=1,"150",AG127=2,"300",AG127=3,"450",AG127=4,"600",AG127=5,"750",AG127=6,"900",AG127&gt;=7,"1,000"))))</f>
        <v>#NAME?</v>
      </c>
      <c r="AI127" s="88" t="str">
        <f t="shared" si="5"/>
        <v>奜茜</v>
      </c>
      <c r="AJ127" s="91"/>
    </row>
    <row r="128" spans="1:36" ht="18" customHeight="1">
      <c r="A128" s="101" t="s">
        <v>58</v>
      </c>
      <c r="B128" s="115" t="s">
        <v>139</v>
      </c>
      <c r="C128" s="101"/>
      <c r="D128" s="137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86">
        <v>0</v>
      </c>
      <c r="AH128" s="87" t="e">
        <f ca="1">IF(A128="O", (VALUE(_xludf.IFS(AG128=0,"0",AG128=1,"150",AG128=2,"300",AG128=3,"450",AG128=4,"600",AG128=5,"750",AG128&gt;=6,"800"))),(VALUE(_xludf.IFS(AG128=0,"0",AG128=1,"150",AG128=2,"300",AG128=3,"450",AG128=4,"600",AG128=5,"750",AG128=6,"900",AG128&gt;=7,"1,000"))))</f>
        <v>#NAME?</v>
      </c>
      <c r="AI128" s="88" t="str">
        <f t="shared" si="5"/>
        <v>Tina</v>
      </c>
      <c r="AJ128" s="91"/>
    </row>
    <row r="129" spans="1:36" ht="18" customHeight="1">
      <c r="A129" s="101" t="s">
        <v>58</v>
      </c>
      <c r="B129" s="115" t="s">
        <v>140</v>
      </c>
      <c r="C129" s="101"/>
      <c r="D129" s="137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86">
        <v>0</v>
      </c>
      <c r="AH129" s="87" t="e">
        <f ca="1">IF(A129="O", (VALUE(_xludf.IFS(AG129=0,"0",AG129=1,"150",AG129=2,"300",AG129=3,"450",AG129=4,"600",AG129=5,"750",AG129&gt;=6,"800"))),(VALUE(_xludf.IFS(AG129=0,"0",AG129=1,"150",AG129=2,"300",AG129=3,"450",AG129=4,"600",AG129=5,"750",AG129=6,"900",AG129&gt;=7,"1,000"))))</f>
        <v>#NAME?</v>
      </c>
      <c r="AI129" s="88" t="str">
        <f t="shared" si="5"/>
        <v>芷琦</v>
      </c>
      <c r="AJ129" s="91"/>
    </row>
    <row r="130" spans="1:36" ht="18" customHeight="1">
      <c r="A130" s="101" t="s">
        <v>58</v>
      </c>
      <c r="B130" s="115" t="s">
        <v>106</v>
      </c>
      <c r="C130" s="101"/>
      <c r="D130" s="137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86">
        <v>17</v>
      </c>
      <c r="AH130" s="87" t="e">
        <f ca="1">IF(A130="O", (VALUE(_xludf.IFS(AG130=0,"0",AG130=1,"150",AG130=2,"300",AG130=3,"450",AG130=4,"600",AG130=5,"750",AG130&gt;=6,"800"))),(VALUE(_xludf.IFS(AG130=0,"0",AG130=1,"150",AG130=2,"300",AG130=3,"450",AG130=4,"600",AG130=5,"750",AG130=6,"900",AG130&gt;=7,"1,000"))))</f>
        <v>#NAME?</v>
      </c>
      <c r="AI130" s="88" t="str">
        <f t="shared" si="5"/>
        <v>Nina</v>
      </c>
      <c r="AJ130" s="91"/>
    </row>
    <row r="131" spans="1:36" ht="18" customHeight="1">
      <c r="A131" s="101" t="s">
        <v>58</v>
      </c>
      <c r="B131" s="102" t="s">
        <v>141</v>
      </c>
      <c r="C131" s="101"/>
      <c r="D131" s="137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86">
        <v>0</v>
      </c>
      <c r="AH131" s="87" t="e">
        <f ca="1">IF(A131="O", (VALUE(_xludf.IFS(AG131=0,"0",AG131=1,"150",AG131=2,"300",AG131=3,"450",AG131=4,"600",AG131=5,"750",AG131&gt;=6,"800"))),(VALUE(_xludf.IFS(AG131=0,"0",AG131=1,"150",AG131=2,"300",AG131=3,"450",AG131=4,"600",AG131=5,"750",AG131=6,"900",AG131&gt;=7,"1,000"))))</f>
        <v>#NAME?</v>
      </c>
      <c r="AI131" s="88" t="str">
        <f t="shared" si="5"/>
        <v>Cindy</v>
      </c>
      <c r="AJ131" s="91"/>
    </row>
    <row r="132" spans="1:36" ht="18" customHeight="1">
      <c r="A132" s="101" t="s">
        <v>58</v>
      </c>
      <c r="B132" s="102" t="s">
        <v>142</v>
      </c>
      <c r="C132" s="101"/>
      <c r="D132" s="137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86">
        <v>0</v>
      </c>
      <c r="AH132" s="87" t="e">
        <f ca="1">IF(A132="O", (VALUE(_xludf.IFS(AG132=0,"0",AG132=1,"150",AG132=2,"300",AG132=3,"450",AG132=4,"600",AG132=5,"750",AG132&gt;=6,"800"))),(VALUE(_xludf.IFS(AG132=0,"0",AG132=1,"150",AG132=2,"300",AG132=3,"450",AG132=4,"600",AG132=5,"750",AG132=6,"900",AG132&gt;=7,"1,000"))))</f>
        <v>#NAME?</v>
      </c>
      <c r="AI132" s="88" t="str">
        <f t="shared" si="5"/>
        <v>如靜</v>
      </c>
      <c r="AJ132" s="91"/>
    </row>
    <row r="133" spans="1:36" ht="18" customHeight="1">
      <c r="A133" s="101" t="s">
        <v>58</v>
      </c>
      <c r="B133" s="102" t="s">
        <v>143</v>
      </c>
      <c r="C133" s="101"/>
      <c r="D133" s="137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86">
        <v>0</v>
      </c>
      <c r="AH133" s="87" t="e">
        <f ca="1">IF(A133="O", (VALUE(_xludf.IFS(AG133=0,"0",AG133=1,"150",AG133=2,"300",AG133=3,"450",AG133=4,"600",AG133=5,"750",AG133&gt;=6,"800"))),(VALUE(_xludf.IFS(AG133=0,"0",AG133=1,"150",AG133=2,"300",AG133=3,"450",AG133=4,"600",AG133=5,"750",AG133=6,"900",AG133&gt;=7,"1,000"))))</f>
        <v>#NAME?</v>
      </c>
      <c r="AI133" s="88" t="str">
        <f t="shared" si="5"/>
        <v>毓玫</v>
      </c>
      <c r="AJ133" s="91"/>
    </row>
    <row r="134" spans="1:36" ht="18" customHeight="1">
      <c r="A134" s="101" t="s">
        <v>58</v>
      </c>
      <c r="B134" s="102" t="s">
        <v>144</v>
      </c>
      <c r="C134" s="101"/>
      <c r="D134" s="137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86">
        <v>0</v>
      </c>
      <c r="AH134" s="87" t="e">
        <f ca="1">IF(A134="O", (VALUE(_xludf.IFS(AG134=0,"0",AG134=1,"150",AG134=2,"300",AG134=3,"450",AG134=4,"600",AG134=5,"750",AG134&gt;=6,"800"))),(VALUE(_xludf.IFS(AG134=0,"0",AG134=1,"150",AG134=2,"300",AG134=3,"450",AG134=4,"600",AG134=5,"750",AG134=6,"900",AG134&gt;=7,"1,000"))))</f>
        <v>#NAME?</v>
      </c>
      <c r="AI134" s="88" t="str">
        <f t="shared" si="5"/>
        <v>美枝</v>
      </c>
      <c r="AJ134" s="91"/>
    </row>
    <row r="135" spans="1:36" ht="18" customHeight="1">
      <c r="A135" s="101" t="s">
        <v>58</v>
      </c>
      <c r="B135" s="102" t="s">
        <v>145</v>
      </c>
      <c r="C135" s="101"/>
      <c r="D135" s="137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86">
        <v>0</v>
      </c>
      <c r="AH135" s="87" t="e">
        <f ca="1">IF(A135="O", (VALUE(_xludf.IFS(AG135=0,"0",AG135=1,"150",AG135=2,"300",AG135=3,"450",AG135=4,"600",AG135=5,"750",AG135&gt;=6,"800"))),(VALUE(_xludf.IFS(AG135=0,"0",AG135=1,"150",AG135=2,"300",AG135=3,"450",AG135=4,"600",AG135=5,"750",AG135=6,"900",AG135&gt;=7,"1,000"))))</f>
        <v>#NAME?</v>
      </c>
      <c r="AI135" s="88" t="str">
        <f t="shared" si="5"/>
        <v>魯魯咪</v>
      </c>
      <c r="AJ135" s="91"/>
    </row>
    <row r="136" spans="1:36" ht="18" customHeight="1">
      <c r="A136" s="120" t="s">
        <v>58</v>
      </c>
      <c r="B136" s="121" t="s">
        <v>41</v>
      </c>
      <c r="C136" s="120"/>
      <c r="D136" s="14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07">
        <v>12</v>
      </c>
      <c r="AH136" s="108" t="e">
        <f ca="1">IF(A136="O", (VALUE(_xludf.IFS(AG136=0,"0",AG136=1,"150",AG136=2,"300",AG136=3,"450",AG136=4,"600",AG136=5,"750",AG136&gt;=6,"800"))),(VALUE(_xludf.IFS(AG136=0,"0",AG136=1,"150",AG136=2,"300",AG136=3,"450",AG136=4,"600",AG136=5,"750",AG136=6,"900",AG136&gt;=7,"1,000"))))</f>
        <v>#NAME?</v>
      </c>
      <c r="AI136" s="109" t="str">
        <f t="shared" si="5"/>
        <v>軟軟</v>
      </c>
      <c r="AJ136" s="110"/>
    </row>
    <row r="137" spans="1:36" ht="18" customHeight="1">
      <c r="A137" s="120" t="s">
        <v>58</v>
      </c>
      <c r="B137" s="121" t="s">
        <v>42</v>
      </c>
      <c r="C137" s="120"/>
      <c r="D137" s="14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215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07">
        <v>16</v>
      </c>
      <c r="AH137" s="108" t="e">
        <f ca="1">IF(A137="O", (VALUE(_xludf.IFS(AG137=0,"0",AG137=1,"150",AG137=2,"300",AG137=3,"450",AG137=4,"600",AG137=5,"750",AG137&gt;=6,"800"))),(VALUE(_xludf.IFS(AG137=0,"0",AG137=1,"150",AG137=2,"300",AG137=3,"450",AG137=4,"600",AG137=5,"750",AG137=6,"900",AG137&gt;=7,"1,000"))))</f>
        <v>#NAME?</v>
      </c>
      <c r="AI137" s="109" t="str">
        <f t="shared" si="5"/>
        <v>屎蛋</v>
      </c>
      <c r="AJ137" s="110"/>
    </row>
    <row r="138" spans="1:36" ht="18" customHeight="1">
      <c r="A138" s="166" t="s">
        <v>58</v>
      </c>
      <c r="B138" s="216" t="s">
        <v>43</v>
      </c>
      <c r="C138" s="217"/>
      <c r="D138" s="167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218"/>
      <c r="U138" s="166"/>
      <c r="V138" s="217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219">
        <v>15</v>
      </c>
      <c r="AH138" s="108" t="e">
        <f ca="1">IF(A138="O", (VALUE(_xludf.IFS(AG138=0,"0",AG138=1,"150",AG138=2,"300",AG138=3,"450",AG138=4,"600",AG138=5,"750",AG138&gt;=6,"800"))),(VALUE(_xludf.IFS(AG138=0,"0",AG138=1,"150",AG138=2,"300",AG138=3,"450",AG138=4,"600",AG138=5,"750",AG138=6,"900",AG138&gt;=7,"1,000"))))</f>
        <v>#NAME?</v>
      </c>
      <c r="AI138" s="220" t="s">
        <v>43</v>
      </c>
      <c r="AJ138" s="110"/>
    </row>
    <row r="139" spans="1:36" ht="18" customHeight="1">
      <c r="A139" s="166" t="s">
        <v>9</v>
      </c>
      <c r="B139" s="216" t="s">
        <v>226</v>
      </c>
      <c r="C139" s="217"/>
      <c r="D139" s="167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218"/>
      <c r="U139" s="166"/>
      <c r="V139" s="217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219">
        <v>15</v>
      </c>
      <c r="AH139" s="108" t="e">
        <f ca="1">IF(A139="O", (VALUE(_xludf.IFS(AG139=0,"0",AG139=1,"150",AG139=2,"300",AG139=3,"450",AG139=4,"600",AG139=5,"750",AG139&gt;=6,"800"))),(VALUE(_xludf.IFS(AG139=0,"0",AG139=1,"150",AG139=2,"300",AG139=3,"450",AG139=4,"600",AG139=5,"750",AG139=6,"900",AG139&gt;=7,"1,000"))))</f>
        <v>#NAME?</v>
      </c>
      <c r="AI139" s="220" t="s">
        <v>226</v>
      </c>
      <c r="AJ139" s="110"/>
    </row>
    <row r="140" spans="1:36" ht="18" customHeight="1">
      <c r="A140" s="166" t="s">
        <v>9</v>
      </c>
      <c r="B140" s="216" t="s">
        <v>107</v>
      </c>
      <c r="C140" s="217"/>
      <c r="D140" s="167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218"/>
      <c r="U140" s="166"/>
      <c r="V140" s="217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219">
        <v>15</v>
      </c>
      <c r="AH140" s="108" t="e">
        <f ca="1">IF(A140="O", (VALUE(_xludf.IFS(AG140=0,"0",AG140=1,"150",AG140=2,"300",AG140=3,"450",AG140=4,"600",AG140=5,"750",AG140&gt;=6,"800"))),(VALUE(_xludf.IFS(AG140=0,"0",AG140=1,"150",AG140=2,"300",AG140=3,"450",AG140=4,"600",AG140=5,"750",AG140=6,"900",AG140&gt;=7,"1,000"))))</f>
        <v>#NAME?</v>
      </c>
      <c r="AI140" s="220" t="s">
        <v>107</v>
      </c>
      <c r="AJ140" s="110"/>
    </row>
    <row r="141" spans="1:36" ht="18" customHeight="1">
      <c r="A141" s="166" t="s">
        <v>58</v>
      </c>
      <c r="B141" s="216" t="s">
        <v>108</v>
      </c>
      <c r="C141" s="217"/>
      <c r="D141" s="167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218"/>
      <c r="U141" s="166"/>
      <c r="V141" s="217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219">
        <v>15</v>
      </c>
      <c r="AH141" s="108" t="e">
        <f ca="1">IF(A141="O", (VALUE(_xludf.IFS(AG141=0,"0",AG141=1,"150",AG141=2,"300",AG141=3,"450",AG141=4,"600",AG141=5,"750",AG141&gt;=6,"800"))),(VALUE(_xludf.IFS(AG141=0,"0",AG141=1,"150",AG141=2,"300",AG141=3,"450",AG141=4,"600",AG141=5,"750",AG141=6,"900",AG141&gt;=7,"1,000"))))</f>
        <v>#NAME?</v>
      </c>
      <c r="AI141" s="220" t="s">
        <v>108</v>
      </c>
      <c r="AJ141" s="110"/>
    </row>
    <row r="142" spans="1:36" ht="18" customHeight="1">
      <c r="A142" s="166" t="s">
        <v>58</v>
      </c>
      <c r="B142" s="216" t="s">
        <v>109</v>
      </c>
      <c r="C142" s="217"/>
      <c r="D142" s="167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218"/>
      <c r="U142" s="166"/>
      <c r="V142" s="217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219">
        <v>0</v>
      </c>
      <c r="AH142" s="108" t="e">
        <f ca="1">IF(A142="O", (VALUE(_xludf.IFS(AG142=0,"0",AG142=1,"150",AG142=2,"300",AG142=3,"450",AG142=4,"600",AG142=5,"750",AG142&gt;=6,"800"))),(VALUE(_xludf.IFS(AG142=0,"0",AG142=1,"150",AG142=2,"300",AG142=3,"450",AG142=4,"600",AG142=5,"750",AG142=6,"900",AG142&gt;=7,"1,000"))))</f>
        <v>#NAME?</v>
      </c>
      <c r="AI142" s="220" t="s">
        <v>109</v>
      </c>
      <c r="AJ142" s="110"/>
    </row>
    <row r="143" spans="1:36" ht="18" customHeight="1">
      <c r="A143" s="166" t="s">
        <v>58</v>
      </c>
      <c r="B143" s="216" t="s">
        <v>45</v>
      </c>
      <c r="C143" s="217"/>
      <c r="D143" s="167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218"/>
      <c r="U143" s="166"/>
      <c r="V143" s="217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219">
        <v>13</v>
      </c>
      <c r="AH143" s="108" t="e">
        <f ca="1">IF(A143="O", (VALUE(_xludf.IFS(AG143=0,"0",AG143=1,"150",AG143=2,"300",AG143=3,"450",AG143=4,"600",AG143=5,"750",AG143&gt;=6,"800"))),(VALUE(_xludf.IFS(AG143=0,"0",AG143=1,"150",AG143=2,"300",AG143=3,"450",AG143=4,"600",AG143=5,"750",AG143=6,"900",AG143&gt;=7,"1,000"))))</f>
        <v>#NAME?</v>
      </c>
      <c r="AI143" s="220" t="s">
        <v>45</v>
      </c>
      <c r="AJ143" s="110"/>
    </row>
  </sheetData>
  <autoFilter ref="AG4:AI143" xr:uid="{00000000-0009-0000-0000-000020000000}"/>
  <mergeCells count="5">
    <mergeCell ref="AI1:AI3"/>
    <mergeCell ref="AJ1:AJ2"/>
    <mergeCell ref="AH1:AH3"/>
    <mergeCell ref="A1:B1"/>
    <mergeCell ref="AG1:AG3"/>
  </mergeCells>
  <phoneticPr fontId="12" type="noConversion"/>
  <conditionalFormatting sqref="B2:B4 B7:B9 B11 B13:B143">
    <cfRule type="expression" dxfId="2" priority="1">
      <formula>COUNTIF($B:$B,$B2)&gt;1</formula>
    </cfRule>
  </conditionalFormatting>
  <dataValidations count="1">
    <dataValidation type="list" allowBlank="1" showDropDown="1" showErrorMessage="1" sqref="C1:AF1" xr:uid="{00000000-0002-0000-2000-000000000000}">
      <formula1>"-,Jason,曉明,青蛙,李洋,Mars"</formula1>
    </dataValidation>
  </dataValidations>
  <printOptions horizontalCentered="1" gridLines="1"/>
  <pageMargins left="0.25" right="0.25" top="0.59055118110236215" bottom="0.6" header="0" footer="0"/>
  <pageSetup paperSize="9"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EA9999"/>
    <outlinePr summaryBelow="0" summaryRight="0"/>
    <pageSetUpPr fitToPage="1"/>
  </sheetPr>
  <dimension ref="A1:AK15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2.54296875" defaultRowHeight="15.75" customHeight="1"/>
  <cols>
    <col min="1" max="1" width="6" customWidth="1"/>
    <col min="2" max="2" width="8.453125" customWidth="1"/>
    <col min="3" max="33" width="4.81640625" customWidth="1"/>
    <col min="34" max="34" width="4.453125" customWidth="1"/>
    <col min="35" max="35" width="6" customWidth="1"/>
    <col min="36" max="36" width="6.1796875" customWidth="1"/>
    <col min="37" max="37" width="13.26953125" hidden="1" customWidth="1"/>
  </cols>
  <sheetData>
    <row r="1" spans="1:37" ht="18" customHeight="1">
      <c r="A1" s="287" t="s">
        <v>0</v>
      </c>
      <c r="B1" s="280"/>
      <c r="C1" s="51"/>
      <c r="D1" s="126"/>
      <c r="E1" s="126"/>
      <c r="F1" s="51"/>
      <c r="G1" s="126"/>
      <c r="H1" s="51"/>
      <c r="I1" s="126"/>
      <c r="J1" s="126"/>
      <c r="K1" s="126"/>
      <c r="L1" s="126"/>
      <c r="M1" s="51"/>
      <c r="N1" s="126"/>
      <c r="O1" s="51"/>
      <c r="P1" s="126"/>
      <c r="Q1" s="126"/>
      <c r="R1" s="126"/>
      <c r="S1" s="126"/>
      <c r="T1" s="51"/>
      <c r="U1" s="126"/>
      <c r="V1" s="51"/>
      <c r="W1" s="126"/>
      <c r="X1" s="126"/>
      <c r="Y1" s="126"/>
      <c r="Z1" s="126"/>
      <c r="AA1" s="51"/>
      <c r="AB1" s="126"/>
      <c r="AC1" s="126"/>
      <c r="AD1" s="126"/>
      <c r="AE1" s="126"/>
      <c r="AF1" s="126"/>
      <c r="AG1" s="126"/>
      <c r="AH1" s="286" t="s">
        <v>6</v>
      </c>
      <c r="AI1" s="284" t="s">
        <v>7</v>
      </c>
      <c r="AJ1" s="285" t="s">
        <v>172</v>
      </c>
      <c r="AK1" s="288" t="s">
        <v>1</v>
      </c>
    </row>
    <row r="2" spans="1:37" ht="18" customHeight="1">
      <c r="A2" s="53" t="s">
        <v>2</v>
      </c>
      <c r="B2" s="54" t="s">
        <v>3</v>
      </c>
      <c r="C2" s="55">
        <v>45992</v>
      </c>
      <c r="D2" s="55">
        <v>45993</v>
      </c>
      <c r="E2" s="55">
        <v>45994</v>
      </c>
      <c r="F2" s="55">
        <v>45995</v>
      </c>
      <c r="G2" s="55">
        <v>45996</v>
      </c>
      <c r="H2" s="55">
        <v>45997</v>
      </c>
      <c r="I2" s="55">
        <v>45998</v>
      </c>
      <c r="J2" s="55">
        <v>45999</v>
      </c>
      <c r="K2" s="55">
        <v>46000</v>
      </c>
      <c r="L2" s="55">
        <v>46001</v>
      </c>
      <c r="M2" s="55">
        <v>46002</v>
      </c>
      <c r="N2" s="55">
        <v>46003</v>
      </c>
      <c r="O2" s="55">
        <v>46004</v>
      </c>
      <c r="P2" s="55">
        <v>46005</v>
      </c>
      <c r="Q2" s="55">
        <v>46006</v>
      </c>
      <c r="R2" s="55">
        <v>46007</v>
      </c>
      <c r="S2" s="55">
        <v>46008</v>
      </c>
      <c r="T2" s="55">
        <v>46009</v>
      </c>
      <c r="U2" s="55">
        <v>46010</v>
      </c>
      <c r="V2" s="55">
        <v>46011</v>
      </c>
      <c r="W2" s="55">
        <v>46012</v>
      </c>
      <c r="X2" s="55">
        <v>46013</v>
      </c>
      <c r="Y2" s="55">
        <v>46014</v>
      </c>
      <c r="Z2" s="55">
        <v>46015</v>
      </c>
      <c r="AA2" s="55">
        <v>46016</v>
      </c>
      <c r="AB2" s="55">
        <v>46017</v>
      </c>
      <c r="AC2" s="55">
        <v>46018</v>
      </c>
      <c r="AD2" s="55">
        <v>46019</v>
      </c>
      <c r="AE2" s="55">
        <v>46020</v>
      </c>
      <c r="AF2" s="55">
        <v>46021</v>
      </c>
      <c r="AG2" s="55">
        <v>46022</v>
      </c>
      <c r="AH2" s="282"/>
      <c r="AI2" s="277"/>
      <c r="AJ2" s="272"/>
      <c r="AK2" s="275"/>
    </row>
    <row r="3" spans="1:37" ht="18" customHeight="1">
      <c r="A3" s="53" t="s">
        <v>4</v>
      </c>
      <c r="B3" s="54" t="s">
        <v>5</v>
      </c>
      <c r="C3" s="51">
        <f t="shared" ref="C3:AG3" si="0">WEEKDAY(C2-1)</f>
        <v>1</v>
      </c>
      <c r="D3" s="152">
        <f t="shared" si="0"/>
        <v>2</v>
      </c>
      <c r="E3" s="126">
        <f t="shared" si="0"/>
        <v>3</v>
      </c>
      <c r="F3" s="51">
        <f t="shared" si="0"/>
        <v>4</v>
      </c>
      <c r="G3" s="126">
        <f t="shared" si="0"/>
        <v>5</v>
      </c>
      <c r="H3" s="51">
        <f t="shared" si="0"/>
        <v>6</v>
      </c>
      <c r="I3" s="126">
        <f t="shared" si="0"/>
        <v>7</v>
      </c>
      <c r="J3" s="126">
        <f t="shared" si="0"/>
        <v>1</v>
      </c>
      <c r="K3" s="126">
        <f t="shared" si="0"/>
        <v>2</v>
      </c>
      <c r="L3" s="126">
        <f t="shared" si="0"/>
        <v>3</v>
      </c>
      <c r="M3" s="51">
        <f t="shared" si="0"/>
        <v>4</v>
      </c>
      <c r="N3" s="126">
        <f t="shared" si="0"/>
        <v>5</v>
      </c>
      <c r="O3" s="51">
        <f t="shared" si="0"/>
        <v>6</v>
      </c>
      <c r="P3" s="126">
        <f t="shared" si="0"/>
        <v>7</v>
      </c>
      <c r="Q3" s="126">
        <f t="shared" si="0"/>
        <v>1</v>
      </c>
      <c r="R3" s="126">
        <f t="shared" si="0"/>
        <v>2</v>
      </c>
      <c r="S3" s="126">
        <f t="shared" si="0"/>
        <v>3</v>
      </c>
      <c r="T3" s="51">
        <f t="shared" si="0"/>
        <v>4</v>
      </c>
      <c r="U3" s="126">
        <f t="shared" si="0"/>
        <v>5</v>
      </c>
      <c r="V3" s="51">
        <f t="shared" si="0"/>
        <v>6</v>
      </c>
      <c r="W3" s="126">
        <f t="shared" si="0"/>
        <v>7</v>
      </c>
      <c r="X3" s="126">
        <f t="shared" si="0"/>
        <v>1</v>
      </c>
      <c r="Y3" s="126">
        <f t="shared" si="0"/>
        <v>2</v>
      </c>
      <c r="Z3" s="126">
        <f t="shared" si="0"/>
        <v>3</v>
      </c>
      <c r="AA3" s="51">
        <f t="shared" si="0"/>
        <v>4</v>
      </c>
      <c r="AB3" s="126">
        <f t="shared" si="0"/>
        <v>5</v>
      </c>
      <c r="AC3" s="126">
        <f t="shared" si="0"/>
        <v>6</v>
      </c>
      <c r="AD3" s="126">
        <f t="shared" si="0"/>
        <v>7</v>
      </c>
      <c r="AE3" s="126">
        <f t="shared" si="0"/>
        <v>1</v>
      </c>
      <c r="AF3" s="126">
        <f t="shared" si="0"/>
        <v>2</v>
      </c>
      <c r="AG3" s="126">
        <f t="shared" si="0"/>
        <v>3</v>
      </c>
      <c r="AH3" s="283"/>
      <c r="AI3" s="278"/>
      <c r="AJ3" s="273"/>
      <c r="AK3" s="62" t="e">
        <f ca="1">SUM(AI4:AI151)</f>
        <v>#NAME?</v>
      </c>
    </row>
    <row r="4" spans="1:37" ht="18" customHeight="1">
      <c r="A4" s="92" t="s">
        <v>58</v>
      </c>
      <c r="B4" s="93" t="s">
        <v>10</v>
      </c>
      <c r="C4" s="149"/>
      <c r="D4" s="150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99">
        <v>1</v>
      </c>
      <c r="AI4" s="200" t="e">
        <f ca="1">IF(A4="O", (VALUE(_xludf.IFS(AH4=0,"0",AH4=1,"150",AH4=2,"300",AH4=3,"450",AH4=4,"600",AH4=5,"750",AH4&gt;=6,"800"))),(VALUE(_xludf.IFS(AH4=0,"0",AH4=1,"150",AH4=2,"300",AH4=3,"450",AH4=4,"600",AH4=5,"750",AH4=6,"900",AH4&gt;=7,"1,000"))))</f>
        <v>#NAME?</v>
      </c>
      <c r="AJ4" s="201" t="str">
        <f t="shared" ref="AJ4:AJ35" si="1">B4</f>
        <v>阿發</v>
      </c>
      <c r="AK4" s="70"/>
    </row>
    <row r="5" spans="1:37" ht="18" customHeight="1">
      <c r="A5" s="95" t="s">
        <v>174</v>
      </c>
      <c r="B5" s="122" t="s">
        <v>11</v>
      </c>
      <c r="C5" s="151"/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99">
        <v>11</v>
      </c>
      <c r="AI5" s="202" t="e">
        <f ca="1">(IF(A5="O", (VALUE(_xludf.IFS(AH5=0,"0",AH5=1,"150",AH5=2,"300",AH5=3,"450",AH5=4,"600",AH5=5,"750",AH5&gt;=6,"800"))),(VALUE(_xludf.IFS(AH5=0,"0",AH5=1,"150",AH5=2,"300",AH5=3,"450",AH5=4,"600",AH5=5,"750",AH5=6,"900",AH5&gt;=7,"1,000")))))/2</f>
        <v>#NAME?</v>
      </c>
      <c r="AJ5" s="203" t="str">
        <f t="shared" si="1"/>
        <v>捷升</v>
      </c>
      <c r="AK5" s="70"/>
    </row>
    <row r="6" spans="1:37" ht="18" customHeight="1">
      <c r="A6" s="95" t="s">
        <v>174</v>
      </c>
      <c r="B6" s="122" t="s">
        <v>14</v>
      </c>
      <c r="C6" s="151"/>
      <c r="D6" s="150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99">
        <v>11</v>
      </c>
      <c r="AI6" s="202" t="e">
        <f ca="1">(IF(A6="O", (VALUE(_xludf.IFS(AH6=0,"0",AH6=1,"150",AH6=2,"300",AH6=3,"450",AH6=4,"600",AH6=5,"750",AH6&gt;=6,"800"))),(VALUE(_xludf.IFS(AH6=0,"0",AH6=1,"150",AH6=2,"300",AH6=3,"450",AH6=4,"600",AH6=5,"750",AH6=6,"900",AH6&gt;=7,"1,000")))))/2</f>
        <v>#NAME?</v>
      </c>
      <c r="AJ6" s="203" t="str">
        <f t="shared" si="1"/>
        <v>曉明</v>
      </c>
      <c r="AK6" s="70"/>
    </row>
    <row r="7" spans="1:37" ht="18" customHeight="1">
      <c r="A7" s="95" t="s">
        <v>174</v>
      </c>
      <c r="B7" s="96" t="s">
        <v>15</v>
      </c>
      <c r="C7" s="151"/>
      <c r="D7" s="150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99">
        <v>11</v>
      </c>
      <c r="AI7" s="202" t="e">
        <f ca="1">IF(A7="O", (VALUE(_xludf.IFS(AH7=0,"0",AH7=1,"150",AH7=2,"300",AH7=3,"450",AH7=4,"600",AH7=5,"750",AH7&gt;=6,"800"))),(VALUE(_xludf.IFS(AH7=0,"0",AH7=1,"150",AH7=2,"300",AH7=3,"450",AH7=4,"600",AH7=5,"750",AH7=6,"900",AH7&gt;=7,"1,000"))))</f>
        <v>#NAME?</v>
      </c>
      <c r="AJ7" s="204" t="str">
        <f t="shared" si="1"/>
        <v>大支</v>
      </c>
      <c r="AK7" s="70"/>
    </row>
    <row r="8" spans="1:37" ht="18" customHeight="1">
      <c r="A8" s="95" t="s">
        <v>174</v>
      </c>
      <c r="B8" s="96" t="s">
        <v>16</v>
      </c>
      <c r="C8" s="151"/>
      <c r="D8" s="1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99">
        <v>0</v>
      </c>
      <c r="AI8" s="202" t="e">
        <f ca="1">IF(A8="O", (VALUE(_xludf.IFS(AH8=0,"0",AH8=1,"150",AH8=2,"300",AH8=3,"450",AH8=4,"600",AH8=5,"750",AH8&gt;=6,"800"))),(VALUE(_xludf.IFS(AH8=0,"0",AH8=1,"150",AH8=2,"300",AH8=3,"450",AH8=4,"600",AH8=5,"750",AH8=6,"900",AH8&gt;=7,"1,000"))))</f>
        <v>#NAME?</v>
      </c>
      <c r="AJ8" s="204" t="str">
        <f t="shared" si="1"/>
        <v>弼善</v>
      </c>
      <c r="AK8" s="70"/>
    </row>
    <row r="9" spans="1:37" ht="18" customHeight="1">
      <c r="A9" s="95" t="s">
        <v>174</v>
      </c>
      <c r="B9" s="96" t="s">
        <v>17</v>
      </c>
      <c r="C9" s="151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99">
        <v>12</v>
      </c>
      <c r="AI9" s="202" t="e">
        <f ca="1">IF(A9="O", (VALUE(_xludf.IFS(AH9=0,"0",AH9=1,"150",AH9=2,"300",AH9=3,"450",AH9=4,"600",AH9=5,"750",AH9&gt;=6,"800"))),(VALUE(_xludf.IFS(AH9=0,"0",AH9=1,"150",AH9=2,"300",AH9=3,"450",AH9=4,"600",AH9=5,"750",AH9=6,"900",AH9&gt;=7,"1,000"))))</f>
        <v>#NAME?</v>
      </c>
      <c r="AJ9" s="204" t="str">
        <f t="shared" si="1"/>
        <v>光曜</v>
      </c>
      <c r="AK9" s="70"/>
    </row>
    <row r="10" spans="1:37" ht="18" customHeight="1">
      <c r="A10" s="95" t="s">
        <v>174</v>
      </c>
      <c r="B10" s="122" t="s">
        <v>13</v>
      </c>
      <c r="C10" s="151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99">
        <v>11</v>
      </c>
      <c r="AI10" s="202" t="e">
        <f ca="1">(IF(A10="O", (VALUE(_xludf.IFS(AH10=0,"0",AH10=1,"150",AH10=2,"300",AH10=3,"450",AH10=4,"600",AH10=5,"750",AH10&gt;=6,"800"))),(VALUE(_xludf.IFS(AH10=0,"0",AH10=1,"150",AH10=2,"300",AH10=3,"450",AH10=4,"600",AH10=5,"750",AH10=6,"900",AH10&gt;=7,"1,000")))))/2</f>
        <v>#NAME?</v>
      </c>
      <c r="AJ10" s="203" t="str">
        <f t="shared" si="1"/>
        <v>李洋</v>
      </c>
      <c r="AK10" s="70"/>
    </row>
    <row r="11" spans="1:37" ht="18" customHeight="1">
      <c r="A11" s="95" t="s">
        <v>58</v>
      </c>
      <c r="B11" s="96" t="s">
        <v>18</v>
      </c>
      <c r="C11" s="151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99">
        <v>11</v>
      </c>
      <c r="AI11" s="202" t="e">
        <f ca="1">IF(A11="O", (VALUE(_xludf.IFS(AH11=0,"0",AH11=1,"150",AH11=2,"300",AH11=3,"450",AH11=4,"600",AH11=5,"750",AH11&gt;=6,"800"))),(VALUE(_xludf.IFS(AH11=0,"0",AH11=1,"150",AH11=2,"300",AH11=3,"450",AH11=4,"600",AH11=5,"750",AH11=6,"900",AH11&gt;=7,"1,000"))))</f>
        <v>#NAME?</v>
      </c>
      <c r="AJ11" s="204" t="str">
        <f t="shared" si="1"/>
        <v>皓元</v>
      </c>
      <c r="AK11" s="70"/>
    </row>
    <row r="12" spans="1:37" ht="18" customHeight="1">
      <c r="A12" s="95" t="s">
        <v>174</v>
      </c>
      <c r="B12" s="198" t="s">
        <v>19</v>
      </c>
      <c r="C12" s="151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99">
        <v>5</v>
      </c>
      <c r="AI12" s="202" t="e">
        <f ca="1">IF(A12="O", (VALUE(_xludf.IFS(AH12=0,"0",AH12=1,"150",AH12=2,"300",AH12=3,"450",AH12=4,"600",AH12=5,"750",AH12&gt;=6,"800"))),(VALUE(_xludf.IFS(AH12=0,"0",AH12=1,"150",AH12=2,"300",AH12=3,"450",AH12=4,"600",AH12=5,"750",AH12=6,"900",AH12&gt;=7,"1,000"))))</f>
        <v>#NAME?</v>
      </c>
      <c r="AJ12" s="204" t="str">
        <f t="shared" si="1"/>
        <v>青蛙</v>
      </c>
      <c r="AK12" s="70"/>
    </row>
    <row r="13" spans="1:37" ht="18" customHeight="1">
      <c r="A13" s="95" t="s">
        <v>9</v>
      </c>
      <c r="B13" s="96" t="s">
        <v>61</v>
      </c>
      <c r="C13" s="151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99">
        <v>0</v>
      </c>
      <c r="AI13" s="202" t="e">
        <f ca="1">IF(A13="O", (VALUE(_xludf.IFS(AH13=0,"0",AH13=1,"150",AH13=2,"300",AH13=3,"450",AH13=4,"600",AH13=5,"750",AH13&gt;=6,"800"))),(VALUE(_xludf.IFS(AH13=0,"0",AH13=1,"150",AH13=2,"300",AH13=3,"450",AH13=4,"600",AH13=5,"750",AH13=6,"900",AH13&gt;=7,"1,000"))))</f>
        <v>#NAME?</v>
      </c>
      <c r="AJ13" s="204" t="str">
        <f t="shared" si="1"/>
        <v>韋融</v>
      </c>
      <c r="AK13" s="70"/>
    </row>
    <row r="14" spans="1:37" ht="18" customHeight="1">
      <c r="A14" s="95" t="s">
        <v>174</v>
      </c>
      <c r="B14" s="96" t="s">
        <v>175</v>
      </c>
      <c r="C14" s="151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99">
        <v>11</v>
      </c>
      <c r="AI14" s="202" t="e">
        <f ca="1">IF(A14="O", (VALUE(_xludf.IFS(AH14=0,"0",AH14=1,"150",AH14=2,"300",AH14=3,"450",AH14=4,"600",AH14=5,"750",AH14&gt;=6,"800"))),(VALUE(_xludf.IFS(AH14=0,"0",AH14=1,"150",AH14=2,"300",AH14=3,"450",AH14=4,"600",AH14=5,"750",AH14=6,"900",AH14&gt;=7,"1,000"))))</f>
        <v>#NAME?</v>
      </c>
      <c r="AJ14" s="204" t="str">
        <f t="shared" si="1"/>
        <v>咪咪</v>
      </c>
      <c r="AK14" s="70"/>
    </row>
    <row r="15" spans="1:37" ht="18" customHeight="1">
      <c r="A15" s="95" t="s">
        <v>174</v>
      </c>
      <c r="B15" s="96" t="s">
        <v>20</v>
      </c>
      <c r="C15" s="151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99">
        <v>12</v>
      </c>
      <c r="AI15" s="202" t="e">
        <f ca="1">IF(A15="O", (VALUE(_xludf.IFS(AH15=0,"0",AH15=1,"150",AH15=2,"300",AH15=3,"450",AH15=4,"600",AH15=5,"750",AH15&gt;=6,"800"))),(VALUE(_xludf.IFS(AH15=0,"0",AH15=1,"150",AH15=2,"300",AH15=3,"450",AH15=4,"600",AH15=5,"750",AH15=6,"900",AH15&gt;=7,"1,000"))))</f>
        <v>#NAME?</v>
      </c>
      <c r="AJ15" s="204" t="str">
        <f t="shared" si="1"/>
        <v>港弟</v>
      </c>
      <c r="AK15" s="70"/>
    </row>
    <row r="16" spans="1:37" ht="18" customHeight="1">
      <c r="A16" s="95" t="s">
        <v>174</v>
      </c>
      <c r="B16" s="96" t="s">
        <v>21</v>
      </c>
      <c r="C16" s="151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99">
        <v>9</v>
      </c>
      <c r="AI16" s="202" t="e">
        <f ca="1">IF(A16="O", (VALUE(_xludf.IFS(AH16=0,"0",AH16=1,"150",AH16=2,"300",AH16=3,"450",AH16=4,"600",AH16=5,"750",AH16&gt;=6,"800"))),(VALUE(_xludf.IFS(AH16=0,"0",AH16=1,"150",AH16=2,"300",AH16=3,"450",AH16=4,"600",AH16=5,"750",AH16=6,"900",AH16&gt;=7,"1,000"))))</f>
        <v>#NAME?</v>
      </c>
      <c r="AJ16" s="204" t="str">
        <f t="shared" si="1"/>
        <v>晧全</v>
      </c>
      <c r="AK16" s="70"/>
    </row>
    <row r="17" spans="1:37" ht="18" customHeight="1">
      <c r="A17" s="95" t="s">
        <v>174</v>
      </c>
      <c r="B17" s="96" t="s">
        <v>22</v>
      </c>
      <c r="C17" s="151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99">
        <v>11</v>
      </c>
      <c r="AI17" s="202" t="e">
        <f ca="1">IF(A17="O", (VALUE(_xludf.IFS(AH17=0,"0",AH17=1,"150",AH17=2,"300",AH17=3,"450",AH17=4,"600",AH17=5,"750",AH17&gt;=6,"800"))),(VALUE(_xludf.IFS(AH17=0,"0",AH17=1,"150",AH17=2,"300",AH17=3,"450",AH17=4,"600",AH17=5,"750",AH17=6,"900",AH17&gt;=7,"1,000"))))</f>
        <v>#NAME?</v>
      </c>
      <c r="AJ17" s="204" t="str">
        <f t="shared" si="1"/>
        <v>Mars</v>
      </c>
      <c r="AK17" s="70"/>
    </row>
    <row r="18" spans="1:37" ht="18" customHeight="1">
      <c r="A18" s="99" t="s">
        <v>174</v>
      </c>
      <c r="B18" s="100" t="s">
        <v>89</v>
      </c>
      <c r="C18" s="99"/>
      <c r="D18" s="132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205">
        <v>2</v>
      </c>
      <c r="AI18" s="206" t="e">
        <f ca="1">IF(A18="O", (VALUE(_xludf.IFS(AH18=0,"0",AH18=1,"150",AH18=2,"300",AH18=3,"450",AH18=4,"600",AH18=5,"750",AH18&gt;=6,"800"))),(VALUE(_xludf.IFS(AH18=0,"0",AH18=1,"150",AH18=2,"300",AH18=3,"450",AH18=4,"600",AH18=5,"750",AH18=6,"900",AH18&gt;=7,"1,000"))))</f>
        <v>#NAME?</v>
      </c>
      <c r="AJ18" s="207" t="str">
        <f t="shared" si="1"/>
        <v>泡芙</v>
      </c>
      <c r="AK18" s="80"/>
    </row>
    <row r="19" spans="1:37" ht="18" customHeight="1">
      <c r="A19" s="99" t="s">
        <v>174</v>
      </c>
      <c r="B19" s="100" t="s">
        <v>90</v>
      </c>
      <c r="C19" s="99"/>
      <c r="D19" s="13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205">
        <v>10</v>
      </c>
      <c r="AI19" s="206" t="e">
        <f ca="1">IF(A19="O", (VALUE(_xludf.IFS(AH19=0,"0",AH19=1,"150",AH19=2,"300",AH19=3,"450",AH19=4,"600",AH19=5,"750",AH19&gt;=6,"800"))),(VALUE(_xludf.IFS(AH19=0,"0",AH19=1,"150",AH19=2,"300",AH19=3,"450",AH19=4,"600",AH19=5,"750",AH19=6,"900",AH19&gt;=7,"1,000"))))</f>
        <v>#NAME?</v>
      </c>
      <c r="AJ19" s="207" t="str">
        <f t="shared" si="1"/>
        <v>蓓蓓</v>
      </c>
      <c r="AK19" s="80"/>
    </row>
    <row r="20" spans="1:37" ht="18" customHeight="1">
      <c r="A20" s="99" t="s">
        <v>58</v>
      </c>
      <c r="B20" s="100" t="s">
        <v>91</v>
      </c>
      <c r="C20" s="99"/>
      <c r="D20" s="132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205">
        <v>0</v>
      </c>
      <c r="AI20" s="206" t="e">
        <f ca="1">IF(A20="O", (VALUE(_xludf.IFS(AH20=0,"0",AH20=1,"150",AH20=2,"300",AH20=3,"450",AH20=4,"600",AH20=5,"750",AH20&gt;=6,"800"))),(VALUE(_xludf.IFS(AH20=0,"0",AH20=1,"150",AH20=2,"300",AH20=3,"450",AH20=4,"600",AH20=5,"750",AH20=6,"900",AH20&gt;=7,"1,000"))))</f>
        <v>#NAME?</v>
      </c>
      <c r="AJ20" s="207" t="str">
        <f t="shared" si="1"/>
        <v>柔柔</v>
      </c>
      <c r="AK20" s="80"/>
    </row>
    <row r="21" spans="1:37" ht="18" customHeight="1">
      <c r="A21" s="99" t="s">
        <v>174</v>
      </c>
      <c r="B21" s="100" t="s">
        <v>92</v>
      </c>
      <c r="C21" s="99"/>
      <c r="D21" s="132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205">
        <v>1</v>
      </c>
      <c r="AI21" s="206" t="e">
        <f ca="1">IF(A21="O", (VALUE(_xludf.IFS(AH21=0,"0",AH21=1,"150",AH21=2,"300",AH21=3,"450",AH21=4,"600",AH21=5,"750",AH21&gt;=6,"800"))),(VALUE(_xludf.IFS(AH21=0,"0",AH21=1,"150",AH21=2,"300",AH21=3,"450",AH21=4,"600",AH21=5,"750",AH21=6,"900",AH21&gt;=7,"1,000"))))</f>
        <v>#NAME?</v>
      </c>
      <c r="AJ21" s="207" t="str">
        <f t="shared" si="1"/>
        <v>婉晴</v>
      </c>
      <c r="AK21" s="80"/>
    </row>
    <row r="22" spans="1:37" ht="18" customHeight="1">
      <c r="A22" s="99" t="s">
        <v>174</v>
      </c>
      <c r="B22" s="100" t="s">
        <v>93</v>
      </c>
      <c r="C22" s="99"/>
      <c r="D22" s="132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205">
        <v>6</v>
      </c>
      <c r="AI22" s="206" t="e">
        <f ca="1">IF(A22="O", (VALUE(_xludf.IFS(AH22=0,"0",AH22=1,"150",AH22=2,"300",AH22=3,"450",AH22=4,"600",AH22=5,"750",AH22&gt;=6,"800"))),(VALUE(_xludf.IFS(AH22=0,"0",AH22=1,"150",AH22=2,"300",AH22=3,"450",AH22=4,"600",AH22=5,"750",AH22=6,"900",AH22&gt;=7,"1,000"))))</f>
        <v>#NAME?</v>
      </c>
      <c r="AJ22" s="207" t="str">
        <f t="shared" si="1"/>
        <v>冠婷</v>
      </c>
      <c r="AK22" s="81"/>
    </row>
    <row r="23" spans="1:37" ht="18" customHeight="1">
      <c r="A23" s="99" t="s">
        <v>174</v>
      </c>
      <c r="B23" s="100" t="s">
        <v>149</v>
      </c>
      <c r="C23" s="99"/>
      <c r="D23" s="132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205">
        <v>0</v>
      </c>
      <c r="AI23" s="206" t="e">
        <f ca="1">IF(A23="O", (VALUE(_xludf.IFS(AH23=0,"0",AH23=1,"150",AH23=2,"300",AH23=3,"450",AH23=4,"600",AH23=5,"750",AH23&gt;=6,"800"))),(VALUE(_xludf.IFS(AH23=0,"0",AH23=1,"150",AH23=2,"300",AH23=3,"450",AH23=4,"600",AH23=5,"750",AH23=6,"900",AH23&gt;=7,"1,000"))))</f>
        <v>#NAME?</v>
      </c>
      <c r="AJ23" s="207" t="str">
        <f t="shared" si="1"/>
        <v>晏寧</v>
      </c>
      <c r="AK23" s="82"/>
    </row>
    <row r="24" spans="1:37" ht="18" customHeight="1">
      <c r="A24" s="99" t="s">
        <v>174</v>
      </c>
      <c r="B24" s="100" t="s">
        <v>150</v>
      </c>
      <c r="C24" s="99"/>
      <c r="D24" s="132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205">
        <v>0</v>
      </c>
      <c r="AI24" s="206" t="e">
        <f ca="1">IF(A24="O", (VALUE(_xludf.IFS(AH24=0,"0",AH24=1,"150",AH24=2,"300",AH24=3,"450",AH24=4,"600",AH24=5,"750",AH24&gt;=6,"800"))),(VALUE(_xludf.IFS(AH24=0,"0",AH24=1,"150",AH24=2,"300",AH24=3,"450",AH24=4,"600",AH24=5,"750",AH24=6,"900",AH24&gt;=7,"1,000"))))</f>
        <v>#NAME?</v>
      </c>
      <c r="AJ24" s="207" t="str">
        <f t="shared" si="1"/>
        <v>高麗菜</v>
      </c>
      <c r="AK24" s="80"/>
    </row>
    <row r="25" spans="1:37" ht="18" customHeight="1">
      <c r="A25" s="99" t="s">
        <v>174</v>
      </c>
      <c r="B25" s="100" t="s">
        <v>113</v>
      </c>
      <c r="C25" s="99"/>
      <c r="D25" s="132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205">
        <v>0</v>
      </c>
      <c r="AI25" s="206" t="e">
        <f ca="1">IF(A25="O", (VALUE(_xludf.IFS(AH25=0,"0",AH25=1,"150",AH25=2,"300",AH25=3,"450",AH25=4,"600",AH25=5,"750",AH25&gt;=6,"800"))),(VALUE(_xludf.IFS(AH25=0,"0",AH25=1,"150",AH25=2,"300",AH25=3,"450",AH25=4,"600",AH25=5,"750",AH25=6,"900",AH25&gt;=7,"1,000"))))</f>
        <v>#NAME?</v>
      </c>
      <c r="AJ25" s="207" t="str">
        <f t="shared" si="1"/>
        <v>容容</v>
      </c>
      <c r="AK25" s="82"/>
    </row>
    <row r="26" spans="1:37" ht="18" customHeight="1">
      <c r="A26" s="99" t="s">
        <v>174</v>
      </c>
      <c r="B26" s="100" t="s">
        <v>94</v>
      </c>
      <c r="C26" s="99"/>
      <c r="D26" s="132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205">
        <v>11</v>
      </c>
      <c r="AI26" s="206" t="e">
        <f ca="1">IF(A26="O", (VALUE(_xludf.IFS(AH26=0,"0",AH26=1,"150",AH26=2,"300",AH26=3,"450",AH26=4,"600",AH26=5,"750",AH26&gt;=6,"800"))),(VALUE(_xludf.IFS(AH26=0,"0",AH26=1,"150",AH26=2,"300",AH26=3,"450",AH26=4,"600",AH26=5,"750",AH26=6,"900",AH26&gt;=7,"1,000"))))</f>
        <v>#NAME?</v>
      </c>
      <c r="AJ26" s="207" t="str">
        <f t="shared" si="1"/>
        <v>小花</v>
      </c>
      <c r="AK26" s="80"/>
    </row>
    <row r="27" spans="1:37" ht="18" customHeight="1">
      <c r="A27" s="99" t="s">
        <v>174</v>
      </c>
      <c r="B27" s="100" t="s">
        <v>95</v>
      </c>
      <c r="C27" s="99"/>
      <c r="D27" s="132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205">
        <v>10</v>
      </c>
      <c r="AI27" s="206" t="e">
        <f ca="1">IF(A27="O", (VALUE(_xludf.IFS(AH27=0,"0",AH27=1,"150",AH27=2,"300",AH27=3,"450",AH27=4,"600",AH27=5,"750",AH27&gt;=6,"800"))),(VALUE(_xludf.IFS(AH27=0,"0",AH27=1,"150",AH27=2,"300",AH27=3,"450",AH27=4,"600",AH27=5,"750",AH27=6,"900",AH27&gt;=7,"1,000"))))</f>
        <v>#NAME?</v>
      </c>
      <c r="AJ27" s="207" t="str">
        <f t="shared" si="1"/>
        <v>小吱</v>
      </c>
      <c r="AK27" s="80"/>
    </row>
    <row r="28" spans="1:37" ht="18" customHeight="1">
      <c r="A28" s="99" t="s">
        <v>174</v>
      </c>
      <c r="B28" s="100" t="s">
        <v>146</v>
      </c>
      <c r="C28" s="99"/>
      <c r="D28" s="132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205">
        <v>0</v>
      </c>
      <c r="AI28" s="206" t="e">
        <f ca="1">IF(A28="O", (VALUE(_xludf.IFS(AH28=0,"0",AH28=1,"150",AH28=2,"300",AH28=3,"450",AH28=4,"600",AH28=5,"750",AH28&gt;=6,"800"))),(VALUE(_xludf.IFS(AH28=0,"0",AH28=1,"150",AH28=2,"300",AH28=3,"450",AH28=4,"600",AH28=5,"750",AH28=6,"900",AH28&gt;=7,"1,000"))))</f>
        <v>#NAME?</v>
      </c>
      <c r="AJ28" s="207" t="str">
        <f t="shared" si="1"/>
        <v>飛飛</v>
      </c>
      <c r="AK28" s="81"/>
    </row>
    <row r="29" spans="1:37" ht="18" customHeight="1">
      <c r="A29" s="99" t="s">
        <v>58</v>
      </c>
      <c r="B29" s="100" t="s">
        <v>147</v>
      </c>
      <c r="C29" s="99"/>
      <c r="D29" s="132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205">
        <v>0</v>
      </c>
      <c r="AI29" s="206" t="e">
        <f ca="1">IF(A29="O", (VALUE(_xludf.IFS(AH29=0,"0",AH29=1,"150",AH29=2,"300",AH29=3,"450",AH29=4,"600",AH29=5,"750",AH29&gt;=6,"800"))),(VALUE(_xludf.IFS(AH29=0,"0",AH29=1,"150",AH29=2,"300",AH29=3,"450",AH29=4,"600",AH29=5,"750",AH29=6,"900",AH29&gt;=7,"1,000"))))</f>
        <v>#NAME?</v>
      </c>
      <c r="AJ29" s="207" t="str">
        <f t="shared" si="1"/>
        <v>湘苡</v>
      </c>
      <c r="AK29" s="80"/>
    </row>
    <row r="30" spans="1:37" ht="18" customHeight="1">
      <c r="A30" s="99" t="s">
        <v>58</v>
      </c>
      <c r="B30" s="100" t="s">
        <v>148</v>
      </c>
      <c r="C30" s="99"/>
      <c r="D30" s="132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205">
        <v>0</v>
      </c>
      <c r="AI30" s="206" t="e">
        <f ca="1">IF(A30="O", (VALUE(_xludf.IFS(AH30=0,"0",AH30=1,"150",AH30=2,"300",AH30=3,"450",AH30=4,"600",AH30=5,"750",AH30&gt;=6,"800"))),(VALUE(_xludf.IFS(AH30=0,"0",AH30=1,"150",AH30=2,"300",AH30=3,"450",AH30=4,"600",AH30=5,"750",AH30=6,"900",AH30&gt;=7,"1,000"))))</f>
        <v>#NAME?</v>
      </c>
      <c r="AJ30" s="207" t="str">
        <f t="shared" si="1"/>
        <v>雅雅</v>
      </c>
      <c r="AK30" s="82"/>
    </row>
    <row r="31" spans="1:37" ht="18" customHeight="1">
      <c r="A31" s="101" t="s">
        <v>174</v>
      </c>
      <c r="B31" s="102" t="s">
        <v>103</v>
      </c>
      <c r="C31" s="101"/>
      <c r="D31" s="137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208">
        <v>2</v>
      </c>
      <c r="AI31" s="209" t="e">
        <f ca="1">IF(A31="O", (VALUE(_xludf.IFS(AH31=0,"0",AH31=1,"150",AH31=2,"300",AH31=3,"450",AH31=4,"600",AH31=5,"750",AH31&gt;=6,"800"))),(VALUE(_xludf.IFS(AH31=0,"0",AH31=1,"150",AH31=2,"300",AH31=3,"450",AH31=4,"600",AH31=5,"750",AH31=6,"900",AH31&gt;=7,"1,000"))))</f>
        <v>#NAME?</v>
      </c>
      <c r="AJ31" s="210" t="str">
        <f t="shared" si="1"/>
        <v>圈圈</v>
      </c>
      <c r="AK31" s="90"/>
    </row>
    <row r="32" spans="1:37" ht="18" customHeight="1">
      <c r="A32" s="101" t="s">
        <v>174</v>
      </c>
      <c r="B32" s="102" t="s">
        <v>104</v>
      </c>
      <c r="C32" s="101"/>
      <c r="D32" s="137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208">
        <v>11</v>
      </c>
      <c r="AI32" s="209" t="e">
        <f ca="1">IF(A32="O", (VALUE(_xludf.IFS(AH32=0,"0",AH32=1,"150",AH32=2,"300",AH32=3,"450",AH32=4,"600",AH32=5,"750",AH32&gt;=6,"800"))),(VALUE(_xludf.IFS(AH32=0,"0",AH32=1,"150",AH32=2,"300",AH32=3,"450",AH32=4,"600",AH32=5,"750",AH32=6,"900",AH32&gt;=7,"1,000"))))</f>
        <v>#NAME?</v>
      </c>
      <c r="AJ32" s="210" t="str">
        <f t="shared" si="1"/>
        <v>卡丘</v>
      </c>
      <c r="AK32" s="90"/>
    </row>
    <row r="33" spans="1:37" ht="18" customHeight="1">
      <c r="A33" s="101" t="s">
        <v>174</v>
      </c>
      <c r="B33" s="102" t="s">
        <v>105</v>
      </c>
      <c r="C33" s="101"/>
      <c r="D33" s="137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208">
        <v>0</v>
      </c>
      <c r="AI33" s="209" t="e">
        <f ca="1">IF(A33="O", (VALUE(_xludf.IFS(AH33=0,"0",AH33=1,"150",AH33=2,"300",AH33=3,"450",AH33=4,"600",AH33=5,"750",AH33&gt;=6,"800"))),(VALUE(_xludf.IFS(AH33=0,"0",AH33=1,"150",AH33=2,"300",AH33=3,"450",AH33=4,"600",AH33=5,"750",AH33=6,"900",AH33&gt;=7,"1,000"))))</f>
        <v>#NAME?</v>
      </c>
      <c r="AJ33" s="210" t="str">
        <f t="shared" si="1"/>
        <v>琬蓁</v>
      </c>
      <c r="AK33" s="90"/>
    </row>
    <row r="34" spans="1:37" ht="18" customHeight="1">
      <c r="A34" s="101" t="s">
        <v>174</v>
      </c>
      <c r="B34" s="102" t="s">
        <v>116</v>
      </c>
      <c r="C34" s="101"/>
      <c r="D34" s="137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208">
        <v>0</v>
      </c>
      <c r="AI34" s="209" t="e">
        <f ca="1">IF(A34="O", (VALUE(_xludf.IFS(AH34=0,"0",AH34=1,"150",AH34=2,"300",AH34=3,"450",AH34=4,"600",AH34=5,"750",AH34&gt;=6,"800"))),(VALUE(_xludf.IFS(AH34=0,"0",AH34=1,"150",AH34=2,"300",AH34=3,"450",AH34=4,"600",AH34=5,"750",AH34=6,"900",AH34&gt;=7,"1,000"))))</f>
        <v>#NAME?</v>
      </c>
      <c r="AJ34" s="210" t="str">
        <f t="shared" si="1"/>
        <v>大汪</v>
      </c>
      <c r="AK34" s="89"/>
    </row>
    <row r="35" spans="1:37" ht="18" customHeight="1">
      <c r="A35" s="101" t="s">
        <v>58</v>
      </c>
      <c r="B35" s="102" t="s">
        <v>117</v>
      </c>
      <c r="C35" s="101"/>
      <c r="D35" s="137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208">
        <v>0</v>
      </c>
      <c r="AI35" s="209" t="e">
        <f ca="1">IF(A35="O", (VALUE(_xludf.IFS(AH35=0,"0",AH35=1,"150",AH35=2,"300",AH35=3,"450",AH35=4,"600",AH35=5,"750",AH35&gt;=6,"800"))),(VALUE(_xludf.IFS(AH35=0,"0",AH35=1,"150",AH35=2,"300",AH35=3,"450",AH35=4,"600",AH35=5,"750",AH35=6,"900",AH35&gt;=7,"1,000"))))</f>
        <v>#NAME?</v>
      </c>
      <c r="AJ35" s="210" t="str">
        <f t="shared" si="1"/>
        <v>依凡</v>
      </c>
      <c r="AK35" s="89"/>
    </row>
    <row r="36" spans="1:37" ht="18" customHeight="1">
      <c r="A36" s="101" t="s">
        <v>58</v>
      </c>
      <c r="B36" s="102" t="s">
        <v>118</v>
      </c>
      <c r="C36" s="101"/>
      <c r="D36" s="137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208">
        <v>0</v>
      </c>
      <c r="AI36" s="209" t="e">
        <f ca="1">IF(A36="O", (VALUE(_xludf.IFS(AH36=0,"0",AH36=1,"150",AH36=2,"300",AH36=3,"450",AH36=4,"600",AH36=5,"750",AH36&gt;=6,"800"))),(VALUE(_xludf.IFS(AH36=0,"0",AH36=1,"150",AH36=2,"300",AH36=3,"450",AH36=4,"600",AH36=5,"750",AH36=6,"900",AH36&gt;=7,"1,000"))))</f>
        <v>#NAME?</v>
      </c>
      <c r="AJ36" s="210" t="str">
        <f t="shared" ref="AJ36:AJ67" si="2">B36</f>
        <v>雅筑</v>
      </c>
      <c r="AK36" s="89"/>
    </row>
    <row r="37" spans="1:37" ht="18" customHeight="1">
      <c r="A37" s="101" t="s">
        <v>58</v>
      </c>
      <c r="B37" s="102" t="s">
        <v>119</v>
      </c>
      <c r="C37" s="101"/>
      <c r="D37" s="137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208">
        <v>0</v>
      </c>
      <c r="AI37" s="209" t="e">
        <f ca="1">IF(A37="O", (VALUE(_xludf.IFS(AH37=0,"0",AH37=1,"150",AH37=2,"300",AH37=3,"450",AH37=4,"600",AH37=5,"750",AH37&gt;=6,"800"))),(VALUE(_xludf.IFS(AH37=0,"0",AH37=1,"150",AH37=2,"300",AH37=3,"450",AH37=4,"600",AH37=5,"750",AH37=6,"900",AH37&gt;=7,"1,000"))))</f>
        <v>#NAME?</v>
      </c>
      <c r="AJ37" s="210" t="str">
        <f t="shared" si="2"/>
        <v>ABBY</v>
      </c>
      <c r="AK37" s="90"/>
    </row>
    <row r="38" spans="1:37" ht="18" customHeight="1">
      <c r="A38" s="101" t="s">
        <v>58</v>
      </c>
      <c r="B38" s="102" t="s">
        <v>120</v>
      </c>
      <c r="C38" s="101"/>
      <c r="D38" s="137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208">
        <v>0</v>
      </c>
      <c r="AI38" s="209" t="e">
        <f ca="1">IF(A38="O", (VALUE(_xludf.IFS(AH38=0,"0",AH38=1,"150",AH38=2,"300",AH38=3,"450",AH38=4,"600",AH38=5,"750",AH38&gt;=6,"800"))),(VALUE(_xludf.IFS(AH38=0,"0",AH38=1,"150",AH38=2,"300",AH38=3,"450",AH38=4,"600",AH38=5,"750",AH38=6,"900",AH38&gt;=7,"1,000"))))</f>
        <v>#NAME?</v>
      </c>
      <c r="AJ38" s="210" t="str">
        <f t="shared" si="2"/>
        <v>品君</v>
      </c>
      <c r="AK38" s="90"/>
    </row>
    <row r="39" spans="1:37" ht="18" customHeight="1">
      <c r="A39" s="101" t="s">
        <v>174</v>
      </c>
      <c r="B39" s="102" t="s">
        <v>121</v>
      </c>
      <c r="C39" s="101"/>
      <c r="D39" s="137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208">
        <v>0</v>
      </c>
      <c r="AI39" s="209" t="e">
        <f ca="1">IF(A39="O", (VALUE(_xludf.IFS(AH39=0,"0",AH39=1,"150",AH39=2,"300",AH39=3,"450",AH39=4,"600",AH39=5,"750",AH39&gt;=6,"800"))),(VALUE(_xludf.IFS(AH39=0,"0",AH39=1,"150",AH39=2,"300",AH39=3,"450",AH39=4,"600",AH39=5,"750",AH39=6,"900",AH39&gt;=7,"1,000"))))</f>
        <v>#NAME?</v>
      </c>
      <c r="AJ39" s="210" t="str">
        <f t="shared" si="2"/>
        <v>冰沙</v>
      </c>
      <c r="AK39" s="90"/>
    </row>
    <row r="40" spans="1:37" ht="18" customHeight="1">
      <c r="A40" s="101" t="s">
        <v>58</v>
      </c>
      <c r="B40" s="102" t="s">
        <v>122</v>
      </c>
      <c r="C40" s="101"/>
      <c r="D40" s="137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208">
        <v>0</v>
      </c>
      <c r="AI40" s="209" t="e">
        <f ca="1">IF(A40="O", (VALUE(_xludf.IFS(AH40=0,"0",AH40=1,"150",AH40=2,"300",AH40=3,"450",AH40=4,"600",AH40=5,"750",AH40&gt;=6,"800"))),(VALUE(_xludf.IFS(AH40=0,"0",AH40=1,"150",AH40=2,"300",AH40=3,"450",AH40=4,"600",AH40=5,"750",AH40=6,"900",AH40&gt;=7,"1,000"))))</f>
        <v>#NAME?</v>
      </c>
      <c r="AJ40" s="210" t="str">
        <f t="shared" si="2"/>
        <v>幸恩</v>
      </c>
      <c r="AK40" s="90"/>
    </row>
    <row r="41" spans="1:37" ht="18" customHeight="1">
      <c r="A41" s="101" t="s">
        <v>174</v>
      </c>
      <c r="B41" s="102" t="s">
        <v>123</v>
      </c>
      <c r="C41" s="101"/>
      <c r="D41" s="13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208">
        <v>0</v>
      </c>
      <c r="AI41" s="209" t="e">
        <f ca="1">IF(A41="O", (VALUE(_xludf.IFS(AH41=0,"0",AH41=1,"150",AH41=2,"300",AH41=3,"450",AH41=4,"600",AH41=5,"750",AH41&gt;=6,"800"))),(VALUE(_xludf.IFS(AH41=0,"0",AH41=1,"150",AH41=2,"300",AH41=3,"450",AH41=4,"600",AH41=5,"750",AH41=6,"900",AH41&gt;=7,"1,000"))))</f>
        <v>#NAME?</v>
      </c>
      <c r="AJ41" s="210" t="str">
        <f t="shared" si="2"/>
        <v>瑤瑤</v>
      </c>
      <c r="AK41" s="89"/>
    </row>
    <row r="42" spans="1:37" ht="18" customHeight="1">
      <c r="A42" s="120" t="s">
        <v>58</v>
      </c>
      <c r="B42" s="121" t="s">
        <v>23</v>
      </c>
      <c r="C42" s="120"/>
      <c r="D42" s="14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211">
        <v>0</v>
      </c>
      <c r="AI42" s="212" t="e">
        <f ca="1">IF(A42="O", (VALUE(_xludf.IFS(AH42=0,"0",AH42=1,"150",AH42=2,"300",AH42=3,"450",AH42=4,"600",AH42=5,"750",AH42&gt;=6,"800"))),(VALUE(_xludf.IFS(AH42=0,"0",AH42=1,"150",AH42=2,"300",AH42=3,"450",AH42=4,"600",AH42=5,"750",AH42=6,"900",AH42&gt;=7,"1,000"))))</f>
        <v>#NAME?</v>
      </c>
      <c r="AJ42" s="213" t="str">
        <f t="shared" si="2"/>
        <v>ㄈㄈ</v>
      </c>
      <c r="AK42" s="73"/>
    </row>
    <row r="43" spans="1:37" ht="18" customHeight="1">
      <c r="A43" s="120" t="s">
        <v>58</v>
      </c>
      <c r="B43" s="121" t="s">
        <v>24</v>
      </c>
      <c r="C43" s="120"/>
      <c r="D43" s="14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211">
        <v>8</v>
      </c>
      <c r="AI43" s="212" t="e">
        <f ca="1">IF(A43="O", (VALUE(_xludf.IFS(AH43=0,"0",AH43=1,"150",AH43=2,"300",AH43=3,"450",AH43=4,"600",AH43=5,"750",AH43&gt;=6,"800"))),(VALUE(_xludf.IFS(AH43=0,"0",AH43=1,"150",AH43=2,"300",AH43=3,"450",AH43=4,"600",AH43=5,"750",AH43=6,"900",AH43&gt;=7,"1,000"))))</f>
        <v>#NAME?</v>
      </c>
      <c r="AJ43" s="213" t="str">
        <f t="shared" si="2"/>
        <v>大熊</v>
      </c>
      <c r="AK43" s="73"/>
    </row>
    <row r="44" spans="1:37" ht="18" customHeight="1">
      <c r="A44" s="120" t="s">
        <v>58</v>
      </c>
      <c r="B44" s="121" t="s">
        <v>64</v>
      </c>
      <c r="C44" s="120"/>
      <c r="D44" s="14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211">
        <v>0</v>
      </c>
      <c r="AI44" s="212" t="e">
        <f ca="1">IF(A44="O", (VALUE(_xludf.IFS(AH44=0,"0",AH44=1,"150",AH44=2,"300",AH44=3,"450",AH44=4,"600",AH44=5,"750",AH44&gt;=6,"800"))),(VALUE(_xludf.IFS(AH44=0,"0",AH44=1,"150",AH44=2,"300",AH44=3,"450",AH44=4,"600",AH44=5,"750",AH44=6,"900",AH44&gt;=7,"1,000"))))</f>
        <v>#NAME?</v>
      </c>
      <c r="AJ44" s="213" t="str">
        <f t="shared" si="2"/>
        <v>園棠</v>
      </c>
      <c r="AK44" s="73"/>
    </row>
    <row r="45" spans="1:37" ht="18" customHeight="1">
      <c r="A45" s="120" t="s">
        <v>9</v>
      </c>
      <c r="B45" s="121" t="s">
        <v>25</v>
      </c>
      <c r="C45" s="120"/>
      <c r="D45" s="14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211">
        <v>11</v>
      </c>
      <c r="AI45" s="212" t="e">
        <f ca="1">IF(A45="O", (VALUE(_xludf.IFS(AH45=0,"0",AH45=1,"150",AH45=2,"300",AH45=3,"450",AH45=4,"600",AH45=5,"750",AH45&gt;=6,"800"))),(VALUE(_xludf.IFS(AH45=0,"0",AH45=1,"150",AH45=2,"300",AH45=3,"450",AH45=4,"600",AH45=5,"750",AH45=6,"900",AH45&gt;=7,"1,000"))))</f>
        <v>#NAME?</v>
      </c>
      <c r="AJ45" s="213" t="str">
        <f t="shared" si="2"/>
        <v>潘潘</v>
      </c>
      <c r="AK45" s="73"/>
    </row>
    <row r="46" spans="1:37" ht="18" customHeight="1">
      <c r="A46" s="120" t="s">
        <v>58</v>
      </c>
      <c r="B46" s="121" t="s">
        <v>63</v>
      </c>
      <c r="C46" s="120"/>
      <c r="D46" s="14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211">
        <v>0</v>
      </c>
      <c r="AI46" s="212" t="e">
        <f ca="1">IF(A46="O", (VALUE(_xludf.IFS(AH46=0,"0",AH46=1,"150",AH46=2,"300",AH46=3,"450",AH46=4,"600",AH46=5,"750",AH46&gt;=6,"800"))),(VALUE(_xludf.IFS(AH46=0,"0",AH46=1,"150",AH46=2,"300",AH46=3,"450",AH46=4,"600",AH46=5,"750",AH46=6,"900",AH46&gt;=7,"1,000"))))</f>
        <v>#NAME?</v>
      </c>
      <c r="AJ46" s="213" t="str">
        <f t="shared" si="2"/>
        <v>芒果</v>
      </c>
      <c r="AK46" s="73"/>
    </row>
    <row r="47" spans="1:37" ht="18" customHeight="1">
      <c r="A47" s="120" t="s">
        <v>58</v>
      </c>
      <c r="B47" s="121" t="s">
        <v>62</v>
      </c>
      <c r="C47" s="120"/>
      <c r="D47" s="14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211">
        <v>0</v>
      </c>
      <c r="AI47" s="212" t="e">
        <f ca="1">IF(A47="O", (VALUE(_xludf.IFS(AH47=0,"0",AH47=1,"150",AH47=2,"300",AH47=3,"450",AH47=4,"600",AH47=5,"750",AH47&gt;=6,"800"))),(VALUE(_xludf.IFS(AH47=0,"0",AH47=1,"150",AH47=2,"300",AH47=3,"450",AH47=4,"600",AH47=5,"750",AH47=6,"900",AH47&gt;=7,"1,000"))))</f>
        <v>#NAME?</v>
      </c>
      <c r="AJ47" s="213" t="str">
        <f t="shared" si="2"/>
        <v>國源</v>
      </c>
      <c r="AK47" s="73"/>
    </row>
    <row r="48" spans="1:37" ht="18" customHeight="1">
      <c r="A48" s="120" t="s">
        <v>9</v>
      </c>
      <c r="B48" s="121" t="s">
        <v>26</v>
      </c>
      <c r="C48" s="120"/>
      <c r="D48" s="14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211">
        <v>11</v>
      </c>
      <c r="AI48" s="212" t="e">
        <f ca="1">IF(A48="O", (VALUE(_xludf.IFS(AH48=0,"0",AH48=1,"150",AH48=2,"300",AH48=3,"450",AH48=4,"600",AH48=5,"750",AH48&gt;=6,"800"))),(VALUE(_xludf.IFS(AH48=0,"0",AH48=1,"150",AH48=2,"300",AH48=3,"450",AH48=4,"600",AH48=5,"750",AH48=6,"900",AH48&gt;=7,"1,000"))))</f>
        <v>#NAME?</v>
      </c>
      <c r="AJ48" s="213" t="str">
        <f t="shared" si="2"/>
        <v>曉強</v>
      </c>
      <c r="AK48" s="73"/>
    </row>
    <row r="49" spans="1:37" ht="18" customHeight="1">
      <c r="A49" s="120" t="s">
        <v>58</v>
      </c>
      <c r="B49" s="121" t="s">
        <v>59</v>
      </c>
      <c r="C49" s="120"/>
      <c r="D49" s="14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211">
        <v>0</v>
      </c>
      <c r="AI49" s="212" t="e">
        <f ca="1">IF(A49="O", (VALUE(_xludf.IFS(AH49=0,"0",AH49=1,"150",AH49=2,"300",AH49=3,"450",AH49=4,"600",AH49=5,"750",AH49&gt;=6,"800"))),(VALUE(_xludf.IFS(AH49=0,"0",AH49=1,"150",AH49=2,"300",AH49=3,"450",AH49=4,"600",AH49=5,"750",AH49=6,"900",AH49&gt;=7,"1,000"))))</f>
        <v>#NAME?</v>
      </c>
      <c r="AJ49" s="213" t="str">
        <f t="shared" si="2"/>
        <v>阿幹</v>
      </c>
      <c r="AK49" s="73"/>
    </row>
    <row r="50" spans="1:37" ht="18" customHeight="1">
      <c r="A50" s="120" t="s">
        <v>9</v>
      </c>
      <c r="B50" s="121" t="s">
        <v>27</v>
      </c>
      <c r="C50" s="120"/>
      <c r="D50" s="14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211">
        <v>0</v>
      </c>
      <c r="AI50" s="212" t="e">
        <f ca="1">IF(A50="O", (VALUE(_xludf.IFS(AH50=0,"0",AH50=1,"150",AH50=2,"300",AH50=3,"450",AH50=4,"600",AH50=5,"750",AH50&gt;=6,"800"))),(VALUE(_xludf.IFS(AH50=0,"0",AH50=1,"150",AH50=2,"300",AH50=3,"450",AH50=4,"600",AH50=5,"750",AH50=6,"900",AH50&gt;=7,"1,000"))))</f>
        <v>#NAME?</v>
      </c>
      <c r="AJ50" s="213" t="str">
        <f t="shared" si="2"/>
        <v>芋圓</v>
      </c>
      <c r="AK50" s="73"/>
    </row>
    <row r="51" spans="1:37" ht="18" customHeight="1">
      <c r="A51" s="120" t="s">
        <v>58</v>
      </c>
      <c r="B51" s="121" t="s">
        <v>28</v>
      </c>
      <c r="C51" s="120"/>
      <c r="D51" s="14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211">
        <v>0</v>
      </c>
      <c r="AI51" s="212" t="e">
        <f ca="1">IF(A51="O", (VALUE(_xludf.IFS(AH51=0,"0",AH51=1,"150",AH51=2,"300",AH51=3,"450",AH51=4,"600",AH51=5,"750",AH51&gt;=6,"800"))),(VALUE(_xludf.IFS(AH51=0,"0",AH51=1,"150",AH51=2,"300",AH51=3,"450",AH51=4,"600",AH51=5,"750",AH51=6,"900",AH51&gt;=7,"1,000"))))</f>
        <v>#NAME?</v>
      </c>
      <c r="AJ51" s="213" t="str">
        <f t="shared" si="2"/>
        <v>克勤</v>
      </c>
      <c r="AK51" s="73"/>
    </row>
    <row r="52" spans="1:37" ht="18" customHeight="1">
      <c r="A52" s="120" t="s">
        <v>58</v>
      </c>
      <c r="B52" s="121" t="s">
        <v>29</v>
      </c>
      <c r="C52" s="120"/>
      <c r="D52" s="14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211">
        <v>0</v>
      </c>
      <c r="AI52" s="212" t="e">
        <f ca="1">IF(A52="O", (VALUE(_xludf.IFS(AH52=0,"0",AH52=1,"150",AH52=2,"300",AH52=3,"450",AH52=4,"600",AH52=5,"750",AH52&gt;=6,"800"))),(VALUE(_xludf.IFS(AH52=0,"0",AH52=1,"150",AH52=2,"300",AH52=3,"450",AH52=4,"600",AH52=5,"750",AH52=6,"900",AH52&gt;=7,"1,000"))))</f>
        <v>#NAME?</v>
      </c>
      <c r="AJ52" s="213" t="str">
        <f t="shared" si="2"/>
        <v>大頭</v>
      </c>
      <c r="AK52" s="73"/>
    </row>
    <row r="53" spans="1:37" ht="18" customHeight="1">
      <c r="A53" s="120" t="s">
        <v>9</v>
      </c>
      <c r="B53" s="121" t="s">
        <v>65</v>
      </c>
      <c r="C53" s="120"/>
      <c r="D53" s="14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211">
        <v>0</v>
      </c>
      <c r="AI53" s="212" t="e">
        <f ca="1">IF(A53="O", (VALUE(_xludf.IFS(AH53=0,"0",AH53=1,"150",AH53=2,"300",AH53=3,"450",AH53=4,"600",AH53=5,"750",AH53&gt;=6,"800"))),(VALUE(_xludf.IFS(AH53=0,"0",AH53=1,"150",AH53=2,"300",AH53=3,"450",AH53=4,"600",AH53=5,"750",AH53=6,"900",AH53&gt;=7,"1,000"))))</f>
        <v>#NAME?</v>
      </c>
      <c r="AJ53" s="213" t="str">
        <f t="shared" si="2"/>
        <v>文淵</v>
      </c>
      <c r="AK53" s="73"/>
    </row>
    <row r="54" spans="1:37" ht="18" customHeight="1">
      <c r="A54" s="120" t="s">
        <v>58</v>
      </c>
      <c r="B54" s="121" t="s">
        <v>72</v>
      </c>
      <c r="C54" s="120"/>
      <c r="D54" s="14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211">
        <v>0</v>
      </c>
      <c r="AI54" s="212" t="e">
        <f ca="1">IF(A54="O", (VALUE(_xludf.IFS(AH54=0,"0",AH54=1,"150",AH54=2,"300",AH54=3,"450",AH54=4,"600",AH54=5,"750",AH54&gt;=6,"800"))),(VALUE(_xludf.IFS(AH54=0,"0",AH54=1,"150",AH54=2,"300",AH54=3,"450",AH54=4,"600",AH54=5,"750",AH54=6,"900",AH54&gt;=7,"1,000"))))</f>
        <v>#NAME?</v>
      </c>
      <c r="AJ54" s="213" t="str">
        <f t="shared" si="2"/>
        <v>八卦</v>
      </c>
      <c r="AK54" s="73"/>
    </row>
    <row r="55" spans="1:37" ht="18" customHeight="1">
      <c r="A55" s="120" t="s">
        <v>58</v>
      </c>
      <c r="B55" s="121" t="s">
        <v>66</v>
      </c>
      <c r="C55" s="120"/>
      <c r="D55" s="14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211">
        <v>0</v>
      </c>
      <c r="AI55" s="212" t="e">
        <f ca="1">IF(A55="O", (VALUE(_xludf.IFS(AH55=0,"0",AH55=1,"150",AH55=2,"300",AH55=3,"450",AH55=4,"600",AH55=5,"750",AH55&gt;=6,"800"))),(VALUE(_xludf.IFS(AH55=0,"0",AH55=1,"150",AH55=2,"300",AH55=3,"450",AH55=4,"600",AH55=5,"750",AH55=6,"900",AH55&gt;=7,"1,000"))))</f>
        <v>#NAME?</v>
      </c>
      <c r="AJ55" s="213" t="str">
        <f t="shared" si="2"/>
        <v>昆佑</v>
      </c>
      <c r="AK55" s="73"/>
    </row>
    <row r="56" spans="1:37" ht="18" customHeight="1">
      <c r="A56" s="120" t="s">
        <v>58</v>
      </c>
      <c r="B56" s="121" t="s">
        <v>68</v>
      </c>
      <c r="C56" s="120"/>
      <c r="D56" s="14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211">
        <v>0</v>
      </c>
      <c r="AI56" s="212" t="e">
        <f ca="1">IF(A56="O", (VALUE(_xludf.IFS(AH56=0,"0",AH56=1,"150",AH56=2,"300",AH56=3,"450",AH56=4,"600",AH56=5,"750",AH56&gt;=6,"800"))),(VALUE(_xludf.IFS(AH56=0,"0",AH56=1,"150",AH56=2,"300",AH56=3,"450",AH56=4,"600",AH56=5,"750",AH56=6,"900",AH56&gt;=7,"1,000"))))</f>
        <v>#NAME?</v>
      </c>
      <c r="AJ56" s="213" t="str">
        <f t="shared" si="2"/>
        <v>兔子</v>
      </c>
      <c r="AK56" s="73"/>
    </row>
    <row r="57" spans="1:37" ht="18" customHeight="1">
      <c r="A57" s="120" t="s">
        <v>58</v>
      </c>
      <c r="B57" s="121" t="s">
        <v>69</v>
      </c>
      <c r="C57" s="120"/>
      <c r="D57" s="14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211">
        <v>0</v>
      </c>
      <c r="AI57" s="212" t="e">
        <f ca="1">IF(A57="O", (VALUE(_xludf.IFS(AH57=0,"0",AH57=1,"150",AH57=2,"300",AH57=3,"450",AH57=4,"600",AH57=5,"750",AH57&gt;=6,"800"))),(VALUE(_xludf.IFS(AH57=0,"0",AH57=1,"150",AH57=2,"300",AH57=3,"450",AH57=4,"600",AH57=5,"750",AH57=6,"900",AH57&gt;=7,"1,000"))))</f>
        <v>#NAME?</v>
      </c>
      <c r="AJ57" s="213" t="str">
        <f t="shared" si="2"/>
        <v>小馬</v>
      </c>
      <c r="AK57" s="73"/>
    </row>
    <row r="58" spans="1:37" ht="18" customHeight="1">
      <c r="A58" s="120" t="s">
        <v>58</v>
      </c>
      <c r="B58" s="121" t="s">
        <v>70</v>
      </c>
      <c r="C58" s="120"/>
      <c r="D58" s="14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211">
        <v>6</v>
      </c>
      <c r="AI58" s="212" t="e">
        <f ca="1">IF(A58="O", (VALUE(_xludf.IFS(AH58=0,"0",AH58=1,"150",AH58=2,"300",AH58=3,"450",AH58=4,"600",AH58=5,"750",AH58&gt;=6,"800"))),(VALUE(_xludf.IFS(AH58=0,"0",AH58=1,"150",AH58=2,"300",AH58=3,"450",AH58=4,"600",AH58=5,"750",AH58=6,"900",AH58&gt;=7,"1,000"))))</f>
        <v>#NAME?</v>
      </c>
      <c r="AJ58" s="213" t="str">
        <f t="shared" si="2"/>
        <v>Allen</v>
      </c>
      <c r="AK58" s="73"/>
    </row>
    <row r="59" spans="1:37" ht="18" customHeight="1">
      <c r="A59" s="120" t="s">
        <v>58</v>
      </c>
      <c r="B59" s="121" t="s">
        <v>71</v>
      </c>
      <c r="C59" s="120"/>
      <c r="D59" s="14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211">
        <v>0</v>
      </c>
      <c r="AI59" s="212" t="e">
        <f ca="1">IF(A59="O", (VALUE(_xludf.IFS(AH59=0,"0",AH59=1,"150",AH59=2,"300",AH59=3,"450",AH59=4,"600",AH59=5,"750",AH59&gt;=6,"800"))),(VALUE(_xludf.IFS(AH59=0,"0",AH59=1,"150",AH59=2,"300",AH59=3,"450",AH59=4,"600",AH59=5,"750",AH59=6,"900",AH59&gt;=7,"1,000"))))</f>
        <v>#NAME?</v>
      </c>
      <c r="AJ59" s="213" t="str">
        <f t="shared" si="2"/>
        <v>嘴嘴</v>
      </c>
      <c r="AK59" s="73"/>
    </row>
    <row r="60" spans="1:37" ht="18" customHeight="1">
      <c r="A60" s="120" t="s">
        <v>58</v>
      </c>
      <c r="B60" s="121" t="s">
        <v>74</v>
      </c>
      <c r="C60" s="120"/>
      <c r="D60" s="14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211">
        <v>0</v>
      </c>
      <c r="AI60" s="212" t="e">
        <f ca="1">IF(A60="O", (VALUE(_xludf.IFS(AH60=0,"0",AH60=1,"150",AH60=2,"300",AH60=3,"450",AH60=4,"600",AH60=5,"750",AH60&gt;=6,"800"))),(VALUE(_xludf.IFS(AH60=0,"0",AH60=1,"150",AH60=2,"300",AH60=3,"450",AH60=4,"600",AH60=5,"750",AH60=6,"900",AH60&gt;=7,"1,000"))))</f>
        <v>#NAME?</v>
      </c>
      <c r="AJ60" s="213" t="str">
        <f t="shared" si="2"/>
        <v>蘆葦</v>
      </c>
      <c r="AK60" s="73"/>
    </row>
    <row r="61" spans="1:37" ht="18" customHeight="1">
      <c r="A61" s="120" t="s">
        <v>58</v>
      </c>
      <c r="B61" s="121" t="s">
        <v>30</v>
      </c>
      <c r="C61" s="120"/>
      <c r="D61" s="14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211">
        <v>0</v>
      </c>
      <c r="AI61" s="212" t="e">
        <f ca="1">IF(A61="O", (VALUE(_xludf.IFS(AH61=0,"0",AH61=1,"150",AH61=2,"300",AH61=3,"450",AH61=4,"600",AH61=5,"750",AH61&gt;=6,"800"))),(VALUE(_xludf.IFS(AH61=0,"0",AH61=1,"150",AH61=2,"300",AH61=3,"450",AH61=4,"600",AH61=5,"750",AH61=6,"900",AH61&gt;=7,"1,000"))))</f>
        <v>#NAME?</v>
      </c>
      <c r="AJ61" s="213" t="str">
        <f t="shared" si="2"/>
        <v>鯰魚</v>
      </c>
      <c r="AK61" s="73"/>
    </row>
    <row r="62" spans="1:37" ht="18" customHeight="1">
      <c r="A62" s="120" t="s">
        <v>58</v>
      </c>
      <c r="B62" s="121" t="s">
        <v>31</v>
      </c>
      <c r="C62" s="120"/>
      <c r="D62" s="14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211">
        <v>0</v>
      </c>
      <c r="AI62" s="212" t="e">
        <f ca="1">IF(A62="O", (VALUE(_xludf.IFS(AH62=0,"0",AH62=1,"150",AH62=2,"300",AH62=3,"450",AH62=4,"600",AH62=5,"750",AH62&gt;=6,"800"))),(VALUE(_xludf.IFS(AH62=0,"0",AH62=1,"150",AH62=2,"300",AH62=3,"450",AH62=4,"600",AH62=5,"750",AH62=6,"900",AH62&gt;=7,"1,000"))))</f>
        <v>#NAME?</v>
      </c>
      <c r="AJ62" s="213" t="str">
        <f t="shared" si="2"/>
        <v>阿美</v>
      </c>
      <c r="AK62" s="73"/>
    </row>
    <row r="63" spans="1:37" ht="18" customHeight="1">
      <c r="A63" s="120" t="s">
        <v>58</v>
      </c>
      <c r="B63" s="121" t="s">
        <v>73</v>
      </c>
      <c r="C63" s="120"/>
      <c r="D63" s="14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211">
        <v>0</v>
      </c>
      <c r="AI63" s="212" t="e">
        <f ca="1">IF(A63="O", (VALUE(_xludf.IFS(AH63=0,"0",AH63=1,"150",AH63=2,"300",AH63=3,"450",AH63=4,"600",AH63=5,"750",AH63&gt;=6,"800"))),(VALUE(_xludf.IFS(AH63=0,"0",AH63=1,"150",AH63=2,"300",AH63=3,"450",AH63=4,"600",AH63=5,"750",AH63=6,"900",AH63&gt;=7,"1,000"))))</f>
        <v>#NAME?</v>
      </c>
      <c r="AJ63" s="213" t="str">
        <f t="shared" si="2"/>
        <v>冠軍</v>
      </c>
      <c r="AK63" s="73"/>
    </row>
    <row r="64" spans="1:37" ht="18" customHeight="1">
      <c r="A64" s="120" t="s">
        <v>9</v>
      </c>
      <c r="B64" s="121" t="s">
        <v>198</v>
      </c>
      <c r="C64" s="120"/>
      <c r="D64" s="14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211">
        <v>0</v>
      </c>
      <c r="AI64" s="212" t="e">
        <f ca="1">IF(A64="O", (VALUE(_xludf.IFS(AH64=0,"0",AH64=1,"150",AH64=2,"300",AH64=3,"450",AH64=4,"600",AH64=5,"750",AH64&gt;=6,"800"))),(VALUE(_xludf.IFS(AH64=0,"0",AH64=1,"150",AH64=2,"300",AH64=3,"450",AH64=4,"600",AH64=5,"750",AH64=6,"900",AH64&gt;=7,"1,000"))))</f>
        <v>#NAME?</v>
      </c>
      <c r="AJ64" s="213" t="str">
        <f t="shared" si="2"/>
        <v>郁翔</v>
      </c>
      <c r="AK64" s="73"/>
    </row>
    <row r="65" spans="1:37" ht="18" customHeight="1">
      <c r="A65" s="120" t="s">
        <v>58</v>
      </c>
      <c r="B65" s="121" t="s">
        <v>67</v>
      </c>
      <c r="C65" s="120"/>
      <c r="D65" s="14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211">
        <v>0</v>
      </c>
      <c r="AI65" s="212" t="e">
        <f ca="1">IF(A65="O", (VALUE(_xludf.IFS(AH65=0,"0",AH65=1,"150",AH65=2,"300",AH65=3,"450",AH65=4,"600",AH65=5,"750",AH65&gt;=6,"800"))),(VALUE(_xludf.IFS(AH65=0,"0",AH65=1,"150",AH65=2,"300",AH65=3,"450",AH65=4,"600",AH65=5,"750",AH65=6,"900",AH65&gt;=7,"1,000"))))</f>
        <v>#NAME?</v>
      </c>
      <c r="AJ65" s="213" t="str">
        <f t="shared" si="2"/>
        <v>歐吉</v>
      </c>
      <c r="AK65" s="73"/>
    </row>
    <row r="66" spans="1:37" ht="18" customHeight="1">
      <c r="A66" s="120" t="s">
        <v>58</v>
      </c>
      <c r="B66" s="121" t="s">
        <v>75</v>
      </c>
      <c r="C66" s="120"/>
      <c r="D66" s="14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211">
        <v>0</v>
      </c>
      <c r="AI66" s="212" t="e">
        <f ca="1">IF(A66="O", (VALUE(_xludf.IFS(AH66=0,"0",AH66=1,"150",AH66=2,"300",AH66=3,"450",AH66=4,"600",AH66=5,"750",AH66&gt;=6,"800"))),(VALUE(_xludf.IFS(AH66=0,"0",AH66=1,"150",AH66=2,"300",AH66=3,"450",AH66=4,"600",AH66=5,"750",AH66=6,"900",AH66&gt;=7,"1,000"))))</f>
        <v>#NAME?</v>
      </c>
      <c r="AJ66" s="213" t="str">
        <f t="shared" si="2"/>
        <v>叮噹</v>
      </c>
      <c r="AK66" s="73"/>
    </row>
    <row r="67" spans="1:37" ht="18" customHeight="1">
      <c r="A67" s="120" t="s">
        <v>58</v>
      </c>
      <c r="B67" s="121" t="s">
        <v>76</v>
      </c>
      <c r="C67" s="120"/>
      <c r="D67" s="14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211">
        <v>0</v>
      </c>
      <c r="AI67" s="212" t="e">
        <f ca="1">IF(A67="O", (VALUE(_xludf.IFS(AH67=0,"0",AH67=1,"150",AH67=2,"300",AH67=3,"450",AH67=4,"600",AH67=5,"750",AH67&gt;=6,"800"))),(VALUE(_xludf.IFS(AH67=0,"0",AH67=1,"150",AH67=2,"300",AH67=3,"450",AH67=4,"600",AH67=5,"750",AH67=6,"900",AH67&gt;=7,"1,000"))))</f>
        <v>#NAME?</v>
      </c>
      <c r="AJ67" s="213" t="str">
        <f t="shared" si="2"/>
        <v>肥肥</v>
      </c>
      <c r="AK67" s="73"/>
    </row>
    <row r="68" spans="1:37" ht="18" customHeight="1">
      <c r="A68" s="120" t="s">
        <v>58</v>
      </c>
      <c r="B68" s="121" t="s">
        <v>77</v>
      </c>
      <c r="C68" s="120"/>
      <c r="D68" s="14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211">
        <v>0</v>
      </c>
      <c r="AI68" s="212" t="e">
        <f ca="1">IF(A68="O", (VALUE(_xludf.IFS(AH68=0,"0",AH68=1,"150",AH68=2,"300",AH68=3,"450",AH68=4,"600",AH68=5,"750",AH68&gt;=6,"800"))),(VALUE(_xludf.IFS(AH68=0,"0",AH68=1,"150",AH68=2,"300",AH68=3,"450",AH68=4,"600",AH68=5,"750",AH68=6,"900",AH68&gt;=7,"1,000"))))</f>
        <v>#NAME?</v>
      </c>
      <c r="AJ68" s="213" t="str">
        <f t="shared" ref="AJ68:AJ87" si="3">B68</f>
        <v>小夫</v>
      </c>
      <c r="AK68" s="73"/>
    </row>
    <row r="69" spans="1:37" ht="18" customHeight="1">
      <c r="A69" s="120" t="s">
        <v>58</v>
      </c>
      <c r="B69" s="121" t="s">
        <v>78</v>
      </c>
      <c r="C69" s="120"/>
      <c r="D69" s="14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211">
        <v>0</v>
      </c>
      <c r="AI69" s="212" t="e">
        <f ca="1">IF(A69="O", (VALUE(_xludf.IFS(AH69=0,"0",AH69=1,"150",AH69=2,"300",AH69=3,"450",AH69=4,"600",AH69=5,"750",AH69&gt;=6,"800"))),(VALUE(_xludf.IFS(AH69=0,"0",AH69=1,"150",AH69=2,"300",AH69=3,"450",AH69=4,"600",AH69=5,"750",AH69=6,"900",AH69&gt;=7,"1,000"))))</f>
        <v>#NAME?</v>
      </c>
      <c r="AJ69" s="213" t="str">
        <f t="shared" si="3"/>
        <v>小邱</v>
      </c>
      <c r="AK69" s="73"/>
    </row>
    <row r="70" spans="1:37" ht="18" customHeight="1">
      <c r="A70" s="120" t="s">
        <v>58</v>
      </c>
      <c r="B70" s="121" t="s">
        <v>79</v>
      </c>
      <c r="C70" s="120"/>
      <c r="D70" s="14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211">
        <v>0</v>
      </c>
      <c r="AI70" s="212" t="e">
        <f ca="1">IF(A70="O", (VALUE(_xludf.IFS(AH70=0,"0",AH70=1,"150",AH70=2,"300",AH70=3,"450",AH70=4,"600",AH70=5,"750",AH70&gt;=6,"800"))),(VALUE(_xludf.IFS(AH70=0,"0",AH70=1,"150",AH70=2,"300",AH70=3,"450",AH70=4,"600",AH70=5,"750",AH70=6,"900",AH70&gt;=7,"1,000"))))</f>
        <v>#NAME?</v>
      </c>
      <c r="AJ70" s="213" t="str">
        <f t="shared" si="3"/>
        <v>淳淳</v>
      </c>
      <c r="AK70" s="73"/>
    </row>
    <row r="71" spans="1:37" ht="18" customHeight="1">
      <c r="A71" s="120" t="s">
        <v>58</v>
      </c>
      <c r="B71" s="121" t="s">
        <v>80</v>
      </c>
      <c r="C71" s="120"/>
      <c r="D71" s="14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211">
        <v>0</v>
      </c>
      <c r="AI71" s="212" t="e">
        <f ca="1">IF(A71="O", (VALUE(_xludf.IFS(AH71=0,"0",AH71=1,"150",AH71=2,"300",AH71=3,"450",AH71=4,"600",AH71=5,"750",AH71&gt;=6,"800"))),(VALUE(_xludf.IFS(AH71=0,"0",AH71=1,"150",AH71=2,"300",AH71=3,"450",AH71=4,"600",AH71=5,"750",AH71=6,"900",AH71&gt;=7,"1,000"))))</f>
        <v>#NAME?</v>
      </c>
      <c r="AJ71" s="213" t="str">
        <f t="shared" si="3"/>
        <v>禿鷹</v>
      </c>
      <c r="AK71" s="73"/>
    </row>
    <row r="72" spans="1:37" ht="18" customHeight="1">
      <c r="A72" s="120" t="s">
        <v>58</v>
      </c>
      <c r="B72" s="121" t="s">
        <v>81</v>
      </c>
      <c r="C72" s="120"/>
      <c r="D72" s="14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211">
        <v>0</v>
      </c>
      <c r="AI72" s="212" t="e">
        <f ca="1">IF(A72="O", (VALUE(_xludf.IFS(AH72=0,"0",AH72=1,"150",AH72=2,"300",AH72=3,"450",AH72=4,"600",AH72=5,"750",AH72&gt;=6,"800"))),(VALUE(_xludf.IFS(AH72=0,"0",AH72=1,"150",AH72=2,"300",AH72=3,"450",AH72=4,"600",AH72=5,"750",AH72=6,"900",AH72&gt;=7,"1,000"))))</f>
        <v>#NAME?</v>
      </c>
      <c r="AJ72" s="213" t="str">
        <f t="shared" si="3"/>
        <v>王宏</v>
      </c>
      <c r="AK72" s="73"/>
    </row>
    <row r="73" spans="1:37" ht="18" customHeight="1">
      <c r="A73" s="120" t="s">
        <v>58</v>
      </c>
      <c r="B73" s="121" t="s">
        <v>82</v>
      </c>
      <c r="C73" s="120"/>
      <c r="D73" s="14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211">
        <v>0</v>
      </c>
      <c r="AI73" s="212" t="e">
        <f ca="1">IF(A73="O", (VALUE(_xludf.IFS(AH73=0,"0",AH73=1,"150",AH73=2,"300",AH73=3,"450",AH73=4,"600",AH73=5,"750",AH73&gt;=6,"800"))),(VALUE(_xludf.IFS(AH73=0,"0",AH73=1,"150",AH73=2,"300",AH73=3,"450",AH73=4,"600",AH73=5,"750",AH73=6,"900",AH73&gt;=7,"1,000"))))</f>
        <v>#NAME?</v>
      </c>
      <c r="AJ73" s="213" t="str">
        <f t="shared" si="3"/>
        <v>犀牛</v>
      </c>
      <c r="AK73" s="73"/>
    </row>
    <row r="74" spans="1:37" ht="18" customHeight="1">
      <c r="A74" s="120" t="s">
        <v>58</v>
      </c>
      <c r="B74" s="121" t="s">
        <v>83</v>
      </c>
      <c r="C74" s="120"/>
      <c r="D74" s="14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211">
        <v>0</v>
      </c>
      <c r="AI74" s="212" t="e">
        <f ca="1">IF(A74="O", (VALUE(_xludf.IFS(AH74=0,"0",AH74=1,"150",AH74=2,"300",AH74=3,"450",AH74=4,"600",AH74=5,"750",AH74&gt;=6,"800"))),(VALUE(_xludf.IFS(AH74=0,"0",AH74=1,"150",AH74=2,"300",AH74=3,"450",AH74=4,"600",AH74=5,"750",AH74=6,"900",AH74&gt;=7,"1,000"))))</f>
        <v>#NAME?</v>
      </c>
      <c r="AJ74" s="213" t="str">
        <f t="shared" si="3"/>
        <v>來福</v>
      </c>
      <c r="AK74" s="73"/>
    </row>
    <row r="75" spans="1:37" ht="18" customHeight="1">
      <c r="A75" s="120" t="s">
        <v>58</v>
      </c>
      <c r="B75" s="121" t="s">
        <v>84</v>
      </c>
      <c r="C75" s="120"/>
      <c r="D75" s="14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211">
        <v>0</v>
      </c>
      <c r="AI75" s="212" t="e">
        <f ca="1">IF(A75="O", (VALUE(_xludf.IFS(AH75=0,"0",AH75=1,"150",AH75=2,"300",AH75=3,"450",AH75=4,"600",AH75=5,"750",AH75&gt;=6,"800"))),(VALUE(_xludf.IFS(AH75=0,"0",AH75=1,"150",AH75=2,"300",AH75=3,"450",AH75=4,"600",AH75=5,"750",AH75=6,"900",AH75&gt;=7,"1,000"))))</f>
        <v>#NAME?</v>
      </c>
      <c r="AJ75" s="213" t="str">
        <f t="shared" si="3"/>
        <v>誌誌</v>
      </c>
      <c r="AK75" s="73"/>
    </row>
    <row r="76" spans="1:37" ht="18" customHeight="1">
      <c r="A76" s="120" t="s">
        <v>58</v>
      </c>
      <c r="B76" s="121" t="s">
        <v>86</v>
      </c>
      <c r="C76" s="120"/>
      <c r="D76" s="14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211">
        <v>0</v>
      </c>
      <c r="AI76" s="212" t="e">
        <f ca="1">IF(A76="O", (VALUE(_xludf.IFS(AH76=0,"0",AH76=1,"150",AH76=2,"300",AH76=3,"450",AH76=4,"600",AH76=5,"750",AH76&gt;=6,"800"))),(VALUE(_xludf.IFS(AH76=0,"0",AH76=1,"150",AH76=2,"300",AH76=3,"450",AH76=4,"600",AH76=5,"750",AH76=6,"900",AH76&gt;=7,"1,000"))))</f>
        <v>#NAME?</v>
      </c>
      <c r="AJ76" s="213" t="str">
        <f t="shared" si="3"/>
        <v>正誼</v>
      </c>
      <c r="AK76" s="73"/>
    </row>
    <row r="77" spans="1:37" ht="18" customHeight="1">
      <c r="A77" s="120" t="s">
        <v>58</v>
      </c>
      <c r="B77" s="121" t="s">
        <v>32</v>
      </c>
      <c r="C77" s="120"/>
      <c r="D77" s="14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211">
        <v>0</v>
      </c>
      <c r="AI77" s="212" t="e">
        <f ca="1">IF(A77="O", (VALUE(_xludf.IFS(AH77=0,"0",AH77=1,"150",AH77=2,"300",AH77=3,"450",AH77=4,"600",AH77=5,"750",AH77&gt;=6,"800"))),(VALUE(_xludf.IFS(AH77=0,"0",AH77=1,"150",AH77=2,"300",AH77=3,"450",AH77=4,"600",AH77=5,"750",AH77=6,"900",AH77&gt;=7,"1,000"))))</f>
        <v>#NAME?</v>
      </c>
      <c r="AJ77" s="213" t="str">
        <f t="shared" si="3"/>
        <v>小翔</v>
      </c>
      <c r="AK77" s="73"/>
    </row>
    <row r="78" spans="1:37" ht="18" customHeight="1">
      <c r="A78" s="120" t="s">
        <v>58</v>
      </c>
      <c r="B78" s="121" t="s">
        <v>179</v>
      </c>
      <c r="C78" s="120"/>
      <c r="D78" s="14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211">
        <v>0</v>
      </c>
      <c r="AI78" s="212" t="e">
        <f ca="1">IF(A78="O", (VALUE(_xludf.IFS(AH78=0,"0",AH78=1,"150",AH78=2,"300",AH78=3,"450",AH78=4,"600",AH78=5,"750",AH78&gt;=6,"800"))),(VALUE(_xludf.IFS(AH78=0,"0",AH78=1,"150",AH78=2,"300",AH78=3,"450",AH78=4,"600",AH78=5,"750",AH78=6,"900",AH78&gt;=7,"1,000"))))</f>
        <v>#NAME?</v>
      </c>
      <c r="AJ78" s="213" t="str">
        <f t="shared" si="3"/>
        <v>玹玹</v>
      </c>
      <c r="AK78" s="73"/>
    </row>
    <row r="79" spans="1:37" ht="18" customHeight="1">
      <c r="A79" s="120" t="s">
        <v>58</v>
      </c>
      <c r="B79" s="121" t="s">
        <v>85</v>
      </c>
      <c r="C79" s="120"/>
      <c r="D79" s="14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211">
        <v>0</v>
      </c>
      <c r="AI79" s="212" t="e">
        <f ca="1">IF(A79="O", (VALUE(_xludf.IFS(AH79=0,"0",AH79=1,"150",AH79=2,"300",AH79=3,"450",AH79=4,"600",AH79=5,"750",AH79&gt;=6,"800"))),(VALUE(_xludf.IFS(AH79=0,"0",AH79=1,"150",AH79=2,"300",AH79=3,"450",AH79=4,"600",AH79=5,"750",AH79=6,"900",AH79&gt;=7,"1,000"))))</f>
        <v>#NAME?</v>
      </c>
      <c r="AJ79" s="213" t="str">
        <f t="shared" si="3"/>
        <v>阿璽</v>
      </c>
      <c r="AK79" s="73"/>
    </row>
    <row r="80" spans="1:37" ht="18" customHeight="1">
      <c r="A80" s="120" t="s">
        <v>58</v>
      </c>
      <c r="B80" s="121" t="s">
        <v>33</v>
      </c>
      <c r="C80" s="120"/>
      <c r="D80" s="14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211">
        <v>0</v>
      </c>
      <c r="AI80" s="212" t="e">
        <f ca="1">IF(A80="O", (VALUE(_xludf.IFS(AH80=0,"0",AH80=1,"150",AH80=2,"300",AH80=3,"450",AH80=4,"600",AH80=5,"750",AH80&gt;=6,"800"))),(VALUE(_xludf.IFS(AH80=0,"0",AH80=1,"150",AH80=2,"300",AH80=3,"450",AH80=4,"600",AH80=5,"750",AH80=6,"900",AH80&gt;=7,"1,000"))))</f>
        <v>#NAME?</v>
      </c>
      <c r="AJ80" s="213" t="str">
        <f t="shared" si="3"/>
        <v>一飛</v>
      </c>
      <c r="AK80" s="73"/>
    </row>
    <row r="81" spans="1:37" ht="18" customHeight="1">
      <c r="A81" s="120" t="s">
        <v>58</v>
      </c>
      <c r="B81" s="121" t="s">
        <v>34</v>
      </c>
      <c r="C81" s="120"/>
      <c r="D81" s="14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211">
        <v>11</v>
      </c>
      <c r="AI81" s="212" t="e">
        <f ca="1">IF(A81="O", (VALUE(_xludf.IFS(AH81=0,"0",AH81=1,"150",AH81=2,"300",AH81=3,"450",AH81=4,"600",AH81=5,"750",AH81&gt;=6,"800"))),(VALUE(_xludf.IFS(AH81=0,"0",AH81=1,"150",AH81=2,"300",AH81=3,"450",AH81=4,"600",AH81=5,"750",AH81=6,"900",AH81&gt;=7,"1,000"))))</f>
        <v>#NAME?</v>
      </c>
      <c r="AJ81" s="213" t="str">
        <f t="shared" si="3"/>
        <v>雲翔</v>
      </c>
      <c r="AK81" s="70"/>
    </row>
    <row r="82" spans="1:37" ht="18" customHeight="1">
      <c r="A82" s="120" t="s">
        <v>58</v>
      </c>
      <c r="B82" s="121" t="s">
        <v>88</v>
      </c>
      <c r="C82" s="120"/>
      <c r="D82" s="14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211">
        <v>0</v>
      </c>
      <c r="AI82" s="212" t="e">
        <f ca="1">IF(A82="O", (VALUE(_xludf.IFS(AH82=0,"0",AH82=1,"150",AH82=2,"300",AH82=3,"450",AH82=4,"600",AH82=5,"750",AH82&gt;=6,"800"))),(VALUE(_xludf.IFS(AH82=0,"0",AH82=1,"150",AH82=2,"300",AH82=3,"450",AH82=4,"600",AH82=5,"750",AH82=6,"900",AH82&gt;=7,"1,000"))))</f>
        <v>#NAME?</v>
      </c>
      <c r="AJ82" s="213" t="str">
        <f t="shared" si="3"/>
        <v>皓皓</v>
      </c>
      <c r="AK82" s="70"/>
    </row>
    <row r="83" spans="1:37" ht="18" customHeight="1">
      <c r="A83" s="120" t="s">
        <v>58</v>
      </c>
      <c r="B83" s="121" t="s">
        <v>35</v>
      </c>
      <c r="C83" s="120"/>
      <c r="D83" s="14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211">
        <v>0</v>
      </c>
      <c r="AI83" s="212" t="e">
        <f ca="1">IF(A83="O", (VALUE(_xludf.IFS(AH83=0,"0",AH83=1,"150",AH83=2,"300",AH83=3,"450",AH83=4,"600",AH83=5,"750",AH83&gt;=6,"800"))),(VALUE(_xludf.IFS(AH83=0,"0",AH83=1,"150",AH83=2,"300",AH83=3,"450",AH83=4,"600",AH83=5,"750",AH83=6,"900",AH83&gt;=7,"1,000"))))</f>
        <v>#NAME?</v>
      </c>
      <c r="AJ83" s="213" t="str">
        <f t="shared" si="3"/>
        <v>阿戴</v>
      </c>
      <c r="AK83" s="70"/>
    </row>
    <row r="84" spans="1:37" ht="18" customHeight="1">
      <c r="A84" s="120" t="s">
        <v>9</v>
      </c>
      <c r="B84" s="121" t="s">
        <v>36</v>
      </c>
      <c r="C84" s="120"/>
      <c r="D84" s="14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211">
        <v>0</v>
      </c>
      <c r="AI84" s="212" t="e">
        <f ca="1">IF(A84="O", (VALUE(_xludf.IFS(AH84=0,"0",AH84=1,"150",AH84=2,"300",AH84=3,"450",AH84=4,"600",AH84=5,"750",AH84&gt;=6,"800"))),(VALUE(_xludf.IFS(AH84=0,"0",AH84=1,"150",AH84=2,"300",AH84=3,"450",AH84=4,"600",AH84=5,"750",AH84=6,"900",AH84&gt;=7,"1,000"))))</f>
        <v>#NAME?</v>
      </c>
      <c r="AJ84" s="213" t="str">
        <f t="shared" si="3"/>
        <v>子澔</v>
      </c>
      <c r="AK84" s="70"/>
    </row>
    <row r="85" spans="1:37" ht="18" customHeight="1">
      <c r="A85" s="120" t="s">
        <v>58</v>
      </c>
      <c r="B85" s="121" t="s">
        <v>37</v>
      </c>
      <c r="C85" s="120"/>
      <c r="D85" s="14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211">
        <v>1</v>
      </c>
      <c r="AI85" s="212" t="e">
        <f ca="1">IF(A85="O", (VALUE(_xludf.IFS(AH85=0,"0",AH85=1,"150",AH85=2,"300",AH85=3,"450",AH85=4,"600",AH85=5,"750",AH85&gt;=6,"800"))),(VALUE(_xludf.IFS(AH85=0,"0",AH85=1,"150",AH85=2,"300",AH85=3,"450",AH85=4,"600",AH85=5,"750",AH85=6,"900",AH85&gt;=7,"1,000"))))</f>
        <v>#NAME?</v>
      </c>
      <c r="AJ85" s="213" t="str">
        <f t="shared" si="3"/>
        <v>魚仔</v>
      </c>
      <c r="AK85" s="70"/>
    </row>
    <row r="86" spans="1:37" ht="18" customHeight="1">
      <c r="A86" s="120" t="s">
        <v>58</v>
      </c>
      <c r="B86" s="121" t="s">
        <v>87</v>
      </c>
      <c r="C86" s="120"/>
      <c r="D86" s="14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211">
        <v>0</v>
      </c>
      <c r="AI86" s="212" t="e">
        <f ca="1">IF(A86="O", (VALUE(_xludf.IFS(AH86=0,"0",AH86=1,"150",AH86=2,"300",AH86=3,"450",AH86=4,"600",AH86=5,"750",AH86&gt;=6,"800"))),(VALUE(_xludf.IFS(AH86=0,"0",AH86=1,"150",AH86=2,"300",AH86=3,"450",AH86=4,"600",AH86=5,"750",AH86=6,"900",AH86&gt;=7,"1,000"))))</f>
        <v>#NAME?</v>
      </c>
      <c r="AJ86" s="213" t="str">
        <f t="shared" si="3"/>
        <v>Mango</v>
      </c>
      <c r="AK86" s="70"/>
    </row>
    <row r="87" spans="1:37" ht="18" customHeight="1">
      <c r="A87" s="120" t="s">
        <v>58</v>
      </c>
      <c r="B87" s="121" t="s">
        <v>38</v>
      </c>
      <c r="C87" s="120"/>
      <c r="D87" s="14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211">
        <v>0</v>
      </c>
      <c r="AI87" s="212" t="e">
        <f ca="1">IF(A87="O", (VALUE(_xludf.IFS(AH87=0,"0",AH87=1,"150",AH87=2,"300",AH87=3,"450",AH87=4,"600",AH87=5,"750",AH87&gt;=6,"800"))),(VALUE(_xludf.IFS(AH87=0,"0",AH87=1,"150",AH87=2,"300",AH87=3,"450",AH87=4,"600",AH87=5,"750",AH87=6,"900",AH87&gt;=7,"1,000"))))</f>
        <v>#NAME?</v>
      </c>
      <c r="AJ87" s="213" t="str">
        <f t="shared" si="3"/>
        <v>阿龍</v>
      </c>
      <c r="AK87" s="70"/>
    </row>
    <row r="88" spans="1:37" ht="18" customHeight="1">
      <c r="A88" s="120" t="s">
        <v>58</v>
      </c>
      <c r="B88" s="121" t="s">
        <v>39</v>
      </c>
      <c r="C88" s="120"/>
      <c r="D88" s="14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211">
        <v>0</v>
      </c>
      <c r="AI88" s="212" t="e">
        <f ca="1">IF(A88="O", (VALUE(_xludf.IFS(AH88=0,"0",AH88=1,"150",AH88=2,"300",AH88=3,"450",AH88=4,"600",AH88=5,"750",AH88&gt;=6,"800"))),(VALUE(_xludf.IFS(AH88=0,"0",AH88=1,"150",AH88=2,"300",AH88=3,"450",AH88=4,"600",AH88=5,"750",AH88=6,"900",AH88&gt;=7,"1,000"))))</f>
        <v>#NAME?</v>
      </c>
      <c r="AJ88" s="213" t="s">
        <v>39</v>
      </c>
      <c r="AK88" s="70"/>
    </row>
    <row r="89" spans="1:37" ht="18" customHeight="1">
      <c r="A89" s="120" t="s">
        <v>58</v>
      </c>
      <c r="B89" s="121" t="s">
        <v>40</v>
      </c>
      <c r="C89" s="120"/>
      <c r="D89" s="14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211">
        <v>0</v>
      </c>
      <c r="AI89" s="212" t="e">
        <f ca="1">IF(A89="O", (VALUE(_xludf.IFS(AH89=0,"0",AH89=1,"150",AH89=2,"300",AH89=3,"450",AH89=4,"600",AH89=5,"750",AH89&gt;=6,"800"))),(VALUE(_xludf.IFS(AH89=0,"0",AH89=1,"150",AH89=2,"300",AH89=3,"450",AH89=4,"600",AH89=5,"750",AH89=6,"900",AH89&gt;=7,"1,000"))))</f>
        <v>#NAME?</v>
      </c>
      <c r="AJ89" s="213" t="s">
        <v>40</v>
      </c>
      <c r="AK89" s="70"/>
    </row>
    <row r="90" spans="1:37" ht="18" customHeight="1">
      <c r="A90" s="99" t="s">
        <v>58</v>
      </c>
      <c r="B90" s="100" t="s">
        <v>151</v>
      </c>
      <c r="C90" s="99"/>
      <c r="D90" s="132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205">
        <v>0</v>
      </c>
      <c r="AI90" s="214" t="e">
        <f ca="1">IF(A90="O", (VALUE(_xludf.IFS(AH90=0,"0",AH90=1,"150",AH90=2,"300",AH90=3,"450",AH90=4,"600",AH90=5,"750",AH90&gt;=6,"800"))),(VALUE(_xludf.IFS(AH90=0,"0",AH90=1,"150",AH90=2,"300",AH90=3,"450",AH90=4,"600",AH90=5,"750",AH90=6,"900",AH90&gt;=7,"1,000"))))</f>
        <v>#NAME?</v>
      </c>
      <c r="AJ90" s="207" t="str">
        <f t="shared" ref="AJ90:AJ109" si="4">B90</f>
        <v>宇嬅</v>
      </c>
      <c r="AK90" s="82"/>
    </row>
    <row r="91" spans="1:37" ht="18" customHeight="1">
      <c r="A91" s="99" t="s">
        <v>58</v>
      </c>
      <c r="B91" s="100" t="s">
        <v>152</v>
      </c>
      <c r="C91" s="99"/>
      <c r="D91" s="132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205">
        <v>0</v>
      </c>
      <c r="AI91" s="214" t="e">
        <f ca="1">IF(A91="O", (VALUE(_xludf.IFS(AH91=0,"0",AH91=1,"150",AH91=2,"300",AH91=3,"450",AH91=4,"600",AH91=5,"750",AH91&gt;=6,"800"))),(VALUE(_xludf.IFS(AH91=0,"0",AH91=1,"150",AH91=2,"300",AH91=3,"450",AH91=4,"600",AH91=5,"750",AH91=6,"900",AH91&gt;=7,"1,000"))))</f>
        <v>#NAME?</v>
      </c>
      <c r="AJ91" s="207" t="str">
        <f t="shared" si="4"/>
        <v>阿俗</v>
      </c>
      <c r="AK91" s="81"/>
    </row>
    <row r="92" spans="1:37" ht="18" customHeight="1">
      <c r="A92" s="99" t="s">
        <v>58</v>
      </c>
      <c r="B92" s="100" t="s">
        <v>153</v>
      </c>
      <c r="C92" s="99"/>
      <c r="D92" s="132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205">
        <v>0</v>
      </c>
      <c r="AI92" s="214" t="e">
        <f ca="1">IF(A92="O", (VALUE(_xludf.IFS(AH92=0,"0",AH92=1,"150",AH92=2,"300",AH92=3,"450",AH92=4,"600",AH92=5,"750",AH92&gt;=6,"800"))),(VALUE(_xludf.IFS(AH92=0,"0",AH92=1,"150",AH92=2,"300",AH92=3,"450",AH92=4,"600",AH92=5,"750",AH92=6,"900",AH92&gt;=7,"1,000"))))</f>
        <v>#NAME?</v>
      </c>
      <c r="AJ92" s="207" t="str">
        <f t="shared" si="4"/>
        <v>傻妹</v>
      </c>
      <c r="AK92" s="81"/>
    </row>
    <row r="93" spans="1:37" ht="18" customHeight="1">
      <c r="A93" s="99" t="s">
        <v>9</v>
      </c>
      <c r="B93" s="100" t="s">
        <v>96</v>
      </c>
      <c r="C93" s="99"/>
      <c r="D93" s="132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205">
        <v>12</v>
      </c>
      <c r="AI93" s="214" t="e">
        <f ca="1">IF(A93="O", (VALUE(_xludf.IFS(AH93=0,"0",AH93=1,"150",AH93=2,"300",AH93=3,"450",AH93=4,"600",AH93=5,"750",AH93&gt;=6,"800"))),(VALUE(_xludf.IFS(AH93=0,"0",AH93=1,"150",AH93=2,"300",AH93=3,"450",AH93=4,"600",AH93=5,"750",AH93=6,"900",AH93&gt;=7,"1,000"))))</f>
        <v>#NAME?</v>
      </c>
      <c r="AJ93" s="207" t="str">
        <f t="shared" si="4"/>
        <v>靜婷</v>
      </c>
      <c r="AK93" s="81"/>
    </row>
    <row r="94" spans="1:37" ht="18" customHeight="1">
      <c r="A94" s="99" t="s">
        <v>58</v>
      </c>
      <c r="B94" s="100" t="s">
        <v>154</v>
      </c>
      <c r="C94" s="99"/>
      <c r="D94" s="132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205">
        <v>0</v>
      </c>
      <c r="AI94" s="214" t="e">
        <f ca="1">IF(A94="O", (VALUE(_xludf.IFS(AH94=0,"0",AH94=1,"150",AH94=2,"300",AH94=3,"450",AH94=4,"600",AH94=5,"750",AH94&gt;=6,"800"))),(VALUE(_xludf.IFS(AH94=0,"0",AH94=1,"150",AH94=2,"300",AH94=3,"450",AH94=4,"600",AH94=5,"750",AH94=6,"900",AH94&gt;=7,"1,000"))))</f>
        <v>#NAME?</v>
      </c>
      <c r="AJ94" s="207" t="str">
        <f t="shared" si="4"/>
        <v>筱攸</v>
      </c>
      <c r="AK94" s="81"/>
    </row>
    <row r="95" spans="1:37" ht="18" customHeight="1">
      <c r="A95" s="99" t="s">
        <v>58</v>
      </c>
      <c r="B95" s="100" t="s">
        <v>155</v>
      </c>
      <c r="C95" s="99"/>
      <c r="D95" s="132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205">
        <v>0</v>
      </c>
      <c r="AI95" s="214" t="e">
        <f ca="1">IF(A95="O", (VALUE(_xludf.IFS(AH95=0,"0",AH95=1,"150",AH95=2,"300",AH95=3,"450",AH95=4,"600",AH95=5,"750",AH95&gt;=6,"800"))),(VALUE(_xludf.IFS(AH95=0,"0",AH95=1,"150",AH95=2,"300",AH95=3,"450",AH95=4,"600",AH95=5,"750",AH95=6,"900",AH95&gt;=7,"1,000"))))</f>
        <v>#NAME?</v>
      </c>
      <c r="AJ95" s="207" t="str">
        <f t="shared" si="4"/>
        <v>康康</v>
      </c>
      <c r="AK95" s="81"/>
    </row>
    <row r="96" spans="1:37" ht="18" customHeight="1">
      <c r="A96" s="99" t="s">
        <v>58</v>
      </c>
      <c r="B96" s="100" t="s">
        <v>156</v>
      </c>
      <c r="C96" s="99"/>
      <c r="D96" s="132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205">
        <v>0</v>
      </c>
      <c r="AI96" s="214" t="e">
        <f ca="1">IF(A96="O", (VALUE(_xludf.IFS(AH96=0,"0",AH96=1,"150",AH96=2,"300",AH96=3,"450",AH96=4,"600",AH96=5,"750",AH96&gt;=6,"800"))),(VALUE(_xludf.IFS(AH96=0,"0",AH96=1,"150",AH96=2,"300",AH96=3,"450",AH96=4,"600",AH96=5,"750",AH96=6,"900",AH96&gt;=7,"1,000"))))</f>
        <v>#NAME?</v>
      </c>
      <c r="AJ96" s="207" t="str">
        <f t="shared" si="4"/>
        <v>阿金</v>
      </c>
      <c r="AK96" s="81"/>
    </row>
    <row r="97" spans="1:37" ht="18" customHeight="1">
      <c r="A97" s="99" t="s">
        <v>58</v>
      </c>
      <c r="B97" s="100" t="s">
        <v>157</v>
      </c>
      <c r="C97" s="99"/>
      <c r="D97" s="132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205">
        <v>0</v>
      </c>
      <c r="AI97" s="214" t="e">
        <f ca="1">IF(A97="O", (VALUE(_xludf.IFS(AH97=0,"0",AH97=1,"150",AH97=2,"300",AH97=3,"450",AH97=4,"600",AH97=5,"750",AH97&gt;=6,"800"))),(VALUE(_xludf.IFS(AH97=0,"0",AH97=1,"150",AH97=2,"300",AH97=3,"450",AH97=4,"600",AH97=5,"750",AH97=6,"900",AH97&gt;=7,"1,000"))))</f>
        <v>#NAME?</v>
      </c>
      <c r="AJ97" s="207" t="str">
        <f t="shared" si="4"/>
        <v>派大</v>
      </c>
      <c r="AK97" s="81"/>
    </row>
    <row r="98" spans="1:37" ht="18" customHeight="1">
      <c r="A98" s="99" t="s">
        <v>58</v>
      </c>
      <c r="B98" s="100" t="s">
        <v>158</v>
      </c>
      <c r="C98" s="99"/>
      <c r="D98" s="132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205">
        <v>0</v>
      </c>
      <c r="AI98" s="214" t="e">
        <f ca="1">IF(A98="O", (VALUE(_xludf.IFS(AH98=0,"0",AH98=1,"150",AH98=2,"300",AH98=3,"450",AH98=4,"600",AH98=5,"750",AH98&gt;=6,"800"))),(VALUE(_xludf.IFS(AH98=0,"0",AH98=1,"150",AH98=2,"300",AH98=3,"450",AH98=4,"600",AH98=5,"750",AH98=6,"900",AH98&gt;=7,"1,000"))))</f>
        <v>#NAME?</v>
      </c>
      <c r="AJ98" s="207" t="str">
        <f t="shared" si="4"/>
        <v>吉娃</v>
      </c>
      <c r="AK98" s="81"/>
    </row>
    <row r="99" spans="1:37" ht="18" customHeight="1">
      <c r="A99" s="99" t="s">
        <v>58</v>
      </c>
      <c r="B99" s="100" t="s">
        <v>159</v>
      </c>
      <c r="C99" s="99"/>
      <c r="D99" s="132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205">
        <v>0</v>
      </c>
      <c r="AI99" s="214" t="e">
        <f ca="1">IF(A99="O", (VALUE(_xludf.IFS(AH99=0,"0",AH99=1,"150",AH99=2,"300",AH99=3,"450",AH99=4,"600",AH99=5,"750",AH99&gt;=6,"800"))),(VALUE(_xludf.IFS(AH99=0,"0",AH99=1,"150",AH99=2,"300",AH99=3,"450",AH99=4,"600",AH99=5,"750",AH99=6,"900",AH99&gt;=7,"1,000"))))</f>
        <v>#NAME?</v>
      </c>
      <c r="AJ99" s="207" t="str">
        <f t="shared" si="4"/>
        <v>小寧</v>
      </c>
      <c r="AK99" s="81"/>
    </row>
    <row r="100" spans="1:37" ht="18" customHeight="1">
      <c r="A100" s="99" t="s">
        <v>58</v>
      </c>
      <c r="B100" s="100" t="s">
        <v>160</v>
      </c>
      <c r="C100" s="99"/>
      <c r="D100" s="132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205">
        <v>0</v>
      </c>
      <c r="AI100" s="214" t="e">
        <f ca="1">IF(A100="O", (VALUE(_xludf.IFS(AH100=0,"0",AH100=1,"150",AH100=2,"300",AH100=3,"450",AH100=4,"600",AH100=5,"750",AH100&gt;=6,"800"))),(VALUE(_xludf.IFS(AH100=0,"0",AH100=1,"150",AH100=2,"300",AH100=3,"450",AH100=4,"600",AH100=5,"750",AH100=6,"900",AH100&gt;=7,"1,000"))))</f>
        <v>#NAME?</v>
      </c>
      <c r="AJ100" s="207" t="str">
        <f t="shared" si="4"/>
        <v>小妹</v>
      </c>
      <c r="AK100" s="81"/>
    </row>
    <row r="101" spans="1:37" ht="18" customHeight="1">
      <c r="A101" s="99" t="s">
        <v>58</v>
      </c>
      <c r="B101" s="100" t="s">
        <v>101</v>
      </c>
      <c r="C101" s="99"/>
      <c r="D101" s="132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205">
        <v>10</v>
      </c>
      <c r="AI101" s="214" t="e">
        <f ca="1">IF(A101="O", (VALUE(_xludf.IFS(AH101=0,"0",AH101=1,"150",AH101=2,"300",AH101=3,"450",AH101=4,"600",AH101=5,"750",AH101&gt;=6,"800"))),(VALUE(_xludf.IFS(AH101=0,"0",AH101=1,"150",AH101=2,"300",AH101=3,"450",AH101=4,"600",AH101=5,"750",AH101=6,"900",AH101&gt;=7,"1,000"))))</f>
        <v>#NAME?</v>
      </c>
      <c r="AJ101" s="207" t="str">
        <f t="shared" si="4"/>
        <v>文媛</v>
      </c>
      <c r="AK101" s="81"/>
    </row>
    <row r="102" spans="1:37" ht="18" customHeight="1">
      <c r="A102" s="99" t="s">
        <v>58</v>
      </c>
      <c r="B102" s="100" t="s">
        <v>161</v>
      </c>
      <c r="C102" s="99"/>
      <c r="D102" s="132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205">
        <v>0</v>
      </c>
      <c r="AI102" s="214" t="e">
        <f ca="1">IF(A102="O", (VALUE(_xludf.IFS(AH102=0,"0",AH102=1,"150",AH102=2,"300",AH102=3,"450",AH102=4,"600",AH102=5,"750",AH102&gt;=6,"800"))),(VALUE(_xludf.IFS(AH102=0,"0",AH102=1,"150",AH102=2,"300",AH102=3,"450",AH102=4,"600",AH102=5,"750",AH102=6,"900",AH102&gt;=7,"1,000"))))</f>
        <v>#NAME?</v>
      </c>
      <c r="AJ102" s="207" t="str">
        <f t="shared" si="4"/>
        <v>佩鈺</v>
      </c>
      <c r="AK102" s="81"/>
    </row>
    <row r="103" spans="1:37" ht="18" customHeight="1">
      <c r="A103" s="99" t="s">
        <v>58</v>
      </c>
      <c r="B103" s="100" t="s">
        <v>162</v>
      </c>
      <c r="C103" s="99"/>
      <c r="D103" s="132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205">
        <v>0</v>
      </c>
      <c r="AI103" s="214" t="e">
        <f ca="1">IF(A103="O", (VALUE(_xludf.IFS(AH103=0,"0",AH103=1,"150",AH103=2,"300",AH103=3,"450",AH103=4,"600",AH103=5,"750",AH103&gt;=6,"800"))),(VALUE(_xludf.IFS(AH103=0,"0",AH103=1,"150",AH103=2,"300",AH103=3,"450",AH103=4,"600",AH103=5,"750",AH103=6,"900",AH103&gt;=7,"1,000"))))</f>
        <v>#NAME?</v>
      </c>
      <c r="AJ103" s="207" t="str">
        <f t="shared" si="4"/>
        <v>阿布</v>
      </c>
      <c r="AK103" s="81"/>
    </row>
    <row r="104" spans="1:37" ht="18" customHeight="1">
      <c r="A104" s="99" t="s">
        <v>58</v>
      </c>
      <c r="B104" s="100" t="s">
        <v>100</v>
      </c>
      <c r="C104" s="99"/>
      <c r="D104" s="132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205">
        <v>7</v>
      </c>
      <c r="AI104" s="214" t="e">
        <f ca="1">IF(A104="O", (VALUE(_xludf.IFS(AH104=0,"0",AH104=1,"150",AH104=2,"300",AH104=3,"450",AH104=4,"600",AH104=5,"750",AH104&gt;=6,"800"))),(VALUE(_xludf.IFS(AH104=0,"0",AH104=1,"150",AH104=2,"300",AH104=3,"450",AH104=4,"600",AH104=5,"750",AH104=6,"900",AH104&gt;=7,"1,000"))))</f>
        <v>#NAME?</v>
      </c>
      <c r="AJ104" s="207" t="str">
        <f t="shared" si="4"/>
        <v>餅餅</v>
      </c>
      <c r="AK104" s="81"/>
    </row>
    <row r="105" spans="1:37" ht="18" customHeight="1">
      <c r="A105" s="99" t="s">
        <v>58</v>
      </c>
      <c r="B105" s="100" t="s">
        <v>163</v>
      </c>
      <c r="C105" s="99"/>
      <c r="D105" s="132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205">
        <v>0</v>
      </c>
      <c r="AI105" s="214" t="e">
        <f ca="1">IF(A105="O", (VALUE(_xludf.IFS(AH105=0,"0",AH105=1,"150",AH105=2,"300",AH105=3,"450",AH105=4,"600",AH105=5,"750",AH105&gt;=6,"800"))),(VALUE(_xludf.IFS(AH105=0,"0",AH105=1,"150",AH105=2,"300",AH105=3,"450",AH105=4,"600",AH105=5,"750",AH105=6,"900",AH105&gt;=7,"1,000"))))</f>
        <v>#NAME?</v>
      </c>
      <c r="AJ105" s="207" t="str">
        <f t="shared" si="4"/>
        <v>小個</v>
      </c>
      <c r="AK105" s="81"/>
    </row>
    <row r="106" spans="1:37" ht="18" customHeight="1">
      <c r="A106" s="99" t="s">
        <v>58</v>
      </c>
      <c r="B106" s="100" t="s">
        <v>164</v>
      </c>
      <c r="C106" s="99"/>
      <c r="D106" s="132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205">
        <v>0</v>
      </c>
      <c r="AI106" s="214" t="e">
        <f ca="1">IF(A106="O", (VALUE(_xludf.IFS(AH106=0,"0",AH106=1,"150",AH106=2,"300",AH106=3,"450",AH106=4,"600",AH106=5,"750",AH106&gt;=6,"800"))),(VALUE(_xludf.IFS(AH106=0,"0",AH106=1,"150",AH106=2,"300",AH106=3,"450",AH106=4,"600",AH106=5,"750",AH106=6,"900",AH106&gt;=7,"1,000"))))</f>
        <v>#NAME?</v>
      </c>
      <c r="AJ106" s="207" t="str">
        <f t="shared" si="4"/>
        <v>小菜</v>
      </c>
      <c r="AK106" s="81"/>
    </row>
    <row r="107" spans="1:37" ht="18" customHeight="1">
      <c r="A107" s="99" t="s">
        <v>58</v>
      </c>
      <c r="B107" s="100" t="s">
        <v>102</v>
      </c>
      <c r="C107" s="99"/>
      <c r="D107" s="132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205">
        <v>0</v>
      </c>
      <c r="AI107" s="214" t="e">
        <f ca="1">IF(A107="O", (VALUE(_xludf.IFS(AH107=0,"0",AH107=1,"150",AH107=2,"300",AH107=3,"450",AH107=4,"600",AH107=5,"750",AH107&gt;=6,"800"))),(VALUE(_xludf.IFS(AH107=0,"0",AH107=1,"150",AH107=2,"300",AH107=3,"450",AH107=4,"600",AH107=5,"750",AH107=6,"900",AH107&gt;=7,"1,000"))))</f>
        <v>#NAME?</v>
      </c>
      <c r="AJ107" s="207" t="str">
        <f t="shared" si="4"/>
        <v>妮妮</v>
      </c>
      <c r="AK107" s="81"/>
    </row>
    <row r="108" spans="1:37" ht="18" customHeight="1">
      <c r="A108" s="99" t="s">
        <v>58</v>
      </c>
      <c r="B108" s="100" t="s">
        <v>165</v>
      </c>
      <c r="C108" s="99"/>
      <c r="D108" s="132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205">
        <v>0</v>
      </c>
      <c r="AI108" s="214" t="e">
        <f ca="1">IF(A108="O", (VALUE(_xludf.IFS(AH108=0,"0",AH108=1,"150",AH108=2,"300",AH108=3,"450",AH108=4,"600",AH108=5,"750",AH108&gt;=6,"800"))),(VALUE(_xludf.IFS(AH108=0,"0",AH108=1,"150",AH108=2,"300",AH108=3,"450",AH108=4,"600",AH108=5,"750",AH108=6,"900",AH108&gt;=7,"1,000"))))</f>
        <v>#NAME?</v>
      </c>
      <c r="AJ108" s="207" t="str">
        <f t="shared" si="4"/>
        <v>小貓</v>
      </c>
      <c r="AK108" s="81"/>
    </row>
    <row r="109" spans="1:37" ht="18" customHeight="1">
      <c r="A109" s="99" t="s">
        <v>58</v>
      </c>
      <c r="B109" s="100" t="s">
        <v>166</v>
      </c>
      <c r="C109" s="99"/>
      <c r="D109" s="132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205">
        <v>0</v>
      </c>
      <c r="AI109" s="214" t="e">
        <f ca="1">IF(A109="O", (VALUE(_xludf.IFS(AH109=0,"0",AH109=1,"150",AH109=2,"300",AH109=3,"450",AH109=4,"600",AH109=5,"750",AH109&gt;=6,"800"))),(VALUE(_xludf.IFS(AH109=0,"0",AH109=1,"150",AH109=2,"300",AH109=3,"450",AH109=4,"600",AH109=5,"750",AH109=6,"900",AH109&gt;=7,"1,000"))))</f>
        <v>#NAME?</v>
      </c>
      <c r="AJ109" s="207" t="str">
        <f t="shared" si="4"/>
        <v>哈比</v>
      </c>
      <c r="AK109" s="81"/>
    </row>
    <row r="110" spans="1:37" ht="18" customHeight="1">
      <c r="A110" s="99" t="s">
        <v>9</v>
      </c>
      <c r="B110" s="100" t="s">
        <v>97</v>
      </c>
      <c r="C110" s="99"/>
      <c r="D110" s="132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205">
        <v>9</v>
      </c>
      <c r="AI110" s="214" t="e">
        <f ca="1">IF(A110="O", (VALUE(_xludf.IFS(AH110=0,"0",AH110=1,"150",AH110=2,"300",AH110=3,"450",AH110=4,"600",AH110=5,"750",AH110&gt;=6,"800"))),(VALUE(_xludf.IFS(AH110=0,"0",AH110=1,"150",AH110=2,"300",AH110=3,"450",AH110=4,"600",AH110=5,"750",AH110=6,"900",AH110&gt;=7,"1,000"))))</f>
        <v>#NAME?</v>
      </c>
      <c r="AJ110" s="207" t="s">
        <v>97</v>
      </c>
      <c r="AK110" s="81"/>
    </row>
    <row r="111" spans="1:37" ht="18" customHeight="1">
      <c r="A111" s="99" t="s">
        <v>9</v>
      </c>
      <c r="B111" s="100" t="s">
        <v>98</v>
      </c>
      <c r="C111" s="99"/>
      <c r="D111" s="132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205">
        <v>10</v>
      </c>
      <c r="AI111" s="214" t="e">
        <f ca="1">IF(A111="O", (VALUE(_xludf.IFS(AH111=0,"0",AH111=1,"150",AH111=2,"300",AH111=3,"450",AH111=4,"600",AH111=5,"750",AH111&gt;=6,"800"))),(VALUE(_xludf.IFS(AH111=0,"0",AH111=1,"150",AH111=2,"300",AH111=3,"450",AH111=4,"600",AH111=5,"750",AH111=6,"900",AH111&gt;=7,"1,000"))))</f>
        <v>#NAME?</v>
      </c>
      <c r="AJ111" s="207" t="s">
        <v>98</v>
      </c>
      <c r="AK111" s="81"/>
    </row>
    <row r="112" spans="1:37" ht="18" customHeight="1">
      <c r="A112" s="99" t="s">
        <v>9</v>
      </c>
      <c r="B112" s="100" t="s">
        <v>99</v>
      </c>
      <c r="C112" s="99"/>
      <c r="D112" s="132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205">
        <v>0</v>
      </c>
      <c r="AI112" s="214" t="e">
        <f ca="1">IF(A112="O", (VALUE(_xludf.IFS(AH112=0,"0",AH112=1,"150",AH112=2,"300",AH112=3,"450",AH112=4,"600",AH112=5,"750",AH112&gt;=6,"800"))),(VALUE(_xludf.IFS(AH112=0,"0",AH112=1,"150",AH112=2,"300",AH112=3,"450",AH112=4,"600",AH112=5,"750",AH112=6,"900",AH112&gt;=7,"1,000"))))</f>
        <v>#NAME?</v>
      </c>
      <c r="AJ112" s="207" t="s">
        <v>99</v>
      </c>
      <c r="AK112" s="81"/>
    </row>
    <row r="113" spans="1:37" ht="18" customHeight="1">
      <c r="A113" s="101" t="s">
        <v>58</v>
      </c>
      <c r="B113" s="102" t="s">
        <v>124</v>
      </c>
      <c r="C113" s="101"/>
      <c r="D113" s="137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208">
        <v>0</v>
      </c>
      <c r="AI113" s="221" t="e">
        <f ca="1">IF(A113="O", (VALUE(_xludf.IFS(AH113=0,"0",AH113=1,"150",AH113=2,"300",AH113=3,"450",AH113=4,"600",AH113=5,"750",AH113&gt;=6,"800"))),(VALUE(_xludf.IFS(AH113=0,"0",AH113=1,"150",AH113=2,"300",AH113=3,"450",AH113=4,"600",AH113=5,"750",AH113=6,"900",AH113&gt;=7,"1,000"))))</f>
        <v>#NAME?</v>
      </c>
      <c r="AJ113" s="210" t="str">
        <f t="shared" ref="AJ113:AJ137" si="5">B113</f>
        <v>玉蕙</v>
      </c>
      <c r="AK113" s="89"/>
    </row>
    <row r="114" spans="1:37" ht="18" customHeight="1">
      <c r="A114" s="101" t="s">
        <v>58</v>
      </c>
      <c r="B114" s="102" t="s">
        <v>125</v>
      </c>
      <c r="C114" s="101"/>
      <c r="D114" s="137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208">
        <v>1</v>
      </c>
      <c r="AI114" s="221" t="e">
        <f ca="1">IF(A114="O", (VALUE(_xludf.IFS(AH114=0,"0",AH114=1,"150",AH114=2,"300",AH114=3,"450",AH114=4,"600",AH114=5,"750",AH114&gt;=6,"800"))),(VALUE(_xludf.IFS(AH114=0,"0",AH114=1,"150",AH114=2,"300",AH114=3,"450",AH114=4,"600",AH114=5,"750",AH114=6,"900",AH114&gt;=7,"1,000"))))</f>
        <v>#NAME?</v>
      </c>
      <c r="AJ114" s="210" t="str">
        <f t="shared" si="5"/>
        <v>沛緁</v>
      </c>
      <c r="AK114" s="89"/>
    </row>
    <row r="115" spans="1:37" ht="18" customHeight="1">
      <c r="A115" s="101" t="s">
        <v>58</v>
      </c>
      <c r="B115" s="102" t="s">
        <v>126</v>
      </c>
      <c r="C115" s="101"/>
      <c r="D115" s="137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208">
        <v>0</v>
      </c>
      <c r="AI115" s="221" t="e">
        <f ca="1">IF(A115="O", (VALUE(_xludf.IFS(AH115=0,"0",AH115=1,"150",AH115=2,"300",AH115=3,"450",AH115=4,"600",AH115=5,"750",AH115&gt;=6,"800"))),(VALUE(_xludf.IFS(AH115=0,"0",AH115=1,"150",AH115=2,"300",AH115=3,"450",AH115=4,"600",AH115=5,"750",AH115=6,"900",AH115&gt;=7,"1,000"))))</f>
        <v>#NAME?</v>
      </c>
      <c r="AJ115" s="210" t="str">
        <f t="shared" si="5"/>
        <v>妹妹</v>
      </c>
      <c r="AK115" s="89"/>
    </row>
    <row r="116" spans="1:37" ht="18" customHeight="1">
      <c r="A116" s="101" t="s">
        <v>58</v>
      </c>
      <c r="B116" s="102" t="s">
        <v>127</v>
      </c>
      <c r="C116" s="101"/>
      <c r="D116" s="137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208">
        <v>0</v>
      </c>
      <c r="AI116" s="221" t="e">
        <f ca="1">IF(A116="O", (VALUE(_xludf.IFS(AH116=0,"0",AH116=1,"150",AH116=2,"300",AH116=3,"450",AH116=4,"600",AH116=5,"750",AH116&gt;=6,"800"))),(VALUE(_xludf.IFS(AH116=0,"0",AH116=1,"150",AH116=2,"300",AH116=3,"450",AH116=4,"600",AH116=5,"750",AH116=6,"900",AH116&gt;=7,"1,000"))))</f>
        <v>#NAME?</v>
      </c>
      <c r="AJ116" s="210" t="str">
        <f t="shared" si="5"/>
        <v>小雞</v>
      </c>
      <c r="AK116" s="89"/>
    </row>
    <row r="117" spans="1:37" ht="18" customHeight="1">
      <c r="A117" s="101" t="s">
        <v>58</v>
      </c>
      <c r="B117" s="102" t="s">
        <v>128</v>
      </c>
      <c r="C117" s="101"/>
      <c r="D117" s="137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208">
        <v>0</v>
      </c>
      <c r="AI117" s="221" t="e">
        <f ca="1">IF(A117="O", (VALUE(_xludf.IFS(AH117=0,"0",AH117=1,"150",AH117=2,"300",AH117=3,"450",AH117=4,"600",AH117=5,"750",AH117&gt;=6,"800"))),(VALUE(_xludf.IFS(AH117=0,"0",AH117=1,"150",AH117=2,"300",AH117=3,"450",AH117=4,"600",AH117=5,"750",AH117=6,"900",AH117&gt;=7,"1,000"))))</f>
        <v>#NAME?</v>
      </c>
      <c r="AJ117" s="210" t="str">
        <f t="shared" si="5"/>
        <v>雨昕</v>
      </c>
      <c r="AK117" s="89"/>
    </row>
    <row r="118" spans="1:37" ht="18" customHeight="1">
      <c r="A118" s="101" t="s">
        <v>58</v>
      </c>
      <c r="B118" s="102" t="s">
        <v>129</v>
      </c>
      <c r="C118" s="101"/>
      <c r="D118" s="137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208">
        <v>0</v>
      </c>
      <c r="AI118" s="221" t="e">
        <f ca="1">IF(A118="O", (VALUE(_xludf.IFS(AH118=0,"0",AH118=1,"150",AH118=2,"300",AH118=3,"450",AH118=4,"600",AH118=5,"750",AH118&gt;=6,"800"))),(VALUE(_xludf.IFS(AH118=0,"0",AH118=1,"150",AH118=2,"300",AH118=3,"450",AH118=4,"600",AH118=5,"750",AH118=6,"900",AH118&gt;=7,"1,000"))))</f>
        <v>#NAME?</v>
      </c>
      <c r="AJ118" s="210" t="str">
        <f t="shared" si="5"/>
        <v>矮矮</v>
      </c>
      <c r="AK118" s="89"/>
    </row>
    <row r="119" spans="1:37" ht="18" customHeight="1">
      <c r="A119" s="101" t="s">
        <v>58</v>
      </c>
      <c r="B119" s="102" t="s">
        <v>130</v>
      </c>
      <c r="C119" s="101"/>
      <c r="D119" s="137"/>
      <c r="E119" s="101"/>
      <c r="F119" s="101"/>
      <c r="G119" s="101"/>
      <c r="H119" s="101"/>
      <c r="I119" s="101"/>
      <c r="J119" s="101"/>
      <c r="K119" s="101"/>
      <c r="L119" s="185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208">
        <v>0</v>
      </c>
      <c r="AI119" s="221" t="e">
        <f ca="1">IF(A119="O", (VALUE(_xludf.IFS(AH119=0,"0",AH119=1,"150",AH119=2,"300",AH119=3,"450",AH119=4,"600",AH119=5,"750",AH119&gt;=6,"800"))),(VALUE(_xludf.IFS(AH119=0,"0",AH119=1,"150",AH119=2,"300",AH119=3,"450",AH119=4,"600",AH119=5,"750",AH119=6,"900",AH119&gt;=7,"1,000"))))</f>
        <v>#NAME?</v>
      </c>
      <c r="AJ119" s="210" t="str">
        <f t="shared" si="5"/>
        <v>猛女</v>
      </c>
      <c r="AK119" s="89"/>
    </row>
    <row r="120" spans="1:37" ht="18" customHeight="1">
      <c r="A120" s="101" t="s">
        <v>58</v>
      </c>
      <c r="B120" s="102" t="s">
        <v>131</v>
      </c>
      <c r="C120" s="101"/>
      <c r="D120" s="137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208">
        <v>0</v>
      </c>
      <c r="AI120" s="221" t="e">
        <f ca="1">IF(A120="O", (VALUE(_xludf.IFS(AH120=0,"0",AH120=1,"150",AH120=2,"300",AH120=3,"450",AH120=4,"600",AH120=5,"750",AH120&gt;=6,"800"))),(VALUE(_xludf.IFS(AH120=0,"0",AH120=1,"150",AH120=2,"300",AH120=3,"450",AH120=4,"600",AH120=5,"750",AH120=6,"900",AH120&gt;=7,"1,000"))))</f>
        <v>#NAME?</v>
      </c>
      <c r="AJ120" s="210" t="str">
        <f t="shared" si="5"/>
        <v>欣容</v>
      </c>
      <c r="AK120" s="89"/>
    </row>
    <row r="121" spans="1:37" ht="18" customHeight="1">
      <c r="A121" s="101" t="s">
        <v>58</v>
      </c>
      <c r="B121" s="102" t="s">
        <v>132</v>
      </c>
      <c r="C121" s="101"/>
      <c r="D121" s="137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208">
        <v>0</v>
      </c>
      <c r="AI121" s="221" t="e">
        <f ca="1">IF(A121="O", (VALUE(_xludf.IFS(AH121=0,"0",AH121=1,"150",AH121=2,"300",AH121=3,"450",AH121=4,"600",AH121=5,"750",AH121&gt;=6,"800"))),(VALUE(_xludf.IFS(AH121=0,"0",AH121=1,"150",AH121=2,"300",AH121=3,"450",AH121=4,"600",AH121=5,"750",AH121=6,"900",AH121&gt;=7,"1,000"))))</f>
        <v>#NAME?</v>
      </c>
      <c r="AJ121" s="210" t="str">
        <f t="shared" si="5"/>
        <v>萁萁</v>
      </c>
      <c r="AK121" s="89"/>
    </row>
    <row r="122" spans="1:37" ht="18" customHeight="1">
      <c r="A122" s="101" t="s">
        <v>58</v>
      </c>
      <c r="B122" s="102" t="s">
        <v>133</v>
      </c>
      <c r="C122" s="101"/>
      <c r="D122" s="137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208">
        <v>0</v>
      </c>
      <c r="AI122" s="209" t="e">
        <f ca="1">IF(A122="O", (VALUE(_xludf.IFS(AH122=0,"0",AH122=1,"150",AH122=2,"300",AH122=3,"450",AH122=4,"600",AH122=5,"750",AH122&gt;=6,"800"))),(VALUE(_xludf.IFS(AH122=0,"0",AH122=1,"150",AH122=2,"300",AH122=3,"450",AH122=4,"600",AH122=5,"750",AH122=6,"900",AH122&gt;=7,"1,000"))))</f>
        <v>#NAME?</v>
      </c>
      <c r="AJ122" s="210" t="str">
        <f t="shared" si="5"/>
        <v>萱</v>
      </c>
      <c r="AK122" s="91"/>
    </row>
    <row r="123" spans="1:37" ht="18" customHeight="1">
      <c r="A123" s="101" t="s">
        <v>58</v>
      </c>
      <c r="B123" s="102" t="s">
        <v>134</v>
      </c>
      <c r="C123" s="101"/>
      <c r="D123" s="137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208">
        <v>0</v>
      </c>
      <c r="AI123" s="209" t="e">
        <f ca="1">IF(A123="O", (VALUE(_xludf.IFS(AH123=0,"0",AH123=1,"150",AH123=2,"300",AH123=3,"450",AH123=4,"600",AH123=5,"750",AH123&gt;=6,"800"))),(VALUE(_xludf.IFS(AH123=0,"0",AH123=1,"150",AH123=2,"300",AH123=3,"450",AH123=4,"600",AH123=5,"750",AH123=6,"900",AH123&gt;=7,"1,000"))))</f>
        <v>#NAME?</v>
      </c>
      <c r="AJ123" s="210" t="str">
        <f t="shared" si="5"/>
        <v>Mei</v>
      </c>
      <c r="AK123" s="91"/>
    </row>
    <row r="124" spans="1:37" ht="18" customHeight="1">
      <c r="A124" s="101" t="s">
        <v>58</v>
      </c>
      <c r="B124" s="102" t="s">
        <v>135</v>
      </c>
      <c r="C124" s="101"/>
      <c r="D124" s="137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208">
        <v>0</v>
      </c>
      <c r="AI124" s="209" t="e">
        <f ca="1">IF(A124="O", (VALUE(_xludf.IFS(AH124=0,"0",AH124=1,"150",AH124=2,"300",AH124=3,"450",AH124=4,"600",AH124=5,"750",AH124&gt;=6,"800"))),(VALUE(_xludf.IFS(AH124=0,"0",AH124=1,"150",AH124=2,"300",AH124=3,"450",AH124=4,"600",AH124=5,"750",AH124=6,"900",AH124&gt;=7,"1,000"))))</f>
        <v>#NAME?</v>
      </c>
      <c r="AJ124" s="210" t="str">
        <f t="shared" si="5"/>
        <v>屁屁</v>
      </c>
      <c r="AK124" s="91"/>
    </row>
    <row r="125" spans="1:37" ht="18" customHeight="1">
      <c r="A125" s="101" t="s">
        <v>58</v>
      </c>
      <c r="B125" s="102" t="s">
        <v>136</v>
      </c>
      <c r="C125" s="101"/>
      <c r="D125" s="137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208">
        <v>0</v>
      </c>
      <c r="AI125" s="209" t="e">
        <f ca="1">IF(A125="O", (VALUE(_xludf.IFS(AH125=0,"0",AH125=1,"150",AH125=2,"300",AH125=3,"450",AH125=4,"600",AH125=5,"750",AH125&gt;=6,"800"))),(VALUE(_xludf.IFS(AH125=0,"0",AH125=1,"150",AH125=2,"300",AH125=3,"450",AH125=4,"600",AH125=5,"750",AH125=6,"900",AH125&gt;=7,"1,000"))))</f>
        <v>#NAME?</v>
      </c>
      <c r="AJ125" s="210" t="str">
        <f t="shared" si="5"/>
        <v>泡泡</v>
      </c>
      <c r="AK125" s="91"/>
    </row>
    <row r="126" spans="1:37" ht="18" customHeight="1">
      <c r="A126" s="101" t="s">
        <v>58</v>
      </c>
      <c r="B126" s="102" t="s">
        <v>137</v>
      </c>
      <c r="C126" s="101"/>
      <c r="D126" s="137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208">
        <v>0</v>
      </c>
      <c r="AI126" s="209" t="e">
        <f ca="1">IF(A126="O", (VALUE(_xludf.IFS(AH126=0,"0",AH126=1,"150",AH126=2,"300",AH126=3,"450",AH126=4,"600",AH126=5,"750",AH126&gt;=6,"800"))),(VALUE(_xludf.IFS(AH126=0,"0",AH126=1,"150",AH126=2,"300",AH126=3,"450",AH126=4,"600",AH126=5,"750",AH126=6,"900",AH126&gt;=7,"1,000"))))</f>
        <v>#NAME?</v>
      </c>
      <c r="AJ126" s="210" t="str">
        <f t="shared" si="5"/>
        <v>姚</v>
      </c>
      <c r="AK126" s="91"/>
    </row>
    <row r="127" spans="1:37" ht="18" customHeight="1">
      <c r="A127" s="101" t="s">
        <v>58</v>
      </c>
      <c r="B127" s="102" t="s">
        <v>138</v>
      </c>
      <c r="C127" s="101"/>
      <c r="D127" s="137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208">
        <v>0</v>
      </c>
      <c r="AI127" s="209" t="e">
        <f ca="1">IF(A127="O", (VALUE(_xludf.IFS(AH127=0,"0",AH127=1,"150",AH127=2,"300",AH127=3,"450",AH127=4,"600",AH127=5,"750",AH127&gt;=6,"800"))),(VALUE(_xludf.IFS(AH127=0,"0",AH127=1,"150",AH127=2,"300",AH127=3,"450",AH127=4,"600",AH127=5,"750",AH127=6,"900",AH127&gt;=7,"1,000"))))</f>
        <v>#NAME?</v>
      </c>
      <c r="AJ127" s="210" t="str">
        <f t="shared" si="5"/>
        <v>奜茜</v>
      </c>
      <c r="AK127" s="91"/>
    </row>
    <row r="128" spans="1:37" ht="18" customHeight="1">
      <c r="A128" s="101" t="s">
        <v>58</v>
      </c>
      <c r="B128" s="115" t="s">
        <v>139</v>
      </c>
      <c r="C128" s="101"/>
      <c r="D128" s="137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208">
        <v>0</v>
      </c>
      <c r="AI128" s="209" t="e">
        <f ca="1">IF(A128="O", (VALUE(_xludf.IFS(AH128=0,"0",AH128=1,"150",AH128=2,"300",AH128=3,"450",AH128=4,"600",AH128=5,"750",AH128&gt;=6,"800"))),(VALUE(_xludf.IFS(AH128=0,"0",AH128=1,"150",AH128=2,"300",AH128=3,"450",AH128=4,"600",AH128=5,"750",AH128=6,"900",AH128&gt;=7,"1,000"))))</f>
        <v>#NAME?</v>
      </c>
      <c r="AJ128" s="210" t="str">
        <f t="shared" si="5"/>
        <v>Tina</v>
      </c>
      <c r="AK128" s="91"/>
    </row>
    <row r="129" spans="1:37" ht="18" customHeight="1">
      <c r="A129" s="101" t="s">
        <v>58</v>
      </c>
      <c r="B129" s="115" t="s">
        <v>140</v>
      </c>
      <c r="C129" s="101"/>
      <c r="D129" s="137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208">
        <v>0</v>
      </c>
      <c r="AI129" s="209" t="e">
        <f ca="1">IF(A129="O", (VALUE(_xludf.IFS(AH129=0,"0",AH129=1,"150",AH129=2,"300",AH129=3,"450",AH129=4,"600",AH129=5,"750",AH129&gt;=6,"800"))),(VALUE(_xludf.IFS(AH129=0,"0",AH129=1,"150",AH129=2,"300",AH129=3,"450",AH129=4,"600",AH129=5,"750",AH129=6,"900",AH129&gt;=7,"1,000"))))</f>
        <v>#NAME?</v>
      </c>
      <c r="AJ129" s="210" t="str">
        <f t="shared" si="5"/>
        <v>芷琦</v>
      </c>
      <c r="AK129" s="91"/>
    </row>
    <row r="130" spans="1:37" ht="18" customHeight="1">
      <c r="A130" s="101" t="s">
        <v>58</v>
      </c>
      <c r="B130" s="115" t="s">
        <v>106</v>
      </c>
      <c r="C130" s="101"/>
      <c r="D130" s="137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208">
        <v>9</v>
      </c>
      <c r="AI130" s="209" t="e">
        <f ca="1">IF(A130="O", (VALUE(_xludf.IFS(AH130=0,"0",AH130=1,"150",AH130=2,"300",AH130=3,"450",AH130=4,"600",AH130=5,"750",AH130&gt;=6,"800"))),(VALUE(_xludf.IFS(AH130=0,"0",AH130=1,"150",AH130=2,"300",AH130=3,"450",AH130=4,"600",AH130=5,"750",AH130=6,"900",AH130&gt;=7,"1,000"))))</f>
        <v>#NAME?</v>
      </c>
      <c r="AJ130" s="210" t="str">
        <f t="shared" si="5"/>
        <v>Nina</v>
      </c>
      <c r="AK130" s="91"/>
    </row>
    <row r="131" spans="1:37" ht="18" customHeight="1">
      <c r="A131" s="101" t="s">
        <v>58</v>
      </c>
      <c r="B131" s="102" t="s">
        <v>141</v>
      </c>
      <c r="C131" s="101"/>
      <c r="D131" s="137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208">
        <v>0</v>
      </c>
      <c r="AI131" s="209" t="e">
        <f ca="1">IF(A131="O", (VALUE(_xludf.IFS(AH131=0,"0",AH131=1,"150",AH131=2,"300",AH131=3,"450",AH131=4,"600",AH131=5,"750",AH131&gt;=6,"800"))),(VALUE(_xludf.IFS(AH131=0,"0",AH131=1,"150",AH131=2,"300",AH131=3,"450",AH131=4,"600",AH131=5,"750",AH131=6,"900",AH131&gt;=7,"1,000"))))</f>
        <v>#NAME?</v>
      </c>
      <c r="AJ131" s="210" t="str">
        <f t="shared" si="5"/>
        <v>Cindy</v>
      </c>
      <c r="AK131" s="91"/>
    </row>
    <row r="132" spans="1:37" ht="18" customHeight="1">
      <c r="A132" s="101" t="s">
        <v>58</v>
      </c>
      <c r="B132" s="102" t="s">
        <v>142</v>
      </c>
      <c r="C132" s="101"/>
      <c r="D132" s="137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208">
        <v>0</v>
      </c>
      <c r="AI132" s="209" t="e">
        <f ca="1">IF(A132="O", (VALUE(_xludf.IFS(AH132=0,"0",AH132=1,"150",AH132=2,"300",AH132=3,"450",AH132=4,"600",AH132=5,"750",AH132&gt;=6,"800"))),(VALUE(_xludf.IFS(AH132=0,"0",AH132=1,"150",AH132=2,"300",AH132=3,"450",AH132=4,"600",AH132=5,"750",AH132=6,"900",AH132&gt;=7,"1,000"))))</f>
        <v>#NAME?</v>
      </c>
      <c r="AJ132" s="210" t="str">
        <f t="shared" si="5"/>
        <v>如靜</v>
      </c>
      <c r="AK132" s="91"/>
    </row>
    <row r="133" spans="1:37" ht="18" customHeight="1">
      <c r="A133" s="101" t="s">
        <v>58</v>
      </c>
      <c r="B133" s="102" t="s">
        <v>143</v>
      </c>
      <c r="C133" s="101"/>
      <c r="D133" s="137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208">
        <v>0</v>
      </c>
      <c r="AI133" s="209" t="e">
        <f ca="1">IF(A133="O", (VALUE(_xludf.IFS(AH133=0,"0",AH133=1,"150",AH133=2,"300",AH133=3,"450",AH133=4,"600",AH133=5,"750",AH133&gt;=6,"800"))),(VALUE(_xludf.IFS(AH133=0,"0",AH133=1,"150",AH133=2,"300",AH133=3,"450",AH133=4,"600",AH133=5,"750",AH133=6,"900",AH133&gt;=7,"1,000"))))</f>
        <v>#NAME?</v>
      </c>
      <c r="AJ133" s="210" t="str">
        <f t="shared" si="5"/>
        <v>毓玫</v>
      </c>
      <c r="AK133" s="91"/>
    </row>
    <row r="134" spans="1:37" ht="18" customHeight="1">
      <c r="A134" s="101" t="s">
        <v>58</v>
      </c>
      <c r="B134" s="102" t="s">
        <v>144</v>
      </c>
      <c r="C134" s="101"/>
      <c r="D134" s="137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208">
        <v>0</v>
      </c>
      <c r="AI134" s="209" t="e">
        <f ca="1">IF(A134="O", (VALUE(_xludf.IFS(AH134=0,"0",AH134=1,"150",AH134=2,"300",AH134=3,"450",AH134=4,"600",AH134=5,"750",AH134&gt;=6,"800"))),(VALUE(_xludf.IFS(AH134=0,"0",AH134=1,"150",AH134=2,"300",AH134=3,"450",AH134=4,"600",AH134=5,"750",AH134=6,"900",AH134&gt;=7,"1,000"))))</f>
        <v>#NAME?</v>
      </c>
      <c r="AJ134" s="210" t="str">
        <f t="shared" si="5"/>
        <v>美枝</v>
      </c>
      <c r="AK134" s="91"/>
    </row>
    <row r="135" spans="1:37" ht="18" customHeight="1">
      <c r="A135" s="101" t="s">
        <v>58</v>
      </c>
      <c r="B135" s="102" t="s">
        <v>145</v>
      </c>
      <c r="C135" s="101"/>
      <c r="D135" s="137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208">
        <v>0</v>
      </c>
      <c r="AI135" s="209" t="e">
        <f ca="1">IF(A135="O", (VALUE(_xludf.IFS(AH135=0,"0",AH135=1,"150",AH135=2,"300",AH135=3,"450",AH135=4,"600",AH135=5,"750",AH135&gt;=6,"800"))),(VALUE(_xludf.IFS(AH135=0,"0",AH135=1,"150",AH135=2,"300",AH135=3,"450",AH135=4,"600",AH135=5,"750",AH135=6,"900",AH135&gt;=7,"1,000"))))</f>
        <v>#NAME?</v>
      </c>
      <c r="AJ135" s="210" t="str">
        <f t="shared" si="5"/>
        <v>魯魯咪</v>
      </c>
      <c r="AK135" s="91"/>
    </row>
    <row r="136" spans="1:37" ht="18" customHeight="1">
      <c r="A136" s="120" t="s">
        <v>58</v>
      </c>
      <c r="B136" s="121" t="s">
        <v>41</v>
      </c>
      <c r="C136" s="120"/>
      <c r="D136" s="14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222"/>
      <c r="AH136" s="211">
        <v>9</v>
      </c>
      <c r="AI136" s="212" t="e">
        <f ca="1">IF(A136="O", (VALUE(_xludf.IFS(AH136=0,"0",AH136=1,"150",AH136=2,"300",AH136=3,"450",AH136=4,"600",AH136=5,"750",AH136&gt;=6,"800"))),(VALUE(_xludf.IFS(AH136=0,"0",AH136=1,"150",AH136=2,"300",AH136=3,"450",AH136=4,"600",AH136=5,"750",AH136=6,"900",AH136&gt;=7,"1,000"))))</f>
        <v>#NAME?</v>
      </c>
      <c r="AJ136" s="223" t="str">
        <f t="shared" si="5"/>
        <v>軟軟</v>
      </c>
      <c r="AK136" s="110"/>
    </row>
    <row r="137" spans="1:37" ht="18" customHeight="1">
      <c r="A137" s="120" t="s">
        <v>58</v>
      </c>
      <c r="B137" s="121" t="s">
        <v>42</v>
      </c>
      <c r="C137" s="120"/>
      <c r="D137" s="14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215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222"/>
      <c r="AH137" s="211">
        <v>9</v>
      </c>
      <c r="AI137" s="212" t="e">
        <f ca="1">IF(A137="O", (VALUE(_xludf.IFS(AH137=0,"0",AH137=1,"150",AH137=2,"300",AH137=3,"450",AH137=4,"600",AH137=5,"750",AH137&gt;=6,"800"))),(VALUE(_xludf.IFS(AH137=0,"0",AH137=1,"150",AH137=2,"300",AH137=3,"450",AH137=4,"600",AH137=5,"750",AH137=6,"900",AH137&gt;=7,"1,000"))))</f>
        <v>#NAME?</v>
      </c>
      <c r="AJ137" s="223" t="str">
        <f t="shared" si="5"/>
        <v>屎蛋</v>
      </c>
      <c r="AK137" s="110"/>
    </row>
    <row r="138" spans="1:37" ht="18" customHeight="1">
      <c r="A138" s="166" t="s">
        <v>58</v>
      </c>
      <c r="B138" s="216" t="s">
        <v>43</v>
      </c>
      <c r="C138" s="217"/>
      <c r="D138" s="167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218"/>
      <c r="U138" s="166"/>
      <c r="V138" s="217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224"/>
      <c r="AH138" s="225">
        <v>9</v>
      </c>
      <c r="AI138" s="212" t="e">
        <f ca="1">IF(A138="O", (VALUE(_xludf.IFS(AH138=0,"0",AH138=1,"150",AH138=2,"300",AH138=3,"450",AH138=4,"600",AH138=5,"750",AH138&gt;=6,"800"))),(VALUE(_xludf.IFS(AH138=0,"0",AH138=1,"150",AH138=2,"300",AH138=3,"450",AH138=4,"600",AH138=5,"750",AH138=6,"900",AH138&gt;=7,"1,000"))))</f>
        <v>#NAME?</v>
      </c>
      <c r="AJ138" s="223" t="s">
        <v>43</v>
      </c>
      <c r="AK138" s="110"/>
    </row>
    <row r="139" spans="1:37" ht="18" customHeight="1">
      <c r="A139" s="166" t="s">
        <v>9</v>
      </c>
      <c r="B139" s="216" t="s">
        <v>44</v>
      </c>
      <c r="C139" s="217"/>
      <c r="D139" s="167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218"/>
      <c r="U139" s="166"/>
      <c r="V139" s="217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224"/>
      <c r="AH139" s="225">
        <v>9</v>
      </c>
      <c r="AI139" s="212" t="e">
        <f ca="1">IF(A139="O", (VALUE(_xludf.IFS(AH139=0,"0",AH139=1,"150",AH139=2,"300",AH139=3,"450",AH139=4,"600",AH139=5,"750",AH139&gt;=6,"800"))),(VALUE(_xludf.IFS(AH139=0,"0",AH139=1,"150",AH139=2,"300",AH139=3,"450",AH139=4,"600",AH139=5,"750",AH139=6,"900",AH139&gt;=7,"1,000"))))</f>
        <v>#NAME?</v>
      </c>
      <c r="AJ139" s="223" t="s">
        <v>44</v>
      </c>
      <c r="AK139" s="110"/>
    </row>
    <row r="140" spans="1:37" ht="18" customHeight="1">
      <c r="A140" s="166" t="s">
        <v>58</v>
      </c>
      <c r="B140" s="223" t="s">
        <v>45</v>
      </c>
      <c r="C140" s="217"/>
      <c r="D140" s="167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218"/>
      <c r="U140" s="166"/>
      <c r="V140" s="217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224"/>
      <c r="AH140" s="225">
        <v>9</v>
      </c>
      <c r="AI140" s="212" t="e">
        <f ca="1">IF(A140="O", (VALUE(_xludf.IFS(AH140=0,"0",AH140=1,"150",AH140=2,"300",AH140=3,"450",AH140=4,"600",AH140=5,"750",AH140&gt;=6,"800"))),(VALUE(_xludf.IFS(AH140=0,"0",AH140=1,"150",AH140=2,"300",AH140=3,"450",AH140=4,"600",AH140=5,"750",AH140=6,"900",AH140&gt;=7,"1,000"))))</f>
        <v>#NAME?</v>
      </c>
      <c r="AJ140" s="223" t="s">
        <v>45</v>
      </c>
      <c r="AK140" s="110"/>
    </row>
    <row r="141" spans="1:37" ht="18" customHeight="1">
      <c r="A141" s="166" t="s">
        <v>58</v>
      </c>
      <c r="B141" s="223" t="s">
        <v>46</v>
      </c>
      <c r="C141" s="217"/>
      <c r="D141" s="167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218"/>
      <c r="U141" s="166"/>
      <c r="V141" s="217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224"/>
      <c r="AH141" s="225">
        <v>9</v>
      </c>
      <c r="AI141" s="212" t="e">
        <f ca="1">IF(A141="O", (VALUE(_xludf.IFS(AH141=0,"0",AH141=1,"150",AH141=2,"300",AH141=3,"450",AH141=4,"600",AH141=5,"750",AH141&gt;=6,"800"))),(VALUE(_xludf.IFS(AH141=0,"0",AH141=1,"150",AH141=2,"300",AH141=3,"450",AH141=4,"600",AH141=5,"750",AH141=6,"900",AH141&gt;=7,"1,000"))))</f>
        <v>#NAME?</v>
      </c>
      <c r="AJ141" s="223" t="s">
        <v>46</v>
      </c>
      <c r="AK141" s="110"/>
    </row>
    <row r="142" spans="1:37" ht="18" customHeight="1">
      <c r="A142" s="166" t="s">
        <v>58</v>
      </c>
      <c r="B142" s="223" t="s">
        <v>47</v>
      </c>
      <c r="C142" s="217"/>
      <c r="D142" s="167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218"/>
      <c r="U142" s="166"/>
      <c r="V142" s="217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224"/>
      <c r="AH142" s="225">
        <v>0</v>
      </c>
      <c r="AI142" s="212" t="e">
        <f ca="1">IF(A142="O", (VALUE(_xludf.IFS(AH142=0,"0",AH142=1,"150",AH142=2,"300",AH142=3,"450",AH142=4,"600",AH142=5,"750",AH142&gt;=6,"800"))),(VALUE(_xludf.IFS(AH142=0,"0",AH142=1,"150",AH142=2,"300",AH142=3,"450",AH142=4,"600",AH142=5,"750",AH142=6,"900",AH142&gt;=7,"1,000"))))</f>
        <v>#NAME?</v>
      </c>
      <c r="AJ142" s="223" t="s">
        <v>47</v>
      </c>
      <c r="AK142" s="110"/>
    </row>
    <row r="143" spans="1:37" ht="18" customHeight="1">
      <c r="A143" s="166" t="s">
        <v>58</v>
      </c>
      <c r="B143" s="223" t="s">
        <v>48</v>
      </c>
      <c r="C143" s="217"/>
      <c r="D143" s="167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218"/>
      <c r="U143" s="166"/>
      <c r="V143" s="217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224"/>
      <c r="AH143" s="225">
        <v>0</v>
      </c>
      <c r="AI143" s="212" t="e">
        <f ca="1">IF(A143="O", (VALUE(_xludf.IFS(AH143=0,"0",AH143=1,"150",AH143=2,"300",AH143=3,"450",AH143=4,"600",AH143=5,"750",AH143&gt;=6,"800"))),(VALUE(_xludf.IFS(AH143=0,"0",AH143=1,"150",AH143=2,"300",AH143=3,"450",AH143=4,"600",AH143=5,"750",AH143=6,"900",AH143&gt;=7,"1,000"))))</f>
        <v>#NAME?</v>
      </c>
      <c r="AJ143" s="223" t="s">
        <v>48</v>
      </c>
      <c r="AK143" s="110"/>
    </row>
    <row r="144" spans="1:37" ht="18" customHeight="1">
      <c r="A144" s="166" t="s">
        <v>58</v>
      </c>
      <c r="B144" s="223" t="s">
        <v>49</v>
      </c>
      <c r="C144" s="217"/>
      <c r="D144" s="167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218"/>
      <c r="U144" s="166"/>
      <c r="V144" s="217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224"/>
      <c r="AH144" s="225">
        <v>0</v>
      </c>
      <c r="AI144" s="212" t="e">
        <f ca="1">IF(A144="O", (VALUE(_xludf.IFS(AH144=0,"0",AH144=1,"150",AH144=2,"300",AH144=3,"450",AH144=4,"600",AH144=5,"750",AH144&gt;=6,"800"))),(VALUE(_xludf.IFS(AH144=0,"0",AH144=1,"150",AH144=2,"300",AH144=3,"450",AH144=4,"600",AH144=5,"750",AH144=6,"900",AH144&gt;=7,"1,000"))))</f>
        <v>#NAME?</v>
      </c>
      <c r="AJ144" s="223" t="s">
        <v>49</v>
      </c>
      <c r="AK144" s="110"/>
    </row>
    <row r="145" spans="1:37" ht="18" customHeight="1">
      <c r="A145" s="166" t="s">
        <v>58</v>
      </c>
      <c r="B145" s="223" t="s">
        <v>50</v>
      </c>
      <c r="C145" s="217"/>
      <c r="D145" s="167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218"/>
      <c r="U145" s="166"/>
      <c r="V145" s="217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224"/>
      <c r="AH145" s="225">
        <v>0</v>
      </c>
      <c r="AI145" s="212" t="e">
        <f ca="1">IF(A145="O", (VALUE(_xludf.IFS(AH145=0,"0",AH145=1,"150",AH145=2,"300",AH145=3,"450",AH145=4,"600",AH145=5,"750",AH145&gt;=6,"800"))),(VALUE(_xludf.IFS(AH145=0,"0",AH145=1,"150",AH145=2,"300",AH145=3,"450",AH145=4,"600",AH145=5,"750",AH145=6,"900",AH145&gt;=7,"1,000"))))</f>
        <v>#NAME?</v>
      </c>
      <c r="AJ145" s="223" t="s">
        <v>50</v>
      </c>
      <c r="AK145" s="110"/>
    </row>
    <row r="146" spans="1:37" ht="18" customHeight="1">
      <c r="A146" s="166" t="s">
        <v>9</v>
      </c>
      <c r="B146" s="223" t="s">
        <v>107</v>
      </c>
      <c r="C146" s="217"/>
      <c r="D146" s="167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218"/>
      <c r="U146" s="166"/>
      <c r="V146" s="217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224"/>
      <c r="AH146" s="225">
        <v>9</v>
      </c>
      <c r="AI146" s="212" t="e">
        <f ca="1">IF(A146="O", (VALUE(_xludf.IFS(AH146=0,"0",AH146=1,"150",AH146=2,"300",AH146=3,"450",AH146=4,"600",AH146=5,"750",AH146&gt;=6,"800"))),(VALUE(_xludf.IFS(AH146=0,"0",AH146=1,"150",AH146=2,"300",AH146=3,"450",AH146=4,"600",AH146=5,"750",AH146=6,"900",AH146&gt;=7,"1,000"))))</f>
        <v>#NAME?</v>
      </c>
      <c r="AJ146" s="223" t="s">
        <v>107</v>
      </c>
      <c r="AK146" s="110"/>
    </row>
    <row r="147" spans="1:37" ht="18" customHeight="1">
      <c r="A147" s="166" t="s">
        <v>58</v>
      </c>
      <c r="B147" s="223" t="s">
        <v>108</v>
      </c>
      <c r="C147" s="217"/>
      <c r="D147" s="167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218"/>
      <c r="U147" s="166"/>
      <c r="V147" s="217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224"/>
      <c r="AH147" s="225">
        <v>10</v>
      </c>
      <c r="AI147" s="212" t="e">
        <f ca="1">IF(A147="O", (VALUE(_xludf.IFS(AH147=0,"0",AH147=1,"150",AH147=2,"300",AH147=3,"450",AH147=4,"600",AH147=5,"750",AH147&gt;=6,"800"))),(VALUE(_xludf.IFS(AH147=0,"0",AH147=1,"150",AH147=2,"300",AH147=3,"450",AH147=4,"600",AH147=5,"750",AH147=6,"900",AH147&gt;=7,"1,000"))))</f>
        <v>#NAME?</v>
      </c>
      <c r="AJ147" s="223" t="s">
        <v>108</v>
      </c>
      <c r="AK147" s="110"/>
    </row>
    <row r="148" spans="1:37" ht="18" customHeight="1">
      <c r="A148" s="166" t="s">
        <v>58</v>
      </c>
      <c r="B148" s="223" t="s">
        <v>109</v>
      </c>
      <c r="C148" s="217"/>
      <c r="D148" s="167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218"/>
      <c r="U148" s="166"/>
      <c r="V148" s="217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224"/>
      <c r="AH148" s="225">
        <v>1</v>
      </c>
      <c r="AI148" s="212" t="e">
        <f ca="1">IF(A148="O", (VALUE(_xludf.IFS(AH148=0,"0",AH148=1,"150",AH148=2,"300",AH148=3,"450",AH148=4,"600",AH148=5,"750",AH148&gt;=6,"800"))),(VALUE(_xludf.IFS(AH148=0,"0",AH148=1,"150",AH148=2,"300",AH148=3,"450",AH148=4,"600",AH148=5,"750",AH148=6,"900",AH148&gt;=7,"1,000"))))</f>
        <v>#NAME?</v>
      </c>
      <c r="AJ148" s="223" t="s">
        <v>109</v>
      </c>
      <c r="AK148" s="110"/>
    </row>
    <row r="149" spans="1:37" ht="18" customHeight="1">
      <c r="A149" s="166" t="s">
        <v>58</v>
      </c>
      <c r="B149" s="223" t="s">
        <v>110</v>
      </c>
      <c r="C149" s="217"/>
      <c r="D149" s="167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218"/>
      <c r="U149" s="166"/>
      <c r="V149" s="217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224"/>
      <c r="AH149" s="225">
        <v>10</v>
      </c>
      <c r="AI149" s="212" t="e">
        <f ca="1">IF(A149="O", (VALUE(_xludf.IFS(AH149=0,"0",AH149=1,"150",AH149=2,"300",AH149=3,"450",AH149=4,"600",AH149=5,"750",AH149&gt;=6,"800"))),(VALUE(_xludf.IFS(AH149=0,"0",AH149=1,"150",AH149=2,"300",AH149=3,"450",AH149=4,"600",AH149=5,"750",AH149=6,"900",AH149&gt;=7,"1,000"))))</f>
        <v>#NAME?</v>
      </c>
      <c r="AJ149" s="223" t="s">
        <v>110</v>
      </c>
      <c r="AK149" s="110"/>
    </row>
    <row r="150" spans="1:37" ht="18" customHeight="1">
      <c r="A150" s="166" t="s">
        <v>58</v>
      </c>
      <c r="B150" s="223" t="s">
        <v>51</v>
      </c>
      <c r="C150" s="217"/>
      <c r="D150" s="167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218"/>
      <c r="U150" s="166"/>
      <c r="V150" s="217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224"/>
      <c r="AH150" s="225">
        <v>10</v>
      </c>
      <c r="AI150" s="212" t="e">
        <f ca="1">IF(A150="O", (VALUE(_xludf.IFS(AH150=0,"0",AH150=1,"150",AH150=2,"300",AH150=3,"450",AH150=4,"600",AH150=5,"750",AH150&gt;=6,"800"))),(VALUE(_xludf.IFS(AH150=0,"0",AH150=1,"150",AH150=2,"300",AH150=3,"450",AH150=4,"600",AH150=5,"750",AH150=6,"900",AH150&gt;=7,"1,000"))))</f>
        <v>#NAME?</v>
      </c>
      <c r="AJ150" s="223" t="s">
        <v>51</v>
      </c>
      <c r="AK150" s="110"/>
    </row>
  </sheetData>
  <autoFilter ref="AH4:AJ150" xr:uid="{00000000-0009-0000-0000-000021000000}"/>
  <mergeCells count="5">
    <mergeCell ref="AI1:AI3"/>
    <mergeCell ref="AJ1:AJ3"/>
    <mergeCell ref="AH1:AH3"/>
    <mergeCell ref="A1:B1"/>
    <mergeCell ref="AK1:AK2"/>
  </mergeCells>
  <phoneticPr fontId="12" type="noConversion"/>
  <conditionalFormatting sqref="B2:B4 B7:B9 B11 B13:B139">
    <cfRule type="expression" dxfId="1" priority="1">
      <formula>COUNTIF($B:$B,$B2)&gt;1</formula>
    </cfRule>
  </conditionalFormatting>
  <dataValidations count="1">
    <dataValidation type="list" allowBlank="1" showDropDown="1" showErrorMessage="1" sqref="C1:AG1" xr:uid="{00000000-0002-0000-2100-000000000000}">
      <formula1>"-,Jason,曉明,青蛙,李洋,Mars"</formula1>
    </dataValidation>
  </dataValidations>
  <printOptions horizontalCentered="1" gridLines="1"/>
  <pageMargins left="0.25" right="0.25" top="0.6" bottom="0.6" header="0" footer="0"/>
  <pageSetup paperSize="9" fitToHeight="0" pageOrder="overThenDown" orientation="landscape" cellComments="atEnd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EA9999"/>
    <outlinePr summaryBelow="0" summaryRight="0"/>
    <pageSetUpPr fitToPage="1"/>
  </sheetPr>
  <dimension ref="A1:AK160"/>
  <sheetViews>
    <sheetView topLeftCell="A140" zoomScaleNormal="100" workbookViewId="0">
      <pane xSplit="4" topLeftCell="E1" activePane="topRight" state="frozen"/>
      <selection pane="topRight" activeCell="AM11" sqref="AM11"/>
    </sheetView>
  </sheetViews>
  <sheetFormatPr defaultColWidth="12.54296875" defaultRowHeight="15.75" customHeight="1"/>
  <cols>
    <col min="1" max="1" width="9.1796875" style="230" customWidth="1"/>
    <col min="2" max="2" width="8.453125" style="230" customWidth="1"/>
    <col min="3" max="33" width="4.81640625" style="230" customWidth="1"/>
    <col min="34" max="34" width="4.453125" style="230" customWidth="1"/>
    <col min="35" max="36" width="6" style="230" customWidth="1"/>
    <col min="37" max="37" width="13.26953125" style="230" customWidth="1"/>
    <col min="38" max="44" width="12.54296875" style="230" customWidth="1"/>
    <col min="45" max="16384" width="12.54296875" style="230"/>
  </cols>
  <sheetData>
    <row r="1" spans="1:37" ht="18" customHeight="1">
      <c r="A1" s="227" t="s">
        <v>0</v>
      </c>
      <c r="B1" s="228"/>
      <c r="C1" s="228"/>
      <c r="D1" s="229"/>
      <c r="E1" s="229"/>
      <c r="F1" s="228"/>
      <c r="G1" s="229"/>
      <c r="H1" s="228"/>
      <c r="I1" s="229"/>
      <c r="J1" s="229"/>
      <c r="K1" s="229"/>
      <c r="L1" s="229"/>
      <c r="M1" s="228"/>
      <c r="N1" s="229"/>
      <c r="O1" s="228"/>
      <c r="P1" s="229"/>
      <c r="Q1" s="229"/>
      <c r="R1" s="229"/>
      <c r="S1" s="229"/>
      <c r="T1" s="228"/>
      <c r="U1" s="229"/>
      <c r="V1" s="228"/>
      <c r="W1" s="229"/>
      <c r="X1" s="229"/>
      <c r="Y1" s="229"/>
      <c r="Z1" s="229"/>
      <c r="AA1" s="228"/>
      <c r="AB1" s="229"/>
      <c r="AC1" s="229"/>
      <c r="AD1" s="229"/>
      <c r="AE1" s="229"/>
      <c r="AF1" s="229"/>
      <c r="AG1" s="229"/>
      <c r="AH1" s="261"/>
      <c r="AI1" s="261"/>
      <c r="AJ1" s="261"/>
      <c r="AK1" s="269" t="s">
        <v>1</v>
      </c>
    </row>
    <row r="2" spans="1:37" ht="18" customHeight="1">
      <c r="A2" s="228" t="s">
        <v>2</v>
      </c>
      <c r="B2" s="228" t="s">
        <v>3</v>
      </c>
      <c r="C2" s="231">
        <v>46235</v>
      </c>
      <c r="D2" s="231">
        <v>46236</v>
      </c>
      <c r="E2" s="231">
        <v>46237</v>
      </c>
      <c r="F2" s="231">
        <v>46238</v>
      </c>
      <c r="G2" s="231">
        <v>46239</v>
      </c>
      <c r="H2" s="231">
        <v>46240</v>
      </c>
      <c r="I2" s="231">
        <v>46241</v>
      </c>
      <c r="J2" s="231">
        <v>46242</v>
      </c>
      <c r="K2" s="231">
        <v>46243</v>
      </c>
      <c r="L2" s="231">
        <v>46244</v>
      </c>
      <c r="M2" s="231">
        <v>46245</v>
      </c>
      <c r="N2" s="231">
        <v>46246</v>
      </c>
      <c r="O2" s="231">
        <v>46247</v>
      </c>
      <c r="P2" s="231">
        <v>46248</v>
      </c>
      <c r="Q2" s="231">
        <v>46249</v>
      </c>
      <c r="R2" s="231">
        <v>46250</v>
      </c>
      <c r="S2" s="231">
        <v>46251</v>
      </c>
      <c r="T2" s="231">
        <v>46252</v>
      </c>
      <c r="U2" s="231">
        <v>46253</v>
      </c>
      <c r="V2" s="231">
        <v>46254</v>
      </c>
      <c r="W2" s="231">
        <v>46255</v>
      </c>
      <c r="X2" s="231">
        <v>46256</v>
      </c>
      <c r="Y2" s="231">
        <v>46257</v>
      </c>
      <c r="Z2" s="231">
        <v>46258</v>
      </c>
      <c r="AA2" s="231">
        <v>46259</v>
      </c>
      <c r="AB2" s="231">
        <v>46260</v>
      </c>
      <c r="AC2" s="231">
        <v>46261</v>
      </c>
      <c r="AD2" s="231">
        <v>46262</v>
      </c>
      <c r="AE2" s="231">
        <v>46263</v>
      </c>
      <c r="AF2" s="231">
        <v>46264</v>
      </c>
      <c r="AG2" s="231">
        <v>46265</v>
      </c>
      <c r="AH2" s="226"/>
      <c r="AI2" s="226"/>
      <c r="AJ2" s="226"/>
      <c r="AK2" s="270"/>
    </row>
    <row r="3" spans="1:37" ht="18" customHeight="1">
      <c r="A3" s="228" t="s">
        <v>4</v>
      </c>
      <c r="B3" s="228" t="s">
        <v>5</v>
      </c>
      <c r="C3" s="228">
        <v>6</v>
      </c>
      <c r="D3" s="232">
        <v>7</v>
      </c>
      <c r="E3" s="229">
        <f t="shared" ref="E3:AG3" si="0">WEEKDAY(E2-1)</f>
        <v>1</v>
      </c>
      <c r="F3" s="228">
        <f t="shared" si="0"/>
        <v>2</v>
      </c>
      <c r="G3" s="229">
        <f t="shared" si="0"/>
        <v>3</v>
      </c>
      <c r="H3" s="228">
        <f t="shared" si="0"/>
        <v>4</v>
      </c>
      <c r="I3" s="229">
        <f t="shared" si="0"/>
        <v>5</v>
      </c>
      <c r="J3" s="229">
        <f t="shared" si="0"/>
        <v>6</v>
      </c>
      <c r="K3" s="229">
        <f t="shared" si="0"/>
        <v>7</v>
      </c>
      <c r="L3" s="229">
        <f t="shared" si="0"/>
        <v>1</v>
      </c>
      <c r="M3" s="228">
        <f t="shared" si="0"/>
        <v>2</v>
      </c>
      <c r="N3" s="229">
        <f t="shared" si="0"/>
        <v>3</v>
      </c>
      <c r="O3" s="228">
        <f t="shared" si="0"/>
        <v>4</v>
      </c>
      <c r="P3" s="229">
        <f t="shared" si="0"/>
        <v>5</v>
      </c>
      <c r="Q3" s="229">
        <f t="shared" si="0"/>
        <v>6</v>
      </c>
      <c r="R3" s="229">
        <f t="shared" si="0"/>
        <v>7</v>
      </c>
      <c r="S3" s="229">
        <f t="shared" si="0"/>
        <v>1</v>
      </c>
      <c r="T3" s="228">
        <f t="shared" si="0"/>
        <v>2</v>
      </c>
      <c r="U3" s="229">
        <f t="shared" si="0"/>
        <v>3</v>
      </c>
      <c r="V3" s="228">
        <f t="shared" si="0"/>
        <v>4</v>
      </c>
      <c r="W3" s="229">
        <f t="shared" si="0"/>
        <v>5</v>
      </c>
      <c r="X3" s="229">
        <f t="shared" si="0"/>
        <v>6</v>
      </c>
      <c r="Y3" s="229">
        <f t="shared" si="0"/>
        <v>7</v>
      </c>
      <c r="Z3" s="229">
        <f t="shared" si="0"/>
        <v>1</v>
      </c>
      <c r="AA3" s="228">
        <f t="shared" si="0"/>
        <v>2</v>
      </c>
      <c r="AB3" s="229">
        <f t="shared" si="0"/>
        <v>3</v>
      </c>
      <c r="AC3" s="229">
        <f t="shared" si="0"/>
        <v>4</v>
      </c>
      <c r="AD3" s="229">
        <f t="shared" si="0"/>
        <v>5</v>
      </c>
      <c r="AE3" s="229">
        <f t="shared" si="0"/>
        <v>6</v>
      </c>
      <c r="AF3" s="229">
        <f t="shared" si="0"/>
        <v>7</v>
      </c>
      <c r="AG3" s="229">
        <f t="shared" si="0"/>
        <v>1</v>
      </c>
      <c r="AH3" s="259" t="s">
        <v>6</v>
      </c>
      <c r="AI3" s="260" t="s">
        <v>7</v>
      </c>
      <c r="AJ3" s="262" t="s">
        <v>8</v>
      </c>
      <c r="AK3" s="233">
        <f>SUM(AI4:AI160)</f>
        <v>0</v>
      </c>
    </row>
    <row r="4" spans="1:37" ht="18" customHeight="1">
      <c r="A4" s="234" t="s">
        <v>9</v>
      </c>
      <c r="B4" s="234" t="s">
        <v>10</v>
      </c>
      <c r="C4" s="234"/>
      <c r="D4" s="235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6">
        <v>0</v>
      </c>
      <c r="AI4" s="237">
        <f t="shared" ref="AI4:AI35" si="1">IF(A4="O", (VALUE(_xlfn.SINGLE(_xlfn.IFS(AH4=0,"0",AH4=1,"150",AH4=2,"300",AH4=3,"450",AH4=4,"600",AH4=5,"750",AH4&gt;=6,"800")))),(VALUE(_xlfn.SINGLE(_xlfn.IFS(AH4=0,"0",AH4=1,"150",AH4=2,"300",AH4=3,"450",AH4=4,"600",AH4=5,"750",AH4=6,"900",AH4&gt;=7,"1,000")))))</f>
        <v>0</v>
      </c>
      <c r="AJ4" s="237"/>
      <c r="AK4" s="234"/>
    </row>
    <row r="5" spans="1:37" ht="18" customHeight="1">
      <c r="A5" s="234" t="s">
        <v>9</v>
      </c>
      <c r="B5" s="238" t="s">
        <v>11</v>
      </c>
      <c r="C5" s="234"/>
      <c r="D5" s="235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6">
        <v>0</v>
      </c>
      <c r="AI5" s="237">
        <f t="shared" si="1"/>
        <v>0</v>
      </c>
      <c r="AJ5" s="237"/>
      <c r="AK5" s="234"/>
    </row>
    <row r="6" spans="1:37" ht="18" customHeight="1">
      <c r="A6" s="234" t="s">
        <v>9</v>
      </c>
      <c r="B6" s="238" t="s">
        <v>13</v>
      </c>
      <c r="C6" s="234"/>
      <c r="D6" s="235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6">
        <v>0</v>
      </c>
      <c r="AI6" s="237">
        <f t="shared" si="1"/>
        <v>0</v>
      </c>
      <c r="AJ6" s="237"/>
      <c r="AK6" s="234"/>
    </row>
    <row r="7" spans="1:37" ht="18" customHeight="1">
      <c r="A7" s="234" t="s">
        <v>9</v>
      </c>
      <c r="B7" s="237" t="s">
        <v>14</v>
      </c>
      <c r="C7" s="234"/>
      <c r="D7" s="235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6">
        <v>0</v>
      </c>
      <c r="AI7" s="237">
        <f t="shared" si="1"/>
        <v>0</v>
      </c>
      <c r="AJ7" s="237"/>
      <c r="AK7" s="234"/>
    </row>
    <row r="8" spans="1:37" ht="18" customHeight="1">
      <c r="A8" s="234" t="s">
        <v>9</v>
      </c>
      <c r="B8" s="234" t="s">
        <v>15</v>
      </c>
      <c r="C8" s="234"/>
      <c r="D8" s="235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6">
        <v>0</v>
      </c>
      <c r="AI8" s="237">
        <f t="shared" si="1"/>
        <v>0</v>
      </c>
      <c r="AJ8" s="237"/>
      <c r="AK8" s="234"/>
    </row>
    <row r="9" spans="1:37" ht="18" customHeight="1">
      <c r="A9" s="234" t="s">
        <v>9</v>
      </c>
      <c r="B9" s="234" t="s">
        <v>16</v>
      </c>
      <c r="C9" s="234"/>
      <c r="D9" s="235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6">
        <v>0</v>
      </c>
      <c r="AI9" s="237">
        <f t="shared" si="1"/>
        <v>0</v>
      </c>
      <c r="AJ9" s="237"/>
      <c r="AK9" s="234"/>
    </row>
    <row r="10" spans="1:37" ht="18" customHeight="1">
      <c r="A10" s="234" t="s">
        <v>9</v>
      </c>
      <c r="B10" s="234" t="s">
        <v>17</v>
      </c>
      <c r="C10" s="234"/>
      <c r="D10" s="235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6">
        <v>0</v>
      </c>
      <c r="AI10" s="237">
        <f t="shared" si="1"/>
        <v>0</v>
      </c>
      <c r="AJ10" s="237"/>
      <c r="AK10" s="234"/>
    </row>
    <row r="11" spans="1:37" ht="18" customHeight="1">
      <c r="A11" s="234" t="s">
        <v>9</v>
      </c>
      <c r="B11" s="234" t="s">
        <v>18</v>
      </c>
      <c r="C11" s="234"/>
      <c r="D11" s="235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6">
        <v>0</v>
      </c>
      <c r="AI11" s="237">
        <f t="shared" si="1"/>
        <v>0</v>
      </c>
      <c r="AJ11" s="237"/>
      <c r="AK11" s="234"/>
    </row>
    <row r="12" spans="1:37" ht="18" customHeight="1">
      <c r="A12" s="234" t="s">
        <v>9</v>
      </c>
      <c r="B12" s="237" t="s">
        <v>19</v>
      </c>
      <c r="C12" s="234"/>
      <c r="D12" s="235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6">
        <v>0</v>
      </c>
      <c r="AI12" s="237">
        <f t="shared" si="1"/>
        <v>0</v>
      </c>
      <c r="AJ12" s="237"/>
      <c r="AK12" s="234"/>
    </row>
    <row r="13" spans="1:37" ht="18" customHeight="1">
      <c r="A13" s="234" t="s">
        <v>9</v>
      </c>
      <c r="B13" s="234" t="s">
        <v>20</v>
      </c>
      <c r="C13" s="234"/>
      <c r="D13" s="235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6">
        <v>0</v>
      </c>
      <c r="AI13" s="237">
        <f t="shared" si="1"/>
        <v>0</v>
      </c>
      <c r="AJ13" s="237"/>
      <c r="AK13" s="234"/>
    </row>
    <row r="14" spans="1:37" ht="18" customHeight="1">
      <c r="A14" s="234" t="s">
        <v>9</v>
      </c>
      <c r="B14" s="234" t="s">
        <v>21</v>
      </c>
      <c r="C14" s="234"/>
      <c r="D14" s="235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6">
        <v>0</v>
      </c>
      <c r="AI14" s="237">
        <f t="shared" si="1"/>
        <v>0</v>
      </c>
      <c r="AJ14" s="237"/>
      <c r="AK14" s="234"/>
    </row>
    <row r="15" spans="1:37" ht="18" customHeight="1">
      <c r="A15" s="234" t="s">
        <v>9</v>
      </c>
      <c r="B15" s="234" t="s">
        <v>22</v>
      </c>
      <c r="C15" s="234"/>
      <c r="D15" s="235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6">
        <v>0</v>
      </c>
      <c r="AI15" s="237">
        <f t="shared" si="1"/>
        <v>0</v>
      </c>
      <c r="AJ15" s="237"/>
      <c r="AK15" s="234"/>
    </row>
    <row r="16" spans="1:37" ht="18" customHeight="1">
      <c r="A16" s="234" t="s">
        <v>9</v>
      </c>
      <c r="B16" s="234" t="s">
        <v>23</v>
      </c>
      <c r="C16" s="234"/>
      <c r="D16" s="235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6">
        <v>0</v>
      </c>
      <c r="AI16" s="237">
        <f t="shared" si="1"/>
        <v>0</v>
      </c>
      <c r="AJ16" s="237"/>
      <c r="AK16" s="237"/>
    </row>
    <row r="17" spans="1:37" ht="18" customHeight="1">
      <c r="A17" s="234" t="s">
        <v>9</v>
      </c>
      <c r="B17" s="234" t="s">
        <v>24</v>
      </c>
      <c r="C17" s="234"/>
      <c r="D17" s="235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6">
        <v>0</v>
      </c>
      <c r="AI17" s="237">
        <f t="shared" si="1"/>
        <v>0</v>
      </c>
      <c r="AJ17" s="237"/>
      <c r="AK17" s="237"/>
    </row>
    <row r="18" spans="1:37" ht="18" customHeight="1">
      <c r="A18" s="234" t="s">
        <v>9</v>
      </c>
      <c r="B18" s="234" t="s">
        <v>25</v>
      </c>
      <c r="C18" s="234"/>
      <c r="D18" s="235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6">
        <v>0</v>
      </c>
      <c r="AI18" s="237">
        <f t="shared" si="1"/>
        <v>0</v>
      </c>
      <c r="AJ18" s="237"/>
      <c r="AK18" s="237"/>
    </row>
    <row r="19" spans="1:37" ht="18" customHeight="1">
      <c r="A19" s="234" t="s">
        <v>9</v>
      </c>
      <c r="B19" s="234" t="s">
        <v>26</v>
      </c>
      <c r="C19" s="234"/>
      <c r="D19" s="235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6">
        <v>0</v>
      </c>
      <c r="AI19" s="237">
        <f t="shared" si="1"/>
        <v>0</v>
      </c>
      <c r="AJ19" s="237"/>
      <c r="AK19" s="237"/>
    </row>
    <row r="20" spans="1:37" ht="18" customHeight="1">
      <c r="A20" s="234" t="s">
        <v>9</v>
      </c>
      <c r="B20" s="234" t="s">
        <v>27</v>
      </c>
      <c r="C20" s="234"/>
      <c r="D20" s="235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6">
        <v>0</v>
      </c>
      <c r="AI20" s="237">
        <f t="shared" si="1"/>
        <v>0</v>
      </c>
      <c r="AJ20" s="237"/>
      <c r="AK20" s="237"/>
    </row>
    <row r="21" spans="1:37" ht="18" customHeight="1">
      <c r="A21" s="234" t="s">
        <v>9</v>
      </c>
      <c r="B21" s="234" t="s">
        <v>28</v>
      </c>
      <c r="C21" s="234"/>
      <c r="D21" s="235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6">
        <v>0</v>
      </c>
      <c r="AI21" s="237">
        <f t="shared" si="1"/>
        <v>0</v>
      </c>
      <c r="AJ21" s="237"/>
      <c r="AK21" s="237"/>
    </row>
    <row r="22" spans="1:37" ht="18" customHeight="1">
      <c r="A22" s="234" t="s">
        <v>9</v>
      </c>
      <c r="B22" s="234" t="s">
        <v>29</v>
      </c>
      <c r="C22" s="234"/>
      <c r="D22" s="235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6">
        <v>0</v>
      </c>
      <c r="AI22" s="237">
        <f t="shared" si="1"/>
        <v>0</v>
      </c>
      <c r="AJ22" s="237"/>
      <c r="AK22" s="237"/>
    </row>
    <row r="23" spans="1:37" ht="18" customHeight="1">
      <c r="A23" s="234" t="s">
        <v>9</v>
      </c>
      <c r="B23" s="234" t="s">
        <v>30</v>
      </c>
      <c r="C23" s="234"/>
      <c r="D23" s="235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6">
        <v>0</v>
      </c>
      <c r="AI23" s="237">
        <f t="shared" si="1"/>
        <v>0</v>
      </c>
      <c r="AJ23" s="237"/>
      <c r="AK23" s="237"/>
    </row>
    <row r="24" spans="1:37" ht="18" customHeight="1">
      <c r="A24" s="234" t="s">
        <v>9</v>
      </c>
      <c r="B24" s="234" t="s">
        <v>31</v>
      </c>
      <c r="C24" s="234"/>
      <c r="D24" s="235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6">
        <v>0</v>
      </c>
      <c r="AI24" s="237">
        <f t="shared" si="1"/>
        <v>0</v>
      </c>
      <c r="AJ24" s="237"/>
      <c r="AK24" s="237"/>
    </row>
    <row r="25" spans="1:37" ht="18" customHeight="1">
      <c r="A25" s="239" t="s">
        <v>9</v>
      </c>
      <c r="B25" s="239" t="s">
        <v>32</v>
      </c>
      <c r="C25" s="239"/>
      <c r="D25" s="240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41">
        <v>0</v>
      </c>
      <c r="AI25" s="237">
        <f t="shared" si="1"/>
        <v>0</v>
      </c>
      <c r="AJ25" s="237"/>
      <c r="AK25" s="237"/>
    </row>
    <row r="26" spans="1:37" ht="18" customHeight="1">
      <c r="A26" s="239" t="s">
        <v>9</v>
      </c>
      <c r="B26" s="239" t="s">
        <v>33</v>
      </c>
      <c r="C26" s="239"/>
      <c r="D26" s="240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41">
        <v>0</v>
      </c>
      <c r="AI26" s="237">
        <f t="shared" si="1"/>
        <v>0</v>
      </c>
      <c r="AJ26" s="237"/>
      <c r="AK26" s="237"/>
    </row>
    <row r="27" spans="1:37" ht="18" customHeight="1">
      <c r="A27" s="239" t="s">
        <v>9</v>
      </c>
      <c r="B27" s="239" t="s">
        <v>34</v>
      </c>
      <c r="C27" s="239"/>
      <c r="D27" s="240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41">
        <v>0</v>
      </c>
      <c r="AI27" s="237">
        <f t="shared" si="1"/>
        <v>0</v>
      </c>
      <c r="AJ27" s="237"/>
      <c r="AK27" s="234"/>
    </row>
    <row r="28" spans="1:37" ht="18" customHeight="1">
      <c r="A28" s="239" t="s">
        <v>9</v>
      </c>
      <c r="B28" s="239" t="s">
        <v>35</v>
      </c>
      <c r="C28" s="239"/>
      <c r="D28" s="240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41">
        <v>0</v>
      </c>
      <c r="AI28" s="237">
        <f t="shared" si="1"/>
        <v>0</v>
      </c>
      <c r="AJ28" s="237"/>
      <c r="AK28" s="234"/>
    </row>
    <row r="29" spans="1:37" ht="18" customHeight="1">
      <c r="A29" s="239" t="s">
        <v>9</v>
      </c>
      <c r="B29" s="239" t="s">
        <v>36</v>
      </c>
      <c r="C29" s="239"/>
      <c r="D29" s="240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41">
        <v>0</v>
      </c>
      <c r="AI29" s="237">
        <f t="shared" si="1"/>
        <v>0</v>
      </c>
      <c r="AJ29" s="237"/>
      <c r="AK29" s="234"/>
    </row>
    <row r="30" spans="1:37" ht="18" customHeight="1">
      <c r="A30" s="239" t="s">
        <v>9</v>
      </c>
      <c r="B30" s="239" t="s">
        <v>37</v>
      </c>
      <c r="C30" s="239"/>
      <c r="D30" s="240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41">
        <v>0</v>
      </c>
      <c r="AI30" s="237">
        <f t="shared" si="1"/>
        <v>0</v>
      </c>
      <c r="AJ30" s="237"/>
      <c r="AK30" s="234"/>
    </row>
    <row r="31" spans="1:37" ht="18" customHeight="1">
      <c r="A31" s="239" t="s">
        <v>9</v>
      </c>
      <c r="B31" s="239" t="s">
        <v>38</v>
      </c>
      <c r="C31" s="239"/>
      <c r="D31" s="240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41">
        <v>0</v>
      </c>
      <c r="AI31" s="237">
        <f t="shared" si="1"/>
        <v>0</v>
      </c>
      <c r="AJ31" s="237"/>
      <c r="AK31" s="234"/>
    </row>
    <row r="32" spans="1:37" ht="18" customHeight="1">
      <c r="A32" s="239" t="s">
        <v>9</v>
      </c>
      <c r="B32" s="239" t="s">
        <v>39</v>
      </c>
      <c r="C32" s="239"/>
      <c r="D32" s="240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41">
        <v>0</v>
      </c>
      <c r="AI32" s="237">
        <f t="shared" si="1"/>
        <v>0</v>
      </c>
      <c r="AJ32" s="237"/>
      <c r="AK32" s="234"/>
    </row>
    <row r="33" spans="1:37" ht="18" customHeight="1">
      <c r="A33" s="239" t="s">
        <v>9</v>
      </c>
      <c r="B33" s="239" t="s">
        <v>40</v>
      </c>
      <c r="C33" s="239"/>
      <c r="D33" s="240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41">
        <v>0</v>
      </c>
      <c r="AI33" s="237">
        <f t="shared" si="1"/>
        <v>0</v>
      </c>
      <c r="AJ33" s="237"/>
      <c r="AK33" s="234"/>
    </row>
    <row r="34" spans="1:37" ht="18" customHeight="1">
      <c r="A34" s="239" t="s">
        <v>9</v>
      </c>
      <c r="B34" s="239" t="s">
        <v>41</v>
      </c>
      <c r="C34" s="239"/>
      <c r="D34" s="240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41">
        <v>0</v>
      </c>
      <c r="AI34" s="237">
        <f t="shared" si="1"/>
        <v>0</v>
      </c>
      <c r="AJ34" s="237"/>
      <c r="AK34" s="239"/>
    </row>
    <row r="35" spans="1:37" ht="18" customHeight="1">
      <c r="A35" s="239" t="s">
        <v>9</v>
      </c>
      <c r="B35" s="239" t="s">
        <v>42</v>
      </c>
      <c r="C35" s="239"/>
      <c r="D35" s="240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41">
        <v>0</v>
      </c>
      <c r="AI35" s="237">
        <f t="shared" si="1"/>
        <v>0</v>
      </c>
      <c r="AJ35" s="237"/>
      <c r="AK35" s="239"/>
    </row>
    <row r="36" spans="1:37" ht="18" customHeight="1">
      <c r="A36" s="239" t="s">
        <v>9</v>
      </c>
      <c r="B36" s="239" t="s">
        <v>43</v>
      </c>
      <c r="C36" s="239"/>
      <c r="D36" s="240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41">
        <v>0</v>
      </c>
      <c r="AI36" s="237">
        <f t="shared" ref="AI36:AI67" si="2">IF(A36="O", (VALUE(_xlfn.SINGLE(_xlfn.IFS(AH36=0,"0",AH36=1,"150",AH36=2,"300",AH36=3,"450",AH36=4,"600",AH36=5,"750",AH36&gt;=6,"800")))),(VALUE(_xlfn.SINGLE(_xlfn.IFS(AH36=0,"0",AH36=1,"150",AH36=2,"300",AH36=3,"450",AH36=4,"600",AH36=5,"750",AH36=6,"900",AH36&gt;=7,"1,000")))))</f>
        <v>0</v>
      </c>
      <c r="AJ36" s="237"/>
      <c r="AK36" s="239"/>
    </row>
    <row r="37" spans="1:37" ht="18" customHeight="1">
      <c r="A37" s="239" t="s">
        <v>9</v>
      </c>
      <c r="B37" s="239" t="s">
        <v>44</v>
      </c>
      <c r="C37" s="239"/>
      <c r="D37" s="240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41">
        <v>0</v>
      </c>
      <c r="AI37" s="237">
        <f t="shared" si="2"/>
        <v>0</v>
      </c>
      <c r="AJ37" s="237"/>
      <c r="AK37" s="239"/>
    </row>
    <row r="38" spans="1:37" ht="18" customHeight="1">
      <c r="A38" s="239" t="s">
        <v>9</v>
      </c>
      <c r="B38" s="239" t="s">
        <v>45</v>
      </c>
      <c r="C38" s="239"/>
      <c r="D38" s="240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39"/>
      <c r="AG38" s="239"/>
      <c r="AH38" s="241">
        <v>0</v>
      </c>
      <c r="AI38" s="237">
        <f t="shared" si="2"/>
        <v>0</v>
      </c>
      <c r="AJ38" s="237"/>
      <c r="AK38" s="239"/>
    </row>
    <row r="39" spans="1:37" ht="18" customHeight="1">
      <c r="A39" s="239" t="s">
        <v>9</v>
      </c>
      <c r="B39" s="239" t="s">
        <v>46</v>
      </c>
      <c r="C39" s="239"/>
      <c r="D39" s="240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41">
        <v>0</v>
      </c>
      <c r="AI39" s="237">
        <f t="shared" si="2"/>
        <v>0</v>
      </c>
      <c r="AJ39" s="237"/>
      <c r="AK39" s="239"/>
    </row>
    <row r="40" spans="1:37" ht="18" customHeight="1">
      <c r="A40" s="239" t="s">
        <v>9</v>
      </c>
      <c r="B40" s="239" t="s">
        <v>47</v>
      </c>
      <c r="C40" s="239"/>
      <c r="D40" s="240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41">
        <v>0</v>
      </c>
      <c r="AI40" s="237">
        <f t="shared" si="2"/>
        <v>0</v>
      </c>
      <c r="AJ40" s="237"/>
      <c r="AK40" s="239"/>
    </row>
    <row r="41" spans="1:37" ht="18" customHeight="1">
      <c r="A41" s="239" t="s">
        <v>9</v>
      </c>
      <c r="B41" s="239" t="s">
        <v>48</v>
      </c>
      <c r="C41" s="239"/>
      <c r="D41" s="240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41">
        <v>0</v>
      </c>
      <c r="AI41" s="237">
        <f t="shared" si="2"/>
        <v>0</v>
      </c>
      <c r="AJ41" s="237"/>
      <c r="AK41" s="239"/>
    </row>
    <row r="42" spans="1:37" ht="18" customHeight="1">
      <c r="A42" s="239" t="s">
        <v>9</v>
      </c>
      <c r="B42" s="239" t="s">
        <v>49</v>
      </c>
      <c r="C42" s="239"/>
      <c r="D42" s="240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41">
        <v>0</v>
      </c>
      <c r="AI42" s="237">
        <f t="shared" si="2"/>
        <v>0</v>
      </c>
      <c r="AJ42" s="237"/>
      <c r="AK42" s="239"/>
    </row>
    <row r="43" spans="1:37" ht="18" customHeight="1">
      <c r="A43" s="239" t="s">
        <v>9</v>
      </c>
      <c r="B43" s="239" t="s">
        <v>50</v>
      </c>
      <c r="C43" s="239"/>
      <c r="D43" s="240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41">
        <v>0</v>
      </c>
      <c r="AI43" s="237">
        <f t="shared" si="2"/>
        <v>0</v>
      </c>
      <c r="AJ43" s="237"/>
      <c r="AK43" s="239"/>
    </row>
    <row r="44" spans="1:37" ht="18" customHeight="1">
      <c r="A44" s="239" t="s">
        <v>9</v>
      </c>
      <c r="B44" s="239" t="s">
        <v>51</v>
      </c>
      <c r="C44" s="239"/>
      <c r="D44" s="240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41">
        <v>0</v>
      </c>
      <c r="AI44" s="237">
        <f t="shared" si="2"/>
        <v>0</v>
      </c>
      <c r="AJ44" s="237"/>
      <c r="AK44" s="239"/>
    </row>
    <row r="45" spans="1:37" ht="18" customHeight="1">
      <c r="A45" s="239" t="s">
        <v>9</v>
      </c>
      <c r="B45" s="239" t="s">
        <v>52</v>
      </c>
      <c r="C45" s="239"/>
      <c r="D45" s="240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41">
        <v>0</v>
      </c>
      <c r="AI45" s="237">
        <f t="shared" si="2"/>
        <v>0</v>
      </c>
      <c r="AJ45" s="237"/>
      <c r="AK45" s="239"/>
    </row>
    <row r="46" spans="1:37" ht="18" customHeight="1">
      <c r="A46" s="239" t="s">
        <v>9</v>
      </c>
      <c r="B46" s="239" t="s">
        <v>53</v>
      </c>
      <c r="C46" s="239"/>
      <c r="D46" s="240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41">
        <v>0</v>
      </c>
      <c r="AI46" s="237">
        <f t="shared" si="2"/>
        <v>0</v>
      </c>
      <c r="AJ46" s="237"/>
      <c r="AK46" s="239"/>
    </row>
    <row r="47" spans="1:37" ht="18" customHeight="1">
      <c r="A47" s="239" t="s">
        <v>9</v>
      </c>
      <c r="B47" s="239" t="s">
        <v>54</v>
      </c>
      <c r="C47" s="239"/>
      <c r="D47" s="240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41">
        <v>0</v>
      </c>
      <c r="AI47" s="237">
        <f t="shared" si="2"/>
        <v>0</v>
      </c>
      <c r="AJ47" s="237"/>
      <c r="AK47" s="234"/>
    </row>
    <row r="48" spans="1:37" ht="18" customHeight="1">
      <c r="A48" s="240" t="s">
        <v>9</v>
      </c>
      <c r="B48" s="240" t="s">
        <v>55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1">
        <v>0</v>
      </c>
      <c r="AI48" s="237">
        <f t="shared" si="2"/>
        <v>0</v>
      </c>
      <c r="AJ48" s="237"/>
      <c r="AK48" s="235"/>
    </row>
    <row r="49" spans="1:37" ht="18" customHeight="1">
      <c r="A49" s="240" t="s">
        <v>9</v>
      </c>
      <c r="B49" s="240" t="s">
        <v>56</v>
      </c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1">
        <v>0</v>
      </c>
      <c r="AI49" s="237">
        <f t="shared" si="2"/>
        <v>0</v>
      </c>
      <c r="AJ49" s="237"/>
      <c r="AK49" s="235"/>
    </row>
    <row r="50" spans="1:37" ht="18" customHeight="1">
      <c r="A50" s="240" t="s">
        <v>9</v>
      </c>
      <c r="B50" s="240" t="s">
        <v>57</v>
      </c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1">
        <v>0</v>
      </c>
      <c r="AI50" s="237">
        <f t="shared" si="2"/>
        <v>0</v>
      </c>
      <c r="AJ50" s="237"/>
      <c r="AK50" s="235"/>
    </row>
    <row r="51" spans="1:37" ht="18" customHeight="1">
      <c r="A51" s="239" t="s">
        <v>58</v>
      </c>
      <c r="B51" s="239" t="s">
        <v>59</v>
      </c>
      <c r="C51" s="239"/>
      <c r="D51" s="240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41">
        <v>0</v>
      </c>
      <c r="AI51" s="237">
        <f t="shared" si="2"/>
        <v>0</v>
      </c>
      <c r="AJ51" s="237"/>
      <c r="AK51" s="237"/>
    </row>
    <row r="52" spans="1:37" ht="18" customHeight="1">
      <c r="A52" s="239" t="s">
        <v>58</v>
      </c>
      <c r="B52" s="239" t="s">
        <v>60</v>
      </c>
      <c r="C52" s="239"/>
      <c r="D52" s="240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41">
        <v>0</v>
      </c>
      <c r="AI52" s="237">
        <f t="shared" si="2"/>
        <v>0</v>
      </c>
      <c r="AJ52" s="237"/>
      <c r="AK52" s="237"/>
    </row>
    <row r="53" spans="1:37" ht="18" customHeight="1">
      <c r="A53" s="239" t="s">
        <v>58</v>
      </c>
      <c r="B53" s="239" t="s">
        <v>61</v>
      </c>
      <c r="C53" s="239"/>
      <c r="D53" s="240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41">
        <v>0</v>
      </c>
      <c r="AI53" s="237">
        <f t="shared" si="2"/>
        <v>0</v>
      </c>
      <c r="AJ53" s="237"/>
      <c r="AK53" s="239"/>
    </row>
    <row r="54" spans="1:37" ht="18" customHeight="1">
      <c r="A54" s="239" t="s">
        <v>58</v>
      </c>
      <c r="B54" s="239" t="s">
        <v>62</v>
      </c>
      <c r="C54" s="239"/>
      <c r="D54" s="240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41">
        <v>0</v>
      </c>
      <c r="AI54" s="237">
        <f t="shared" si="2"/>
        <v>0</v>
      </c>
      <c r="AJ54" s="237"/>
      <c r="AK54" s="237"/>
    </row>
    <row r="55" spans="1:37" ht="18" customHeight="1">
      <c r="A55" s="239" t="s">
        <v>58</v>
      </c>
      <c r="B55" s="239" t="s">
        <v>63</v>
      </c>
      <c r="C55" s="239"/>
      <c r="D55" s="240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41">
        <v>0</v>
      </c>
      <c r="AI55" s="237">
        <f t="shared" si="2"/>
        <v>0</v>
      </c>
      <c r="AJ55" s="237"/>
      <c r="AK55" s="237"/>
    </row>
    <row r="56" spans="1:37" ht="18" customHeight="1">
      <c r="A56" s="239" t="s">
        <v>58</v>
      </c>
      <c r="B56" s="239" t="s">
        <v>64</v>
      </c>
      <c r="C56" s="239"/>
      <c r="D56" s="240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41">
        <v>0</v>
      </c>
      <c r="AI56" s="237">
        <f t="shared" si="2"/>
        <v>0</v>
      </c>
      <c r="AJ56" s="237"/>
      <c r="AK56" s="237"/>
    </row>
    <row r="57" spans="1:37" ht="18" customHeight="1">
      <c r="A57" s="239" t="s">
        <v>58</v>
      </c>
      <c r="B57" s="239" t="s">
        <v>65</v>
      </c>
      <c r="C57" s="239"/>
      <c r="D57" s="240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41">
        <v>0</v>
      </c>
      <c r="AI57" s="237">
        <f t="shared" si="2"/>
        <v>0</v>
      </c>
      <c r="AJ57" s="237"/>
      <c r="AK57" s="237"/>
    </row>
    <row r="58" spans="1:37" ht="18" customHeight="1">
      <c r="A58" s="239" t="s">
        <v>58</v>
      </c>
      <c r="B58" s="239" t="s">
        <v>66</v>
      </c>
      <c r="C58" s="239"/>
      <c r="D58" s="240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41">
        <v>0</v>
      </c>
      <c r="AI58" s="237">
        <f t="shared" si="2"/>
        <v>0</v>
      </c>
      <c r="AJ58" s="237"/>
      <c r="AK58" s="237"/>
    </row>
    <row r="59" spans="1:37" ht="18" customHeight="1">
      <c r="A59" s="239" t="s">
        <v>58</v>
      </c>
      <c r="B59" s="239" t="s">
        <v>67</v>
      </c>
      <c r="C59" s="239"/>
      <c r="D59" s="240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41">
        <v>0</v>
      </c>
      <c r="AI59" s="237">
        <f t="shared" si="2"/>
        <v>0</v>
      </c>
      <c r="AJ59" s="237"/>
      <c r="AK59" s="242"/>
    </row>
    <row r="60" spans="1:37" ht="18" customHeight="1">
      <c r="A60" s="239" t="s">
        <v>58</v>
      </c>
      <c r="B60" s="239" t="s">
        <v>68</v>
      </c>
      <c r="C60" s="239"/>
      <c r="D60" s="240"/>
      <c r="E60" s="239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41">
        <v>0</v>
      </c>
      <c r="AI60" s="237">
        <f t="shared" si="2"/>
        <v>0</v>
      </c>
      <c r="AJ60" s="237"/>
      <c r="AK60" s="237"/>
    </row>
    <row r="61" spans="1:37" ht="18" customHeight="1">
      <c r="A61" s="239" t="s">
        <v>58</v>
      </c>
      <c r="B61" s="239" t="s">
        <v>69</v>
      </c>
      <c r="C61" s="239"/>
      <c r="D61" s="240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41">
        <v>0</v>
      </c>
      <c r="AI61" s="237">
        <f t="shared" si="2"/>
        <v>0</v>
      </c>
      <c r="AJ61" s="237"/>
      <c r="AK61" s="237"/>
    </row>
    <row r="62" spans="1:37" ht="18" customHeight="1">
      <c r="A62" s="239" t="s">
        <v>58</v>
      </c>
      <c r="B62" s="239" t="s">
        <v>70</v>
      </c>
      <c r="C62" s="239"/>
      <c r="D62" s="240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41">
        <v>0</v>
      </c>
      <c r="AI62" s="237">
        <f t="shared" si="2"/>
        <v>0</v>
      </c>
      <c r="AJ62" s="237"/>
      <c r="AK62" s="237"/>
    </row>
    <row r="63" spans="1:37" ht="18" customHeight="1">
      <c r="A63" s="239" t="s">
        <v>58</v>
      </c>
      <c r="B63" s="239" t="s">
        <v>71</v>
      </c>
      <c r="C63" s="239"/>
      <c r="D63" s="240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41">
        <v>0</v>
      </c>
      <c r="AI63" s="237">
        <f t="shared" si="2"/>
        <v>0</v>
      </c>
      <c r="AJ63" s="237"/>
      <c r="AK63" s="237"/>
    </row>
    <row r="64" spans="1:37" ht="18" customHeight="1">
      <c r="A64" s="239" t="s">
        <v>58</v>
      </c>
      <c r="B64" s="239" t="s">
        <v>72</v>
      </c>
      <c r="C64" s="239"/>
      <c r="D64" s="240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41">
        <v>0</v>
      </c>
      <c r="AI64" s="237">
        <f t="shared" si="2"/>
        <v>0</v>
      </c>
      <c r="AJ64" s="237"/>
      <c r="AK64" s="237"/>
    </row>
    <row r="65" spans="1:37" ht="18" customHeight="1">
      <c r="A65" s="239" t="s">
        <v>58</v>
      </c>
      <c r="B65" s="239" t="s">
        <v>73</v>
      </c>
      <c r="C65" s="239"/>
      <c r="D65" s="240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41">
        <v>0</v>
      </c>
      <c r="AI65" s="237">
        <f t="shared" si="2"/>
        <v>0</v>
      </c>
      <c r="AJ65" s="237"/>
      <c r="AK65" s="237"/>
    </row>
    <row r="66" spans="1:37" ht="18" customHeight="1">
      <c r="A66" s="239" t="s">
        <v>58</v>
      </c>
      <c r="B66" s="239" t="s">
        <v>74</v>
      </c>
      <c r="C66" s="239"/>
      <c r="D66" s="240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41">
        <v>0</v>
      </c>
      <c r="AI66" s="237">
        <f t="shared" si="2"/>
        <v>0</v>
      </c>
      <c r="AJ66" s="237"/>
      <c r="AK66" s="237"/>
    </row>
    <row r="67" spans="1:37" ht="18" customHeight="1">
      <c r="A67" s="239" t="s">
        <v>58</v>
      </c>
      <c r="B67" s="239" t="s">
        <v>75</v>
      </c>
      <c r="C67" s="239"/>
      <c r="D67" s="240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41">
        <v>0</v>
      </c>
      <c r="AI67" s="237">
        <f t="shared" si="2"/>
        <v>0</v>
      </c>
      <c r="AJ67" s="237"/>
      <c r="AK67" s="237"/>
    </row>
    <row r="68" spans="1:37" ht="18" customHeight="1">
      <c r="A68" s="239" t="s">
        <v>58</v>
      </c>
      <c r="B68" s="239" t="s">
        <v>76</v>
      </c>
      <c r="C68" s="239"/>
      <c r="D68" s="240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41">
        <v>0</v>
      </c>
      <c r="AI68" s="237">
        <f t="shared" ref="AI68:AI99" si="3">IF(A68="O", (VALUE(_xlfn.SINGLE(_xlfn.IFS(AH68=0,"0",AH68=1,"150",AH68=2,"300",AH68=3,"450",AH68=4,"600",AH68=5,"750",AH68&gt;=6,"800")))),(VALUE(_xlfn.SINGLE(_xlfn.IFS(AH68=0,"0",AH68=1,"150",AH68=2,"300",AH68=3,"450",AH68=4,"600",AH68=5,"750",AH68=6,"900",AH68&gt;=7,"1,000")))))</f>
        <v>0</v>
      </c>
      <c r="AJ68" s="237"/>
      <c r="AK68" s="237"/>
    </row>
    <row r="69" spans="1:37" ht="18" customHeight="1">
      <c r="A69" s="239" t="s">
        <v>58</v>
      </c>
      <c r="B69" s="239" t="s">
        <v>77</v>
      </c>
      <c r="C69" s="239"/>
      <c r="D69" s="240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41">
        <v>0</v>
      </c>
      <c r="AI69" s="237">
        <f t="shared" si="3"/>
        <v>0</v>
      </c>
      <c r="AJ69" s="237"/>
      <c r="AK69" s="237"/>
    </row>
    <row r="70" spans="1:37" ht="18" customHeight="1">
      <c r="A70" s="239" t="s">
        <v>58</v>
      </c>
      <c r="B70" s="239" t="s">
        <v>78</v>
      </c>
      <c r="C70" s="239"/>
      <c r="D70" s="240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41">
        <v>0</v>
      </c>
      <c r="AI70" s="237">
        <f t="shared" si="3"/>
        <v>0</v>
      </c>
      <c r="AJ70" s="237"/>
      <c r="AK70" s="237"/>
    </row>
    <row r="71" spans="1:37" ht="18" customHeight="1">
      <c r="A71" s="239" t="s">
        <v>58</v>
      </c>
      <c r="B71" s="239" t="s">
        <v>79</v>
      </c>
      <c r="C71" s="239"/>
      <c r="D71" s="240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41">
        <v>0</v>
      </c>
      <c r="AI71" s="237">
        <f t="shared" si="3"/>
        <v>0</v>
      </c>
      <c r="AJ71" s="237"/>
      <c r="AK71" s="237"/>
    </row>
    <row r="72" spans="1:37" ht="18" customHeight="1">
      <c r="A72" s="239" t="s">
        <v>58</v>
      </c>
      <c r="B72" s="239" t="s">
        <v>80</v>
      </c>
      <c r="C72" s="239"/>
      <c r="D72" s="240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41">
        <v>0</v>
      </c>
      <c r="AI72" s="237">
        <f t="shared" si="3"/>
        <v>0</v>
      </c>
      <c r="AJ72" s="237"/>
      <c r="AK72" s="237"/>
    </row>
    <row r="73" spans="1:37" ht="18" customHeight="1">
      <c r="A73" s="239" t="s">
        <v>58</v>
      </c>
      <c r="B73" s="239" t="s">
        <v>81</v>
      </c>
      <c r="C73" s="239"/>
      <c r="D73" s="240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41">
        <v>0</v>
      </c>
      <c r="AI73" s="237">
        <f t="shared" si="3"/>
        <v>0</v>
      </c>
      <c r="AJ73" s="237"/>
      <c r="AK73" s="237"/>
    </row>
    <row r="74" spans="1:37" ht="18" customHeight="1">
      <c r="A74" s="239" t="s">
        <v>58</v>
      </c>
      <c r="B74" s="239" t="s">
        <v>82</v>
      </c>
      <c r="C74" s="239"/>
      <c r="D74" s="240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41">
        <v>0</v>
      </c>
      <c r="AI74" s="237">
        <f t="shared" si="3"/>
        <v>0</v>
      </c>
      <c r="AJ74" s="237"/>
      <c r="AK74" s="237"/>
    </row>
    <row r="75" spans="1:37" ht="18" customHeight="1">
      <c r="A75" s="239" t="s">
        <v>58</v>
      </c>
      <c r="B75" s="239" t="s">
        <v>83</v>
      </c>
      <c r="C75" s="239"/>
      <c r="D75" s="240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41">
        <v>0</v>
      </c>
      <c r="AI75" s="237">
        <f t="shared" si="3"/>
        <v>0</v>
      </c>
      <c r="AJ75" s="237"/>
      <c r="AK75" s="237"/>
    </row>
    <row r="76" spans="1:37" ht="18" customHeight="1">
      <c r="A76" s="239" t="s">
        <v>58</v>
      </c>
      <c r="B76" s="239" t="s">
        <v>84</v>
      </c>
      <c r="C76" s="239"/>
      <c r="D76" s="240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41">
        <v>0</v>
      </c>
      <c r="AI76" s="237">
        <f t="shared" si="3"/>
        <v>0</v>
      </c>
      <c r="AJ76" s="237"/>
      <c r="AK76" s="237"/>
    </row>
    <row r="77" spans="1:37" ht="18" customHeight="1">
      <c r="A77" s="239" t="s">
        <v>58</v>
      </c>
      <c r="B77" s="239" t="s">
        <v>85</v>
      </c>
      <c r="C77" s="239"/>
      <c r="D77" s="240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41">
        <v>0</v>
      </c>
      <c r="AI77" s="237">
        <f t="shared" si="3"/>
        <v>0</v>
      </c>
      <c r="AJ77" s="237"/>
      <c r="AK77" s="237"/>
    </row>
    <row r="78" spans="1:37" ht="18" customHeight="1">
      <c r="A78" s="239" t="s">
        <v>58</v>
      </c>
      <c r="B78" s="239" t="s">
        <v>86</v>
      </c>
      <c r="C78" s="239"/>
      <c r="D78" s="240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41">
        <v>0</v>
      </c>
      <c r="AI78" s="237">
        <f t="shared" si="3"/>
        <v>0</v>
      </c>
      <c r="AJ78" s="237"/>
      <c r="AK78" s="237"/>
    </row>
    <row r="79" spans="1:37" ht="18" customHeight="1">
      <c r="A79" s="239" t="s">
        <v>58</v>
      </c>
      <c r="B79" s="239" t="s">
        <v>87</v>
      </c>
      <c r="C79" s="239"/>
      <c r="D79" s="240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41">
        <v>0</v>
      </c>
      <c r="AI79" s="237">
        <f t="shared" si="3"/>
        <v>0</v>
      </c>
      <c r="AJ79" s="237"/>
      <c r="AK79" s="234"/>
    </row>
    <row r="80" spans="1:37" ht="18" customHeight="1">
      <c r="A80" s="239" t="s">
        <v>58</v>
      </c>
      <c r="B80" s="239" t="s">
        <v>88</v>
      </c>
      <c r="C80" s="239"/>
      <c r="D80" s="240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41">
        <v>0</v>
      </c>
      <c r="AI80" s="237">
        <f t="shared" si="3"/>
        <v>0</v>
      </c>
      <c r="AJ80" s="237"/>
      <c r="AK80" s="234"/>
    </row>
    <row r="81" spans="1:37" ht="18" customHeight="1">
      <c r="A81" s="243" t="s">
        <v>9</v>
      </c>
      <c r="B81" s="243" t="s">
        <v>89</v>
      </c>
      <c r="C81" s="243"/>
      <c r="D81" s="244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5">
        <v>0</v>
      </c>
      <c r="AI81" s="246">
        <f t="shared" si="3"/>
        <v>0</v>
      </c>
      <c r="AJ81" s="246"/>
      <c r="AK81" s="247"/>
    </row>
    <row r="82" spans="1:37" ht="18" customHeight="1">
      <c r="A82" s="243" t="s">
        <v>9</v>
      </c>
      <c r="B82" s="243" t="s">
        <v>90</v>
      </c>
      <c r="C82" s="243"/>
      <c r="D82" s="244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5">
        <v>0</v>
      </c>
      <c r="AI82" s="246">
        <f t="shared" si="3"/>
        <v>0</v>
      </c>
      <c r="AJ82" s="246"/>
      <c r="AK82" s="247"/>
    </row>
    <row r="83" spans="1:37" ht="18" customHeight="1">
      <c r="A83" s="243" t="s">
        <v>9</v>
      </c>
      <c r="B83" s="243" t="s">
        <v>91</v>
      </c>
      <c r="C83" s="243"/>
      <c r="D83" s="244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5">
        <v>0</v>
      </c>
      <c r="AI83" s="246">
        <f t="shared" si="3"/>
        <v>0</v>
      </c>
      <c r="AJ83" s="246"/>
      <c r="AK83" s="247"/>
    </row>
    <row r="84" spans="1:37" ht="18" customHeight="1">
      <c r="A84" s="243" t="s">
        <v>9</v>
      </c>
      <c r="B84" s="243" t="s">
        <v>92</v>
      </c>
      <c r="C84" s="243"/>
      <c r="D84" s="244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5">
        <v>0</v>
      </c>
      <c r="AI84" s="246">
        <f t="shared" si="3"/>
        <v>0</v>
      </c>
      <c r="AJ84" s="246"/>
      <c r="AK84" s="247"/>
    </row>
    <row r="85" spans="1:37" ht="18" customHeight="1">
      <c r="A85" s="243" t="s">
        <v>9</v>
      </c>
      <c r="B85" s="243" t="s">
        <v>93</v>
      </c>
      <c r="C85" s="243"/>
      <c r="D85" s="244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5">
        <v>0</v>
      </c>
      <c r="AI85" s="246">
        <f t="shared" si="3"/>
        <v>0</v>
      </c>
      <c r="AJ85" s="246"/>
      <c r="AK85" s="248"/>
    </row>
    <row r="86" spans="1:37" ht="18" customHeight="1">
      <c r="A86" s="243" t="s">
        <v>9</v>
      </c>
      <c r="B86" s="243" t="s">
        <v>94</v>
      </c>
      <c r="C86" s="243"/>
      <c r="D86" s="244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5">
        <v>0</v>
      </c>
      <c r="AI86" s="246">
        <f t="shared" si="3"/>
        <v>0</v>
      </c>
      <c r="AJ86" s="246"/>
      <c r="AK86" s="247"/>
    </row>
    <row r="87" spans="1:37" ht="18" customHeight="1">
      <c r="A87" s="243" t="s">
        <v>9</v>
      </c>
      <c r="B87" s="243" t="s">
        <v>95</v>
      </c>
      <c r="C87" s="243"/>
      <c r="D87" s="244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5">
        <v>0</v>
      </c>
      <c r="AI87" s="246">
        <f t="shared" si="3"/>
        <v>0</v>
      </c>
      <c r="AJ87" s="246"/>
      <c r="AK87" s="247"/>
    </row>
    <row r="88" spans="1:37" ht="18" customHeight="1">
      <c r="A88" s="243" t="s">
        <v>9</v>
      </c>
      <c r="B88" s="243" t="s">
        <v>96</v>
      </c>
      <c r="C88" s="243"/>
      <c r="D88" s="244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5">
        <v>0</v>
      </c>
      <c r="AI88" s="246">
        <f t="shared" si="3"/>
        <v>0</v>
      </c>
      <c r="AJ88" s="246"/>
      <c r="AK88" s="248"/>
    </row>
    <row r="89" spans="1:37" ht="18" customHeight="1">
      <c r="A89" s="243" t="s">
        <v>9</v>
      </c>
      <c r="B89" s="243" t="s">
        <v>97</v>
      </c>
      <c r="C89" s="243"/>
      <c r="D89" s="244"/>
      <c r="E89" s="243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  <c r="AH89" s="245">
        <v>0</v>
      </c>
      <c r="AI89" s="246">
        <f t="shared" si="3"/>
        <v>0</v>
      </c>
      <c r="AJ89" s="246"/>
      <c r="AK89" s="248"/>
    </row>
    <row r="90" spans="1:37" ht="18" customHeight="1">
      <c r="A90" s="243" t="s">
        <v>9</v>
      </c>
      <c r="B90" s="243" t="s">
        <v>98</v>
      </c>
      <c r="C90" s="243"/>
      <c r="D90" s="244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5">
        <v>0</v>
      </c>
      <c r="AI90" s="246">
        <f t="shared" si="3"/>
        <v>0</v>
      </c>
      <c r="AJ90" s="246"/>
      <c r="AK90" s="248"/>
    </row>
    <row r="91" spans="1:37" ht="18" customHeight="1">
      <c r="A91" s="243" t="s">
        <v>9</v>
      </c>
      <c r="B91" s="243" t="s">
        <v>99</v>
      </c>
      <c r="C91" s="243"/>
      <c r="D91" s="244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  <c r="AH91" s="245">
        <v>0</v>
      </c>
      <c r="AI91" s="246">
        <f t="shared" si="3"/>
        <v>0</v>
      </c>
      <c r="AJ91" s="246"/>
      <c r="AK91" s="248"/>
    </row>
    <row r="92" spans="1:37" ht="18" customHeight="1">
      <c r="A92" s="243" t="s">
        <v>9</v>
      </c>
      <c r="B92" s="243" t="s">
        <v>100</v>
      </c>
      <c r="C92" s="243"/>
      <c r="D92" s="244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5">
        <v>0</v>
      </c>
      <c r="AI92" s="246">
        <f t="shared" si="3"/>
        <v>0</v>
      </c>
      <c r="AJ92" s="246"/>
      <c r="AK92" s="248"/>
    </row>
    <row r="93" spans="1:37" ht="18" customHeight="1">
      <c r="A93" s="243" t="s">
        <v>9</v>
      </c>
      <c r="B93" s="243" t="s">
        <v>101</v>
      </c>
      <c r="C93" s="243"/>
      <c r="D93" s="244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5">
        <v>0</v>
      </c>
      <c r="AI93" s="246">
        <f t="shared" si="3"/>
        <v>0</v>
      </c>
      <c r="AJ93" s="246"/>
      <c r="AK93" s="248"/>
    </row>
    <row r="94" spans="1:37" ht="18" customHeight="1">
      <c r="A94" s="243" t="s">
        <v>9</v>
      </c>
      <c r="B94" s="243" t="s">
        <v>102</v>
      </c>
      <c r="C94" s="243"/>
      <c r="D94" s="244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5">
        <v>0</v>
      </c>
      <c r="AI94" s="246">
        <f t="shared" si="3"/>
        <v>0</v>
      </c>
      <c r="AJ94" s="246"/>
      <c r="AK94" s="248"/>
    </row>
    <row r="95" spans="1:37" ht="18" customHeight="1">
      <c r="A95" s="243" t="s">
        <v>9</v>
      </c>
      <c r="B95" s="243" t="s">
        <v>103</v>
      </c>
      <c r="C95" s="243"/>
      <c r="D95" s="244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5">
        <v>0</v>
      </c>
      <c r="AI95" s="246">
        <f t="shared" si="3"/>
        <v>0</v>
      </c>
      <c r="AJ95" s="246"/>
      <c r="AK95" s="247"/>
    </row>
    <row r="96" spans="1:37" ht="18" customHeight="1">
      <c r="A96" s="243" t="s">
        <v>9</v>
      </c>
      <c r="B96" s="243" t="s">
        <v>104</v>
      </c>
      <c r="C96" s="243"/>
      <c r="D96" s="244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5">
        <v>0</v>
      </c>
      <c r="AI96" s="246">
        <f t="shared" si="3"/>
        <v>0</v>
      </c>
      <c r="AJ96" s="246"/>
      <c r="AK96" s="247"/>
    </row>
    <row r="97" spans="1:37" ht="18" customHeight="1">
      <c r="A97" s="243" t="s">
        <v>9</v>
      </c>
      <c r="B97" s="243" t="s">
        <v>105</v>
      </c>
      <c r="C97" s="243"/>
      <c r="D97" s="244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5">
        <v>0</v>
      </c>
      <c r="AI97" s="246">
        <f t="shared" si="3"/>
        <v>0</v>
      </c>
      <c r="AJ97" s="246"/>
      <c r="AK97" s="247"/>
    </row>
    <row r="98" spans="1:37" ht="18" customHeight="1">
      <c r="A98" s="243" t="s">
        <v>9</v>
      </c>
      <c r="B98" s="243" t="s">
        <v>106</v>
      </c>
      <c r="C98" s="243"/>
      <c r="D98" s="244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5">
        <v>0</v>
      </c>
      <c r="AI98" s="246">
        <f t="shared" si="3"/>
        <v>0</v>
      </c>
      <c r="AJ98" s="246"/>
      <c r="AK98" s="243"/>
    </row>
    <row r="99" spans="1:37" ht="18" customHeight="1">
      <c r="A99" s="243" t="s">
        <v>9</v>
      </c>
      <c r="B99" s="243" t="s">
        <v>107</v>
      </c>
      <c r="C99" s="243"/>
      <c r="D99" s="244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5">
        <v>0</v>
      </c>
      <c r="AI99" s="246">
        <f t="shared" si="3"/>
        <v>0</v>
      </c>
      <c r="AJ99" s="246"/>
      <c r="AK99" s="243"/>
    </row>
    <row r="100" spans="1:37" ht="18" customHeight="1">
      <c r="A100" s="243" t="s">
        <v>9</v>
      </c>
      <c r="B100" s="243" t="s">
        <v>108</v>
      </c>
      <c r="C100" s="243"/>
      <c r="D100" s="244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5">
        <v>0</v>
      </c>
      <c r="AI100" s="246">
        <f t="shared" ref="AI100:AI131" si="4">IF(A100="O", (VALUE(_xlfn.SINGLE(_xlfn.IFS(AH100=0,"0",AH100=1,"150",AH100=2,"300",AH100=3,"450",AH100=4,"600",AH100=5,"750",AH100&gt;=6,"800")))),(VALUE(_xlfn.SINGLE(_xlfn.IFS(AH100=0,"0",AH100=1,"150",AH100=2,"300",AH100=3,"450",AH100=4,"600",AH100=5,"750",AH100=6,"900",AH100&gt;=7,"1,000")))))</f>
        <v>0</v>
      </c>
      <c r="AJ100" s="246"/>
      <c r="AK100" s="243"/>
    </row>
    <row r="101" spans="1:37" ht="18" customHeight="1">
      <c r="A101" s="243" t="s">
        <v>9</v>
      </c>
      <c r="B101" s="243" t="s">
        <v>109</v>
      </c>
      <c r="C101" s="243"/>
      <c r="D101" s="244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5">
        <v>0</v>
      </c>
      <c r="AI101" s="246">
        <f t="shared" si="4"/>
        <v>0</v>
      </c>
      <c r="AJ101" s="246"/>
      <c r="AK101" s="243"/>
    </row>
    <row r="102" spans="1:37" ht="18" customHeight="1">
      <c r="A102" s="243" t="s">
        <v>9</v>
      </c>
      <c r="B102" s="243" t="s">
        <v>110</v>
      </c>
      <c r="C102" s="243"/>
      <c r="D102" s="244"/>
      <c r="E102" s="243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5">
        <v>0</v>
      </c>
      <c r="AI102" s="246">
        <f t="shared" si="4"/>
        <v>0</v>
      </c>
      <c r="AJ102" s="246"/>
      <c r="AK102" s="243"/>
    </row>
    <row r="103" spans="1:37" ht="18" customHeight="1">
      <c r="A103" s="243" t="s">
        <v>9</v>
      </c>
      <c r="B103" s="243" t="s">
        <v>111</v>
      </c>
      <c r="C103" s="243"/>
      <c r="D103" s="244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5">
        <v>0</v>
      </c>
      <c r="AI103" s="246">
        <f t="shared" si="4"/>
        <v>0</v>
      </c>
      <c r="AJ103" s="246"/>
      <c r="AK103" s="243"/>
    </row>
    <row r="104" spans="1:37" ht="18" customHeight="1">
      <c r="A104" s="243" t="s">
        <v>9</v>
      </c>
      <c r="B104" s="243" t="s">
        <v>112</v>
      </c>
      <c r="C104" s="243"/>
      <c r="D104" s="244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5">
        <v>0</v>
      </c>
      <c r="AI104" s="246">
        <f t="shared" si="4"/>
        <v>0</v>
      </c>
      <c r="AJ104" s="246"/>
      <c r="AK104" s="243"/>
    </row>
    <row r="105" spans="1:37" ht="18" customHeight="1">
      <c r="A105" s="243" t="s">
        <v>9</v>
      </c>
      <c r="B105" s="243" t="s">
        <v>113</v>
      </c>
      <c r="C105" s="243"/>
      <c r="D105" s="244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5">
        <v>0</v>
      </c>
      <c r="AI105" s="246">
        <f t="shared" si="4"/>
        <v>0</v>
      </c>
      <c r="AJ105" s="246"/>
      <c r="AK105" s="243"/>
    </row>
    <row r="106" spans="1:37" ht="18" customHeight="1">
      <c r="A106" s="243" t="s">
        <v>9</v>
      </c>
      <c r="B106" s="243" t="s">
        <v>233</v>
      </c>
      <c r="C106" s="243"/>
      <c r="D106" s="244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5">
        <v>0</v>
      </c>
      <c r="AI106" s="246">
        <f t="shared" si="4"/>
        <v>0</v>
      </c>
      <c r="AJ106" s="246"/>
      <c r="AK106" s="243"/>
    </row>
    <row r="107" spans="1:37" ht="18" customHeight="1">
      <c r="A107" s="244" t="s">
        <v>9</v>
      </c>
      <c r="B107" s="244" t="s">
        <v>114</v>
      </c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44"/>
      <c r="O107" s="244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  <c r="AD107" s="244"/>
      <c r="AE107" s="244"/>
      <c r="AF107" s="244"/>
      <c r="AG107" s="244"/>
      <c r="AH107" s="245">
        <v>0</v>
      </c>
      <c r="AI107" s="246">
        <f t="shared" si="4"/>
        <v>0</v>
      </c>
      <c r="AJ107" s="246"/>
      <c r="AK107" s="244"/>
    </row>
    <row r="108" spans="1:37" ht="18" customHeight="1">
      <c r="A108" s="244" t="s">
        <v>9</v>
      </c>
      <c r="B108" s="244" t="s">
        <v>115</v>
      </c>
      <c r="C108" s="244"/>
      <c r="D108" s="244"/>
      <c r="E108" s="244"/>
      <c r="F108" s="244"/>
      <c r="G108" s="244"/>
      <c r="H108" s="244"/>
      <c r="I108" s="244"/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/>
      <c r="AH108" s="245">
        <v>0</v>
      </c>
      <c r="AI108" s="246">
        <f t="shared" si="4"/>
        <v>0</v>
      </c>
      <c r="AJ108" s="246"/>
      <c r="AK108" s="244"/>
    </row>
    <row r="109" spans="1:37" ht="18" customHeight="1">
      <c r="A109" s="249" t="s">
        <v>58</v>
      </c>
      <c r="B109" s="249" t="s">
        <v>116</v>
      </c>
      <c r="C109" s="249"/>
      <c r="D109" s="250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  <c r="AH109" s="251">
        <v>0</v>
      </c>
      <c r="AI109" s="246">
        <f t="shared" si="4"/>
        <v>0</v>
      </c>
      <c r="AJ109" s="246"/>
      <c r="AK109" s="253"/>
    </row>
    <row r="110" spans="1:37" ht="18" customHeight="1">
      <c r="A110" s="249" t="s">
        <v>58</v>
      </c>
      <c r="B110" s="249" t="s">
        <v>117</v>
      </c>
      <c r="C110" s="249"/>
      <c r="D110" s="250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  <c r="AH110" s="251">
        <v>0</v>
      </c>
      <c r="AI110" s="246">
        <f t="shared" si="4"/>
        <v>0</v>
      </c>
      <c r="AJ110" s="246"/>
      <c r="AK110" s="253"/>
    </row>
    <row r="111" spans="1:37" ht="18" customHeight="1">
      <c r="A111" s="249" t="s">
        <v>58</v>
      </c>
      <c r="B111" s="249" t="s">
        <v>118</v>
      </c>
      <c r="C111" s="249"/>
      <c r="D111" s="250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  <c r="AC111" s="249"/>
      <c r="AD111" s="249"/>
      <c r="AE111" s="249"/>
      <c r="AF111" s="249"/>
      <c r="AG111" s="249"/>
      <c r="AH111" s="251">
        <v>0</v>
      </c>
      <c r="AI111" s="246">
        <f t="shared" si="4"/>
        <v>0</v>
      </c>
      <c r="AJ111" s="246"/>
      <c r="AK111" s="253"/>
    </row>
    <row r="112" spans="1:37" ht="18" customHeight="1">
      <c r="A112" s="249" t="s">
        <v>58</v>
      </c>
      <c r="B112" s="249" t="s">
        <v>119</v>
      </c>
      <c r="C112" s="249"/>
      <c r="D112" s="250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51">
        <v>0</v>
      </c>
      <c r="AI112" s="246">
        <f t="shared" si="4"/>
        <v>0</v>
      </c>
      <c r="AJ112" s="246"/>
      <c r="AK112" s="252"/>
    </row>
    <row r="113" spans="1:37" ht="18" customHeight="1">
      <c r="A113" s="249" t="s">
        <v>58</v>
      </c>
      <c r="B113" s="249" t="s">
        <v>120</v>
      </c>
      <c r="C113" s="249"/>
      <c r="D113" s="250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51">
        <v>0</v>
      </c>
      <c r="AI113" s="246">
        <f t="shared" si="4"/>
        <v>0</v>
      </c>
      <c r="AJ113" s="246"/>
      <c r="AK113" s="252"/>
    </row>
    <row r="114" spans="1:37" ht="18" customHeight="1">
      <c r="A114" s="249" t="s">
        <v>58</v>
      </c>
      <c r="B114" s="249" t="s">
        <v>121</v>
      </c>
      <c r="C114" s="249"/>
      <c r="D114" s="250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  <c r="AC114" s="249"/>
      <c r="AD114" s="249"/>
      <c r="AE114" s="249"/>
      <c r="AF114" s="249"/>
      <c r="AG114" s="249"/>
      <c r="AH114" s="251">
        <v>0</v>
      </c>
      <c r="AI114" s="246">
        <f t="shared" si="4"/>
        <v>0</v>
      </c>
      <c r="AJ114" s="246"/>
      <c r="AK114" s="252"/>
    </row>
    <row r="115" spans="1:37" ht="18" customHeight="1">
      <c r="A115" s="249" t="s">
        <v>58</v>
      </c>
      <c r="B115" s="249" t="s">
        <v>122</v>
      </c>
      <c r="C115" s="249"/>
      <c r="D115" s="250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9"/>
      <c r="AD115" s="249"/>
      <c r="AE115" s="249"/>
      <c r="AF115" s="249"/>
      <c r="AG115" s="249"/>
      <c r="AH115" s="251">
        <v>0</v>
      </c>
      <c r="AI115" s="246">
        <f t="shared" si="4"/>
        <v>0</v>
      </c>
      <c r="AJ115" s="246"/>
      <c r="AK115" s="252"/>
    </row>
    <row r="116" spans="1:37" ht="18" customHeight="1">
      <c r="A116" s="249" t="s">
        <v>58</v>
      </c>
      <c r="B116" s="249" t="s">
        <v>123</v>
      </c>
      <c r="C116" s="249"/>
      <c r="D116" s="250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  <c r="AH116" s="251">
        <v>0</v>
      </c>
      <c r="AI116" s="246">
        <f t="shared" si="4"/>
        <v>0</v>
      </c>
      <c r="AJ116" s="246"/>
      <c r="AK116" s="253"/>
    </row>
    <row r="117" spans="1:37" ht="18" customHeight="1">
      <c r="A117" s="249" t="s">
        <v>58</v>
      </c>
      <c r="B117" s="249" t="s">
        <v>124</v>
      </c>
      <c r="C117" s="249"/>
      <c r="D117" s="250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9"/>
      <c r="AD117" s="249"/>
      <c r="AE117" s="249"/>
      <c r="AF117" s="249"/>
      <c r="AG117" s="249"/>
      <c r="AH117" s="251">
        <v>0</v>
      </c>
      <c r="AI117" s="246">
        <f t="shared" si="4"/>
        <v>0</v>
      </c>
      <c r="AJ117" s="246"/>
      <c r="AK117" s="253"/>
    </row>
    <row r="118" spans="1:37" ht="18" customHeight="1">
      <c r="A118" s="249" t="s">
        <v>58</v>
      </c>
      <c r="B118" s="249" t="s">
        <v>125</v>
      </c>
      <c r="C118" s="249"/>
      <c r="D118" s="250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9"/>
      <c r="AD118" s="249"/>
      <c r="AE118" s="249"/>
      <c r="AF118" s="249"/>
      <c r="AG118" s="249"/>
      <c r="AH118" s="251">
        <v>0</v>
      </c>
      <c r="AI118" s="246">
        <f t="shared" si="4"/>
        <v>0</v>
      </c>
      <c r="AJ118" s="246"/>
      <c r="AK118" s="253"/>
    </row>
    <row r="119" spans="1:37" ht="18" customHeight="1">
      <c r="A119" s="249" t="s">
        <v>58</v>
      </c>
      <c r="B119" s="249" t="s">
        <v>126</v>
      </c>
      <c r="C119" s="249"/>
      <c r="D119" s="250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49"/>
      <c r="Z119" s="249"/>
      <c r="AA119" s="249"/>
      <c r="AB119" s="249"/>
      <c r="AC119" s="249"/>
      <c r="AD119" s="249"/>
      <c r="AE119" s="249"/>
      <c r="AF119" s="249"/>
      <c r="AG119" s="249"/>
      <c r="AH119" s="251">
        <v>0</v>
      </c>
      <c r="AI119" s="246">
        <f t="shared" si="4"/>
        <v>0</v>
      </c>
      <c r="AJ119" s="246"/>
      <c r="AK119" s="253"/>
    </row>
    <row r="120" spans="1:37" ht="18" customHeight="1">
      <c r="A120" s="249" t="s">
        <v>58</v>
      </c>
      <c r="B120" s="249" t="s">
        <v>127</v>
      </c>
      <c r="C120" s="249"/>
      <c r="D120" s="250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  <c r="X120" s="249"/>
      <c r="Y120" s="249"/>
      <c r="Z120" s="249"/>
      <c r="AA120" s="249"/>
      <c r="AB120" s="249"/>
      <c r="AC120" s="249"/>
      <c r="AD120" s="249"/>
      <c r="AE120" s="249"/>
      <c r="AF120" s="249"/>
      <c r="AG120" s="249"/>
      <c r="AH120" s="251">
        <v>0</v>
      </c>
      <c r="AI120" s="246">
        <f t="shared" si="4"/>
        <v>0</v>
      </c>
      <c r="AJ120" s="246"/>
      <c r="AK120" s="253"/>
    </row>
    <row r="121" spans="1:37" ht="18" customHeight="1">
      <c r="A121" s="249" t="s">
        <v>58</v>
      </c>
      <c r="B121" s="249" t="s">
        <v>128</v>
      </c>
      <c r="C121" s="249"/>
      <c r="D121" s="250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249"/>
      <c r="Z121" s="249"/>
      <c r="AA121" s="249"/>
      <c r="AB121" s="249"/>
      <c r="AC121" s="249"/>
      <c r="AD121" s="249"/>
      <c r="AE121" s="249"/>
      <c r="AF121" s="249"/>
      <c r="AG121" s="249"/>
      <c r="AH121" s="251">
        <v>0</v>
      </c>
      <c r="AI121" s="246">
        <f t="shared" si="4"/>
        <v>0</v>
      </c>
      <c r="AJ121" s="246"/>
      <c r="AK121" s="253"/>
    </row>
    <row r="122" spans="1:37" ht="18" customHeight="1">
      <c r="A122" s="249" t="s">
        <v>58</v>
      </c>
      <c r="B122" s="249" t="s">
        <v>129</v>
      </c>
      <c r="C122" s="249"/>
      <c r="D122" s="250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  <c r="Y122" s="249"/>
      <c r="Z122" s="249"/>
      <c r="AA122" s="249"/>
      <c r="AB122" s="249"/>
      <c r="AC122" s="249"/>
      <c r="AD122" s="249"/>
      <c r="AE122" s="249"/>
      <c r="AF122" s="249"/>
      <c r="AG122" s="249"/>
      <c r="AH122" s="251">
        <v>0</v>
      </c>
      <c r="AI122" s="246">
        <f t="shared" si="4"/>
        <v>0</v>
      </c>
      <c r="AJ122" s="246"/>
      <c r="AK122" s="253"/>
    </row>
    <row r="123" spans="1:37" ht="18" customHeight="1">
      <c r="A123" s="249" t="s">
        <v>58</v>
      </c>
      <c r="B123" s="249" t="s">
        <v>130</v>
      </c>
      <c r="C123" s="249"/>
      <c r="D123" s="250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  <c r="Y123" s="249"/>
      <c r="Z123" s="249"/>
      <c r="AA123" s="249"/>
      <c r="AB123" s="249"/>
      <c r="AC123" s="249"/>
      <c r="AD123" s="249"/>
      <c r="AE123" s="249"/>
      <c r="AF123" s="249"/>
      <c r="AG123" s="249"/>
      <c r="AH123" s="251">
        <v>0</v>
      </c>
      <c r="AI123" s="246">
        <f t="shared" si="4"/>
        <v>0</v>
      </c>
      <c r="AJ123" s="246"/>
      <c r="AK123" s="253"/>
    </row>
    <row r="124" spans="1:37" ht="18" customHeight="1">
      <c r="A124" s="254" t="s">
        <v>58</v>
      </c>
      <c r="B124" s="254" t="s">
        <v>131</v>
      </c>
      <c r="C124" s="254"/>
      <c r="D124" s="255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  <c r="AD124" s="254"/>
      <c r="AE124" s="254"/>
      <c r="AF124" s="254"/>
      <c r="AG124" s="254"/>
      <c r="AH124" s="256">
        <v>0</v>
      </c>
      <c r="AI124" s="246">
        <f t="shared" si="4"/>
        <v>0</v>
      </c>
      <c r="AJ124" s="246"/>
      <c r="AK124" s="257"/>
    </row>
    <row r="125" spans="1:37" ht="18" customHeight="1">
      <c r="A125" s="254" t="s">
        <v>58</v>
      </c>
      <c r="B125" s="254" t="s">
        <v>132</v>
      </c>
      <c r="C125" s="254"/>
      <c r="D125" s="255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/>
      <c r="AH125" s="256">
        <v>0</v>
      </c>
      <c r="AI125" s="246">
        <f t="shared" si="4"/>
        <v>0</v>
      </c>
      <c r="AJ125" s="246"/>
      <c r="AK125" s="257"/>
    </row>
    <row r="126" spans="1:37" ht="18" customHeight="1">
      <c r="A126" s="254" t="s">
        <v>58</v>
      </c>
      <c r="B126" s="254" t="s">
        <v>133</v>
      </c>
      <c r="C126" s="254"/>
      <c r="D126" s="255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6">
        <v>0</v>
      </c>
      <c r="AI126" s="246">
        <f t="shared" si="4"/>
        <v>0</v>
      </c>
      <c r="AJ126" s="246"/>
      <c r="AK126" s="254"/>
    </row>
    <row r="127" spans="1:37" ht="18" customHeight="1">
      <c r="A127" s="254" t="s">
        <v>58</v>
      </c>
      <c r="B127" s="254" t="s">
        <v>134</v>
      </c>
      <c r="C127" s="254"/>
      <c r="D127" s="255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6">
        <v>0</v>
      </c>
      <c r="AI127" s="246">
        <f t="shared" si="4"/>
        <v>0</v>
      </c>
      <c r="AJ127" s="246"/>
      <c r="AK127" s="254"/>
    </row>
    <row r="128" spans="1:37" ht="18" customHeight="1">
      <c r="A128" s="254" t="s">
        <v>58</v>
      </c>
      <c r="B128" s="254" t="s">
        <v>135</v>
      </c>
      <c r="C128" s="254"/>
      <c r="D128" s="255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/>
      <c r="AH128" s="256">
        <v>0</v>
      </c>
      <c r="AI128" s="246">
        <f t="shared" si="4"/>
        <v>0</v>
      </c>
      <c r="AJ128" s="246"/>
      <c r="AK128" s="254"/>
    </row>
    <row r="129" spans="1:37" ht="18" customHeight="1">
      <c r="A129" s="254" t="s">
        <v>58</v>
      </c>
      <c r="B129" s="254" t="s">
        <v>136</v>
      </c>
      <c r="C129" s="254"/>
      <c r="D129" s="255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  <c r="AB129" s="254"/>
      <c r="AC129" s="254"/>
      <c r="AD129" s="254"/>
      <c r="AE129" s="254"/>
      <c r="AF129" s="254"/>
      <c r="AG129" s="254"/>
      <c r="AH129" s="256">
        <v>0</v>
      </c>
      <c r="AI129" s="246">
        <f t="shared" si="4"/>
        <v>0</v>
      </c>
      <c r="AJ129" s="246"/>
      <c r="AK129" s="254"/>
    </row>
    <row r="130" spans="1:37" ht="18" customHeight="1">
      <c r="A130" s="254" t="s">
        <v>58</v>
      </c>
      <c r="B130" s="254" t="s">
        <v>137</v>
      </c>
      <c r="C130" s="254"/>
      <c r="D130" s="255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  <c r="AB130" s="254"/>
      <c r="AC130" s="254"/>
      <c r="AD130" s="254"/>
      <c r="AE130" s="254"/>
      <c r="AF130" s="254"/>
      <c r="AG130" s="254"/>
      <c r="AH130" s="256">
        <v>0</v>
      </c>
      <c r="AI130" s="246">
        <f t="shared" si="4"/>
        <v>0</v>
      </c>
      <c r="AJ130" s="246"/>
      <c r="AK130" s="254"/>
    </row>
    <row r="131" spans="1:37" ht="18" customHeight="1">
      <c r="A131" s="254" t="s">
        <v>58</v>
      </c>
      <c r="B131" s="254" t="s">
        <v>138</v>
      </c>
      <c r="C131" s="254"/>
      <c r="D131" s="255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  <c r="AB131" s="254"/>
      <c r="AC131" s="254"/>
      <c r="AD131" s="254"/>
      <c r="AE131" s="254"/>
      <c r="AF131" s="254"/>
      <c r="AG131" s="254"/>
      <c r="AH131" s="256">
        <v>0</v>
      </c>
      <c r="AI131" s="246">
        <f t="shared" si="4"/>
        <v>0</v>
      </c>
      <c r="AJ131" s="246"/>
      <c r="AK131" s="254"/>
    </row>
    <row r="132" spans="1:37" ht="18" customHeight="1">
      <c r="A132" s="254" t="s">
        <v>58</v>
      </c>
      <c r="B132" s="254" t="s">
        <v>139</v>
      </c>
      <c r="C132" s="254"/>
      <c r="D132" s="255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  <c r="AB132" s="254"/>
      <c r="AC132" s="254"/>
      <c r="AD132" s="254"/>
      <c r="AE132" s="254"/>
      <c r="AF132" s="254"/>
      <c r="AG132" s="254"/>
      <c r="AH132" s="256">
        <v>0</v>
      </c>
      <c r="AI132" s="246">
        <f t="shared" ref="AI132:AI163" si="5">IF(A132="O", (VALUE(_xlfn.SINGLE(_xlfn.IFS(AH132=0,"0",AH132=1,"150",AH132=2,"300",AH132=3,"450",AH132=4,"600",AH132=5,"750",AH132&gt;=6,"800")))),(VALUE(_xlfn.SINGLE(_xlfn.IFS(AH132=0,"0",AH132=1,"150",AH132=2,"300",AH132=3,"450",AH132=4,"600",AH132=5,"750",AH132=6,"900",AH132&gt;=7,"1,000")))))</f>
        <v>0</v>
      </c>
      <c r="AJ132" s="246"/>
      <c r="AK132" s="254"/>
    </row>
    <row r="133" spans="1:37" ht="18" customHeight="1">
      <c r="A133" s="254" t="s">
        <v>58</v>
      </c>
      <c r="B133" s="254" t="s">
        <v>140</v>
      </c>
      <c r="C133" s="254"/>
      <c r="D133" s="255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  <c r="AB133" s="254"/>
      <c r="AC133" s="254"/>
      <c r="AD133" s="254"/>
      <c r="AE133" s="254"/>
      <c r="AF133" s="254"/>
      <c r="AG133" s="254"/>
      <c r="AH133" s="256">
        <v>0</v>
      </c>
      <c r="AI133" s="246">
        <f t="shared" si="5"/>
        <v>0</v>
      </c>
      <c r="AJ133" s="246"/>
      <c r="AK133" s="254"/>
    </row>
    <row r="134" spans="1:37" ht="18" customHeight="1">
      <c r="A134" s="254" t="s">
        <v>58</v>
      </c>
      <c r="B134" s="254" t="s">
        <v>141</v>
      </c>
      <c r="C134" s="254"/>
      <c r="D134" s="255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  <c r="AD134" s="254"/>
      <c r="AE134" s="254"/>
      <c r="AF134" s="254"/>
      <c r="AG134" s="254"/>
      <c r="AH134" s="256">
        <v>0</v>
      </c>
      <c r="AI134" s="246">
        <f t="shared" si="5"/>
        <v>0</v>
      </c>
      <c r="AJ134" s="246"/>
      <c r="AK134" s="254"/>
    </row>
    <row r="135" spans="1:37" ht="18" customHeight="1">
      <c r="A135" s="254" t="s">
        <v>58</v>
      </c>
      <c r="B135" s="254" t="s">
        <v>142</v>
      </c>
      <c r="C135" s="254"/>
      <c r="D135" s="255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  <c r="AD135" s="254"/>
      <c r="AE135" s="254"/>
      <c r="AF135" s="254"/>
      <c r="AG135" s="254"/>
      <c r="AH135" s="256">
        <v>0</v>
      </c>
      <c r="AI135" s="246">
        <f t="shared" si="5"/>
        <v>0</v>
      </c>
      <c r="AJ135" s="246"/>
      <c r="AK135" s="254"/>
    </row>
    <row r="136" spans="1:37" ht="18" customHeight="1">
      <c r="A136" s="254" t="s">
        <v>58</v>
      </c>
      <c r="B136" s="254" t="s">
        <v>143</v>
      </c>
      <c r="C136" s="254"/>
      <c r="D136" s="255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  <c r="AD136" s="254"/>
      <c r="AE136" s="254"/>
      <c r="AF136" s="254"/>
      <c r="AG136" s="254"/>
      <c r="AH136" s="256">
        <v>0</v>
      </c>
      <c r="AI136" s="246">
        <f t="shared" si="5"/>
        <v>0</v>
      </c>
      <c r="AJ136" s="246"/>
      <c r="AK136" s="254"/>
    </row>
    <row r="137" spans="1:37" ht="18" customHeight="1">
      <c r="A137" s="254" t="s">
        <v>58</v>
      </c>
      <c r="B137" s="254" t="s">
        <v>144</v>
      </c>
      <c r="C137" s="254"/>
      <c r="D137" s="255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  <c r="AD137" s="254"/>
      <c r="AE137" s="254"/>
      <c r="AF137" s="254"/>
      <c r="AG137" s="254"/>
      <c r="AH137" s="256">
        <v>0</v>
      </c>
      <c r="AI137" s="246">
        <f t="shared" si="5"/>
        <v>0</v>
      </c>
      <c r="AJ137" s="246"/>
      <c r="AK137" s="254"/>
    </row>
    <row r="138" spans="1:37" ht="18" customHeight="1">
      <c r="A138" s="254" t="s">
        <v>58</v>
      </c>
      <c r="B138" s="254" t="s">
        <v>145</v>
      </c>
      <c r="C138" s="254"/>
      <c r="D138" s="255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  <c r="AD138" s="254"/>
      <c r="AE138" s="254"/>
      <c r="AF138" s="254"/>
      <c r="AG138" s="254"/>
      <c r="AH138" s="256">
        <v>0</v>
      </c>
      <c r="AI138" s="246">
        <f t="shared" si="5"/>
        <v>0</v>
      </c>
      <c r="AJ138" s="246"/>
      <c r="AK138" s="254"/>
    </row>
    <row r="139" spans="1:37" ht="18" customHeight="1">
      <c r="A139" s="243" t="s">
        <v>58</v>
      </c>
      <c r="B139" s="243" t="s">
        <v>146</v>
      </c>
      <c r="C139" s="243"/>
      <c r="D139" s="244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5">
        <v>0</v>
      </c>
      <c r="AI139" s="246">
        <f t="shared" si="5"/>
        <v>0</v>
      </c>
      <c r="AJ139" s="246"/>
      <c r="AK139" s="248"/>
    </row>
    <row r="140" spans="1:37" ht="18" customHeight="1">
      <c r="A140" s="243" t="s">
        <v>58</v>
      </c>
      <c r="B140" s="243" t="s">
        <v>147</v>
      </c>
      <c r="C140" s="243"/>
      <c r="D140" s="244"/>
      <c r="E140" s="243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5">
        <v>0</v>
      </c>
      <c r="AI140" s="246">
        <f t="shared" si="5"/>
        <v>0</v>
      </c>
      <c r="AJ140" s="246"/>
      <c r="AK140" s="247"/>
    </row>
    <row r="141" spans="1:37" ht="18" customHeight="1">
      <c r="A141" s="243" t="s">
        <v>58</v>
      </c>
      <c r="B141" s="243" t="s">
        <v>148</v>
      </c>
      <c r="C141" s="243"/>
      <c r="D141" s="244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5">
        <v>0</v>
      </c>
      <c r="AI141" s="246">
        <f t="shared" si="5"/>
        <v>0</v>
      </c>
      <c r="AJ141" s="246"/>
      <c r="AK141" s="243"/>
    </row>
    <row r="142" spans="1:37" ht="18" customHeight="1">
      <c r="A142" s="243" t="s">
        <v>58</v>
      </c>
      <c r="B142" s="243" t="s">
        <v>149</v>
      </c>
      <c r="C142" s="243"/>
      <c r="D142" s="244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5">
        <v>0</v>
      </c>
      <c r="AI142" s="246">
        <f t="shared" si="5"/>
        <v>0</v>
      </c>
      <c r="AJ142" s="246"/>
      <c r="AK142" s="243"/>
    </row>
    <row r="143" spans="1:37" ht="18" customHeight="1">
      <c r="A143" s="243" t="s">
        <v>58</v>
      </c>
      <c r="B143" s="243" t="s">
        <v>150</v>
      </c>
      <c r="C143" s="243"/>
      <c r="D143" s="244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  <c r="AH143" s="245">
        <v>0</v>
      </c>
      <c r="AI143" s="246">
        <f t="shared" si="5"/>
        <v>0</v>
      </c>
      <c r="AJ143" s="246"/>
      <c r="AK143" s="247"/>
    </row>
    <row r="144" spans="1:37" ht="18" customHeight="1">
      <c r="A144" s="243" t="s">
        <v>58</v>
      </c>
      <c r="B144" s="243" t="s">
        <v>151</v>
      </c>
      <c r="C144" s="243"/>
      <c r="D144" s="244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5">
        <v>0</v>
      </c>
      <c r="AI144" s="246">
        <f t="shared" si="5"/>
        <v>0</v>
      </c>
      <c r="AJ144" s="246"/>
      <c r="AK144" s="243"/>
    </row>
    <row r="145" spans="1:37" ht="18" customHeight="1">
      <c r="A145" s="243" t="s">
        <v>58</v>
      </c>
      <c r="B145" s="243" t="s">
        <v>152</v>
      </c>
      <c r="C145" s="243"/>
      <c r="D145" s="244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5">
        <v>0</v>
      </c>
      <c r="AI145" s="246">
        <f t="shared" si="5"/>
        <v>0</v>
      </c>
      <c r="AJ145" s="246"/>
      <c r="AK145" s="248"/>
    </row>
    <row r="146" spans="1:37" ht="18" customHeight="1">
      <c r="A146" s="243" t="s">
        <v>58</v>
      </c>
      <c r="B146" s="243" t="s">
        <v>153</v>
      </c>
      <c r="C146" s="243"/>
      <c r="D146" s="244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5">
        <v>0</v>
      </c>
      <c r="AI146" s="246">
        <f t="shared" si="5"/>
        <v>0</v>
      </c>
      <c r="AJ146" s="246"/>
      <c r="AK146" s="248"/>
    </row>
    <row r="147" spans="1:37" ht="18" customHeight="1">
      <c r="A147" s="243" t="s">
        <v>58</v>
      </c>
      <c r="B147" s="243" t="s">
        <v>154</v>
      </c>
      <c r="C147" s="243"/>
      <c r="D147" s="244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5">
        <v>0</v>
      </c>
      <c r="AI147" s="246">
        <f t="shared" si="5"/>
        <v>0</v>
      </c>
      <c r="AJ147" s="246"/>
      <c r="AK147" s="248"/>
    </row>
    <row r="148" spans="1:37" ht="18" customHeight="1">
      <c r="A148" s="243" t="s">
        <v>58</v>
      </c>
      <c r="B148" s="243" t="s">
        <v>155</v>
      </c>
      <c r="C148" s="243"/>
      <c r="D148" s="244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5">
        <v>0</v>
      </c>
      <c r="AI148" s="246">
        <f t="shared" si="5"/>
        <v>0</v>
      </c>
      <c r="AJ148" s="246"/>
      <c r="AK148" s="248"/>
    </row>
    <row r="149" spans="1:37" ht="18" customHeight="1">
      <c r="A149" s="243" t="s">
        <v>58</v>
      </c>
      <c r="B149" s="243" t="s">
        <v>156</v>
      </c>
      <c r="C149" s="243"/>
      <c r="D149" s="244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5">
        <v>0</v>
      </c>
      <c r="AI149" s="246">
        <f t="shared" si="5"/>
        <v>0</v>
      </c>
      <c r="AJ149" s="246"/>
      <c r="AK149" s="248"/>
    </row>
    <row r="150" spans="1:37" ht="18" customHeight="1">
      <c r="A150" s="243" t="s">
        <v>58</v>
      </c>
      <c r="B150" s="243" t="s">
        <v>157</v>
      </c>
      <c r="C150" s="243"/>
      <c r="D150" s="244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5">
        <v>0</v>
      </c>
      <c r="AI150" s="246">
        <f t="shared" si="5"/>
        <v>0</v>
      </c>
      <c r="AJ150" s="246"/>
      <c r="AK150" s="248"/>
    </row>
    <row r="151" spans="1:37" ht="18" customHeight="1">
      <c r="A151" s="243" t="s">
        <v>58</v>
      </c>
      <c r="B151" s="243" t="s">
        <v>158</v>
      </c>
      <c r="C151" s="243"/>
      <c r="D151" s="244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5">
        <v>0</v>
      </c>
      <c r="AI151" s="246">
        <f t="shared" si="5"/>
        <v>0</v>
      </c>
      <c r="AJ151" s="246"/>
      <c r="AK151" s="248"/>
    </row>
    <row r="152" spans="1:37" ht="18" customHeight="1">
      <c r="A152" s="243" t="s">
        <v>58</v>
      </c>
      <c r="B152" s="243" t="s">
        <v>159</v>
      </c>
      <c r="C152" s="243"/>
      <c r="D152" s="244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5">
        <v>0</v>
      </c>
      <c r="AI152" s="246">
        <f t="shared" si="5"/>
        <v>0</v>
      </c>
      <c r="AJ152" s="246"/>
      <c r="AK152" s="248"/>
    </row>
    <row r="153" spans="1:37" ht="18" customHeight="1">
      <c r="A153" s="243" t="s">
        <v>58</v>
      </c>
      <c r="B153" s="243" t="s">
        <v>160</v>
      </c>
      <c r="C153" s="243"/>
      <c r="D153" s="244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5">
        <v>0</v>
      </c>
      <c r="AI153" s="246">
        <f t="shared" si="5"/>
        <v>0</v>
      </c>
      <c r="AJ153" s="246"/>
      <c r="AK153" s="248"/>
    </row>
    <row r="154" spans="1:37" ht="18" customHeight="1">
      <c r="A154" s="243" t="s">
        <v>58</v>
      </c>
      <c r="B154" s="243" t="s">
        <v>161</v>
      </c>
      <c r="C154" s="243"/>
      <c r="D154" s="244"/>
      <c r="E154" s="243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5">
        <v>0</v>
      </c>
      <c r="AI154" s="246">
        <f t="shared" si="5"/>
        <v>0</v>
      </c>
      <c r="AJ154" s="246"/>
      <c r="AK154" s="248"/>
    </row>
    <row r="155" spans="1:37" ht="18" customHeight="1">
      <c r="A155" s="243" t="s">
        <v>58</v>
      </c>
      <c r="B155" s="243" t="s">
        <v>162</v>
      </c>
      <c r="C155" s="243"/>
      <c r="D155" s="244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  <c r="AH155" s="245">
        <v>0</v>
      </c>
      <c r="AI155" s="246">
        <f t="shared" si="5"/>
        <v>0</v>
      </c>
      <c r="AJ155" s="246"/>
      <c r="AK155" s="248"/>
    </row>
    <row r="156" spans="1:37" ht="18" customHeight="1">
      <c r="A156" s="243" t="s">
        <v>58</v>
      </c>
      <c r="B156" s="243" t="s">
        <v>163</v>
      </c>
      <c r="C156" s="243"/>
      <c r="D156" s="244"/>
      <c r="E156" s="243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  <c r="AH156" s="245">
        <v>0</v>
      </c>
      <c r="AI156" s="246">
        <f t="shared" si="5"/>
        <v>0</v>
      </c>
      <c r="AJ156" s="246"/>
      <c r="AK156" s="248"/>
    </row>
    <row r="157" spans="1:37" ht="18" customHeight="1">
      <c r="A157" s="243" t="s">
        <v>58</v>
      </c>
      <c r="B157" s="243" t="s">
        <v>164</v>
      </c>
      <c r="C157" s="243"/>
      <c r="D157" s="244"/>
      <c r="E157" s="243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  <c r="AH157" s="245">
        <v>0</v>
      </c>
      <c r="AI157" s="246">
        <f t="shared" si="5"/>
        <v>0</v>
      </c>
      <c r="AJ157" s="246"/>
      <c r="AK157" s="248"/>
    </row>
    <row r="158" spans="1:37" ht="18" customHeight="1">
      <c r="A158" s="243" t="s">
        <v>58</v>
      </c>
      <c r="B158" s="243" t="s">
        <v>165</v>
      </c>
      <c r="C158" s="243"/>
      <c r="D158" s="244"/>
      <c r="E158" s="243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  <c r="AH158" s="245">
        <v>0</v>
      </c>
      <c r="AI158" s="246">
        <f t="shared" si="5"/>
        <v>0</v>
      </c>
      <c r="AJ158" s="246"/>
      <c r="AK158" s="248"/>
    </row>
    <row r="159" spans="1:37" ht="18" customHeight="1">
      <c r="A159" s="243" t="s">
        <v>58</v>
      </c>
      <c r="B159" s="243" t="s">
        <v>166</v>
      </c>
      <c r="C159" s="243"/>
      <c r="D159" s="244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5">
        <v>0</v>
      </c>
      <c r="AI159" s="246">
        <f t="shared" si="5"/>
        <v>0</v>
      </c>
      <c r="AJ159" s="246"/>
      <c r="AK159" s="248"/>
    </row>
    <row r="160" spans="1:37" ht="12.5" customHeight="1"/>
  </sheetData>
  <mergeCells count="1">
    <mergeCell ref="AK1:AK2"/>
  </mergeCells>
  <phoneticPr fontId="12" type="noConversion"/>
  <conditionalFormatting sqref="B2:B4 B8:B11 B13:B159">
    <cfRule type="expression" dxfId="0" priority="1">
      <formula>COUNTIF($B:$B,$B2)&gt;1</formula>
    </cfRule>
  </conditionalFormatting>
  <dataValidations count="1">
    <dataValidation type="list" allowBlank="1" showDropDown="1" showErrorMessage="1" sqref="B1:AG1" xr:uid="{00000000-0002-0000-2200-000000000000}">
      <formula1>"-,Jason,曉明,青蛙,李洋,Mars"</formula1>
    </dataValidation>
  </dataValidations>
  <printOptions horizontalCentered="1" gridLines="1"/>
  <pageMargins left="0.25" right="0.25" top="0.6" bottom="0.6" header="0" footer="0"/>
  <pageSetup paperSize="9" fitToHeight="0" pageOrder="overThenDown" orientation="landscape" cellComments="atEnd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EA9999"/>
    <outlinePr summaryBelow="0" summaryRight="0"/>
    <pageSetUpPr fitToPage="1"/>
  </sheetPr>
  <dimension ref="A1:AK166"/>
  <sheetViews>
    <sheetView tabSelected="1" topLeftCell="A140" zoomScaleNormal="100" workbookViewId="0">
      <selection activeCell="X150" sqref="X150"/>
    </sheetView>
  </sheetViews>
  <sheetFormatPr defaultColWidth="12.54296875" defaultRowHeight="15.75" customHeight="1"/>
  <cols>
    <col min="1" max="1" width="9.1796875" style="230" customWidth="1"/>
    <col min="2" max="2" width="8.453125" style="230" customWidth="1"/>
    <col min="3" max="33" width="4.81640625" style="230" customWidth="1"/>
    <col min="34" max="34" width="4.453125" style="230" customWidth="1"/>
    <col min="35" max="36" width="6" style="230" customWidth="1"/>
    <col min="37" max="37" width="13.26953125" style="230" customWidth="1"/>
    <col min="38" max="44" width="12.54296875" style="230" customWidth="1"/>
    <col min="45" max="16384" width="12.54296875" style="230"/>
  </cols>
  <sheetData>
    <row r="1" spans="1:37" ht="18" customHeight="1">
      <c r="A1" s="227" t="s">
        <v>0</v>
      </c>
      <c r="B1" s="228"/>
      <c r="C1" s="228"/>
      <c r="D1" s="229"/>
      <c r="E1" s="229"/>
      <c r="F1" s="228"/>
      <c r="G1" s="229"/>
      <c r="H1" s="228"/>
      <c r="I1" s="229"/>
      <c r="J1" s="229"/>
      <c r="K1" s="229"/>
      <c r="L1" s="229"/>
      <c r="M1" s="228"/>
      <c r="N1" s="229"/>
      <c r="O1" s="228"/>
      <c r="P1" s="229"/>
      <c r="Q1" s="229"/>
      <c r="R1" s="229"/>
      <c r="S1" s="229"/>
      <c r="T1" s="228"/>
      <c r="U1" s="229"/>
      <c r="V1" s="228"/>
      <c r="W1" s="229"/>
      <c r="X1" s="229"/>
      <c r="Y1" s="229"/>
      <c r="Z1" s="229"/>
      <c r="AA1" s="228"/>
      <c r="AB1" s="229"/>
      <c r="AC1" s="229"/>
      <c r="AD1" s="229"/>
      <c r="AE1" s="229"/>
      <c r="AF1" s="229"/>
      <c r="AG1" s="229"/>
      <c r="AH1" s="261"/>
      <c r="AI1" s="261"/>
      <c r="AJ1" s="261"/>
      <c r="AK1" s="269" t="s">
        <v>1</v>
      </c>
    </row>
    <row r="2" spans="1:37" ht="18" customHeight="1">
      <c r="A2" s="228" t="s">
        <v>2</v>
      </c>
      <c r="B2" s="228" t="s">
        <v>3</v>
      </c>
      <c r="C2" s="231">
        <v>46266</v>
      </c>
      <c r="D2" s="231">
        <v>46267</v>
      </c>
      <c r="E2" s="231">
        <v>46268</v>
      </c>
      <c r="F2" s="231">
        <v>46269</v>
      </c>
      <c r="G2" s="231">
        <v>46270</v>
      </c>
      <c r="H2" s="231">
        <v>46271</v>
      </c>
      <c r="I2" s="231">
        <v>46272</v>
      </c>
      <c r="J2" s="231">
        <v>46273</v>
      </c>
      <c r="K2" s="231">
        <v>46274</v>
      </c>
      <c r="L2" s="231">
        <v>46275</v>
      </c>
      <c r="M2" s="231">
        <v>46276</v>
      </c>
      <c r="N2" s="231">
        <v>46277</v>
      </c>
      <c r="O2" s="231">
        <v>46278</v>
      </c>
      <c r="P2" s="231">
        <v>46279</v>
      </c>
      <c r="Q2" s="231">
        <v>46280</v>
      </c>
      <c r="R2" s="231">
        <v>46281</v>
      </c>
      <c r="S2" s="231">
        <v>46282</v>
      </c>
      <c r="T2" s="231">
        <v>46283</v>
      </c>
      <c r="U2" s="231">
        <v>46284</v>
      </c>
      <c r="V2" s="231">
        <v>46285</v>
      </c>
      <c r="W2" s="231">
        <v>46286</v>
      </c>
      <c r="X2" s="231">
        <v>46287</v>
      </c>
      <c r="Y2" s="231">
        <v>46288</v>
      </c>
      <c r="Z2" s="231">
        <v>46289</v>
      </c>
      <c r="AA2" s="231">
        <v>46290</v>
      </c>
      <c r="AB2" s="231">
        <v>46291</v>
      </c>
      <c r="AC2" s="231">
        <v>46292</v>
      </c>
      <c r="AD2" s="231">
        <v>46293</v>
      </c>
      <c r="AE2" s="231">
        <v>46294</v>
      </c>
      <c r="AF2" s="231">
        <v>46295</v>
      </c>
      <c r="AG2" s="231">
        <v>46265</v>
      </c>
      <c r="AH2" s="226"/>
      <c r="AI2" s="226"/>
      <c r="AJ2" s="226"/>
      <c r="AK2" s="270"/>
    </row>
    <row r="3" spans="1:37" ht="18" customHeight="1">
      <c r="A3" s="228" t="s">
        <v>4</v>
      </c>
      <c r="B3" s="228" t="s">
        <v>5</v>
      </c>
      <c r="C3" s="228">
        <v>6</v>
      </c>
      <c r="D3" s="232">
        <v>7</v>
      </c>
      <c r="E3" s="229">
        <f t="shared" ref="E3:AG3" si="0">WEEKDAY(E2-1)</f>
        <v>4</v>
      </c>
      <c r="F3" s="228">
        <f t="shared" si="0"/>
        <v>5</v>
      </c>
      <c r="G3" s="229">
        <f t="shared" si="0"/>
        <v>6</v>
      </c>
      <c r="H3" s="228">
        <f t="shared" si="0"/>
        <v>7</v>
      </c>
      <c r="I3" s="229">
        <f t="shared" si="0"/>
        <v>1</v>
      </c>
      <c r="J3" s="229">
        <f t="shared" si="0"/>
        <v>2</v>
      </c>
      <c r="K3" s="229">
        <f t="shared" si="0"/>
        <v>3</v>
      </c>
      <c r="L3" s="229">
        <f t="shared" si="0"/>
        <v>4</v>
      </c>
      <c r="M3" s="228">
        <f t="shared" si="0"/>
        <v>5</v>
      </c>
      <c r="N3" s="229">
        <f t="shared" si="0"/>
        <v>6</v>
      </c>
      <c r="O3" s="228">
        <f t="shared" si="0"/>
        <v>7</v>
      </c>
      <c r="P3" s="229">
        <f t="shared" si="0"/>
        <v>1</v>
      </c>
      <c r="Q3" s="229">
        <f t="shared" si="0"/>
        <v>2</v>
      </c>
      <c r="R3" s="229">
        <f t="shared" si="0"/>
        <v>3</v>
      </c>
      <c r="S3" s="229">
        <f t="shared" si="0"/>
        <v>4</v>
      </c>
      <c r="T3" s="228">
        <f t="shared" si="0"/>
        <v>5</v>
      </c>
      <c r="U3" s="229">
        <f t="shared" si="0"/>
        <v>6</v>
      </c>
      <c r="V3" s="228">
        <f t="shared" si="0"/>
        <v>7</v>
      </c>
      <c r="W3" s="229">
        <f t="shared" si="0"/>
        <v>1</v>
      </c>
      <c r="X3" s="229">
        <f t="shared" si="0"/>
        <v>2</v>
      </c>
      <c r="Y3" s="229">
        <f t="shared" si="0"/>
        <v>3</v>
      </c>
      <c r="Z3" s="229">
        <f t="shared" si="0"/>
        <v>4</v>
      </c>
      <c r="AA3" s="228">
        <f t="shared" si="0"/>
        <v>5</v>
      </c>
      <c r="AB3" s="229">
        <f t="shared" si="0"/>
        <v>6</v>
      </c>
      <c r="AC3" s="229">
        <f t="shared" si="0"/>
        <v>7</v>
      </c>
      <c r="AD3" s="229">
        <f t="shared" si="0"/>
        <v>1</v>
      </c>
      <c r="AE3" s="229">
        <f t="shared" si="0"/>
        <v>2</v>
      </c>
      <c r="AF3" s="229">
        <f t="shared" si="0"/>
        <v>3</v>
      </c>
      <c r="AG3" s="229">
        <f t="shared" si="0"/>
        <v>1</v>
      </c>
      <c r="AH3" s="259" t="s">
        <v>6</v>
      </c>
      <c r="AI3" s="260" t="s">
        <v>7</v>
      </c>
      <c r="AJ3" s="260" t="s">
        <v>8</v>
      </c>
      <c r="AK3" s="233">
        <f>SUM(AI4:AI160)</f>
        <v>0</v>
      </c>
    </row>
    <row r="4" spans="1:37" ht="18" customHeight="1">
      <c r="A4" s="234" t="s">
        <v>9</v>
      </c>
      <c r="B4" s="234" t="s">
        <v>10</v>
      </c>
      <c r="C4" s="234"/>
      <c r="D4" s="235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6">
        <v>0</v>
      </c>
      <c r="AI4" s="237">
        <f t="shared" ref="AI4:AI35" si="1">IF(A4="O", (VALUE(_xlfn.SINGLE(_xlfn.IFS(AH4=0,"0",AH4=1,"150",AH4=2,"300",AH4=3,"450",AH4=4,"600",AH4=5,"750",AH4&gt;=6,"800")))),(VALUE(_xlfn.SINGLE(_xlfn.IFS(AH4=0,"0",AH4=1,"150",AH4=2,"300",AH4=3,"450",AH4=4,"600",AH4=5,"750",AH4=6,"900",AH4&gt;=7,"1,000")))))</f>
        <v>0</v>
      </c>
      <c r="AJ4" s="237"/>
      <c r="AK4" s="234"/>
    </row>
    <row r="5" spans="1:37" ht="18" customHeight="1">
      <c r="A5" s="234" t="s">
        <v>9</v>
      </c>
      <c r="B5" s="238" t="s">
        <v>11</v>
      </c>
      <c r="C5" s="234"/>
      <c r="D5" s="235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6">
        <v>0</v>
      </c>
      <c r="AI5" s="237">
        <f t="shared" si="1"/>
        <v>0</v>
      </c>
      <c r="AJ5" s="237" t="s">
        <v>12</v>
      </c>
      <c r="AK5" s="234"/>
    </row>
    <row r="6" spans="1:37" ht="18" customHeight="1">
      <c r="A6" s="234" t="s">
        <v>9</v>
      </c>
      <c r="B6" s="238" t="s">
        <v>13</v>
      </c>
      <c r="C6" s="234"/>
      <c r="D6" s="235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6">
        <v>0</v>
      </c>
      <c r="AI6" s="237">
        <f t="shared" si="1"/>
        <v>0</v>
      </c>
      <c r="AJ6" s="237"/>
      <c r="AK6" s="234"/>
    </row>
    <row r="7" spans="1:37" ht="18" customHeight="1">
      <c r="A7" s="234" t="s">
        <v>9</v>
      </c>
      <c r="B7" s="237" t="s">
        <v>14</v>
      </c>
      <c r="C7" s="234"/>
      <c r="D7" s="235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6">
        <v>0</v>
      </c>
      <c r="AI7" s="237">
        <f t="shared" si="1"/>
        <v>0</v>
      </c>
      <c r="AJ7" s="237" t="s">
        <v>12</v>
      </c>
      <c r="AK7" s="234"/>
    </row>
    <row r="8" spans="1:37" ht="18" customHeight="1">
      <c r="A8" s="234" t="s">
        <v>9</v>
      </c>
      <c r="B8" s="234" t="s">
        <v>15</v>
      </c>
      <c r="C8" s="234"/>
      <c r="D8" s="235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6">
        <v>0</v>
      </c>
      <c r="AI8" s="237">
        <f t="shared" si="1"/>
        <v>0</v>
      </c>
      <c r="AJ8" s="237"/>
      <c r="AK8" s="234"/>
    </row>
    <row r="9" spans="1:37" ht="18" customHeight="1">
      <c r="A9" s="234" t="s">
        <v>9</v>
      </c>
      <c r="B9" s="268" t="s">
        <v>16</v>
      </c>
      <c r="C9" s="234"/>
      <c r="D9" s="235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6">
        <v>0</v>
      </c>
      <c r="AI9" s="237">
        <f t="shared" si="1"/>
        <v>0</v>
      </c>
      <c r="AJ9" s="237"/>
      <c r="AK9" s="234"/>
    </row>
    <row r="10" spans="1:37" ht="18" customHeight="1">
      <c r="A10" s="234" t="s">
        <v>9</v>
      </c>
      <c r="B10" s="234" t="s">
        <v>17</v>
      </c>
      <c r="C10" s="234"/>
      <c r="D10" s="235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6">
        <v>0</v>
      </c>
      <c r="AI10" s="237">
        <f t="shared" si="1"/>
        <v>0</v>
      </c>
      <c r="AJ10" s="237"/>
      <c r="AK10" s="234"/>
    </row>
    <row r="11" spans="1:37" ht="18" customHeight="1">
      <c r="A11" s="234" t="s">
        <v>9</v>
      </c>
      <c r="B11" s="234" t="s">
        <v>18</v>
      </c>
      <c r="C11" s="234"/>
      <c r="D11" s="235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6">
        <v>0</v>
      </c>
      <c r="AI11" s="237">
        <f t="shared" si="1"/>
        <v>0</v>
      </c>
      <c r="AJ11" s="237"/>
      <c r="AK11" s="234"/>
    </row>
    <row r="12" spans="1:37" ht="18" customHeight="1">
      <c r="A12" s="234" t="s">
        <v>9</v>
      </c>
      <c r="B12" s="237" t="s">
        <v>19</v>
      </c>
      <c r="C12" s="234"/>
      <c r="D12" s="235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6">
        <v>0</v>
      </c>
      <c r="AI12" s="237">
        <f t="shared" si="1"/>
        <v>0</v>
      </c>
      <c r="AJ12" s="237"/>
      <c r="AK12" s="234"/>
    </row>
    <row r="13" spans="1:37" ht="18" customHeight="1">
      <c r="A13" s="234" t="s">
        <v>9</v>
      </c>
      <c r="B13" s="234" t="s">
        <v>20</v>
      </c>
      <c r="C13" s="234"/>
      <c r="D13" s="235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6">
        <v>0</v>
      </c>
      <c r="AI13" s="237">
        <f t="shared" si="1"/>
        <v>0</v>
      </c>
      <c r="AJ13" s="237"/>
      <c r="AK13" s="234"/>
    </row>
    <row r="14" spans="1:37" ht="18" customHeight="1">
      <c r="A14" s="234" t="s">
        <v>9</v>
      </c>
      <c r="B14" s="234" t="s">
        <v>21</v>
      </c>
      <c r="C14" s="234"/>
      <c r="D14" s="235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6">
        <v>0</v>
      </c>
      <c r="AI14" s="237">
        <f t="shared" si="1"/>
        <v>0</v>
      </c>
      <c r="AJ14" s="237"/>
      <c r="AK14" s="234"/>
    </row>
    <row r="15" spans="1:37" ht="18" customHeight="1">
      <c r="A15" s="234" t="s">
        <v>9</v>
      </c>
      <c r="B15" s="234" t="s">
        <v>22</v>
      </c>
      <c r="C15" s="234"/>
      <c r="D15" s="235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6">
        <v>0</v>
      </c>
      <c r="AI15" s="237">
        <f t="shared" si="1"/>
        <v>0</v>
      </c>
      <c r="AJ15" s="237"/>
      <c r="AK15" s="234"/>
    </row>
    <row r="16" spans="1:37" ht="18" customHeight="1">
      <c r="A16" s="234" t="s">
        <v>9</v>
      </c>
      <c r="B16" s="234" t="s">
        <v>23</v>
      </c>
      <c r="C16" s="234"/>
      <c r="D16" s="235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6">
        <v>0</v>
      </c>
      <c r="AI16" s="237">
        <f t="shared" si="1"/>
        <v>0</v>
      </c>
      <c r="AJ16" s="237"/>
      <c r="AK16" s="237"/>
    </row>
    <row r="17" spans="1:37" ht="18" customHeight="1">
      <c r="A17" s="234" t="s">
        <v>9</v>
      </c>
      <c r="B17" s="234" t="s">
        <v>24</v>
      </c>
      <c r="C17" s="234"/>
      <c r="D17" s="235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6">
        <v>0</v>
      </c>
      <c r="AI17" s="237">
        <f t="shared" si="1"/>
        <v>0</v>
      </c>
      <c r="AJ17" s="237"/>
      <c r="AK17" s="237"/>
    </row>
    <row r="18" spans="1:37" ht="18" customHeight="1">
      <c r="A18" s="234" t="s">
        <v>9</v>
      </c>
      <c r="B18" s="234" t="s">
        <v>25</v>
      </c>
      <c r="C18" s="234"/>
      <c r="D18" s="235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6">
        <v>0</v>
      </c>
      <c r="AI18" s="237">
        <f t="shared" si="1"/>
        <v>0</v>
      </c>
      <c r="AJ18" s="237"/>
      <c r="AK18" s="237"/>
    </row>
    <row r="19" spans="1:37" ht="18" customHeight="1">
      <c r="A19" s="234" t="s">
        <v>9</v>
      </c>
      <c r="B19" s="234" t="s">
        <v>26</v>
      </c>
      <c r="C19" s="234"/>
      <c r="D19" s="235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6">
        <v>0</v>
      </c>
      <c r="AI19" s="237">
        <f t="shared" si="1"/>
        <v>0</v>
      </c>
      <c r="AJ19" s="237"/>
      <c r="AK19" s="237"/>
    </row>
    <row r="20" spans="1:37" ht="18" customHeight="1">
      <c r="A20" s="234" t="s">
        <v>9</v>
      </c>
      <c r="B20" s="234" t="s">
        <v>27</v>
      </c>
      <c r="C20" s="234"/>
      <c r="D20" s="235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6">
        <v>0</v>
      </c>
      <c r="AI20" s="237">
        <f t="shared" si="1"/>
        <v>0</v>
      </c>
      <c r="AJ20" s="237"/>
      <c r="AK20" s="237"/>
    </row>
    <row r="21" spans="1:37" ht="18" customHeight="1">
      <c r="A21" s="234" t="s">
        <v>9</v>
      </c>
      <c r="B21" s="234" t="s">
        <v>28</v>
      </c>
      <c r="C21" s="234"/>
      <c r="D21" s="235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6">
        <v>0</v>
      </c>
      <c r="AI21" s="237">
        <f t="shared" si="1"/>
        <v>0</v>
      </c>
      <c r="AJ21" s="237"/>
      <c r="AK21" s="237"/>
    </row>
    <row r="22" spans="1:37" ht="18" customHeight="1">
      <c r="A22" s="234" t="s">
        <v>9</v>
      </c>
      <c r="B22" s="234" t="s">
        <v>29</v>
      </c>
      <c r="C22" s="234"/>
      <c r="D22" s="235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6">
        <v>0</v>
      </c>
      <c r="AI22" s="237">
        <f t="shared" si="1"/>
        <v>0</v>
      </c>
      <c r="AJ22" s="237"/>
      <c r="AK22" s="237"/>
    </row>
    <row r="23" spans="1:37" ht="18" customHeight="1">
      <c r="A23" s="234" t="s">
        <v>9</v>
      </c>
      <c r="B23" s="234" t="s">
        <v>30</v>
      </c>
      <c r="C23" s="234"/>
      <c r="D23" s="235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6">
        <v>0</v>
      </c>
      <c r="AI23" s="237">
        <f t="shared" si="1"/>
        <v>0</v>
      </c>
      <c r="AJ23" s="237"/>
      <c r="AK23" s="237"/>
    </row>
    <row r="24" spans="1:37" ht="18" customHeight="1">
      <c r="A24" s="234" t="s">
        <v>9</v>
      </c>
      <c r="B24" s="234" t="s">
        <v>31</v>
      </c>
      <c r="C24" s="234"/>
      <c r="D24" s="235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6">
        <v>0</v>
      </c>
      <c r="AI24" s="237">
        <f t="shared" si="1"/>
        <v>0</v>
      </c>
      <c r="AJ24" s="237"/>
      <c r="AK24" s="237"/>
    </row>
    <row r="25" spans="1:37" ht="18" customHeight="1">
      <c r="A25" s="239" t="s">
        <v>9</v>
      </c>
      <c r="B25" s="239" t="s">
        <v>32</v>
      </c>
      <c r="C25" s="239"/>
      <c r="D25" s="240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41">
        <v>0</v>
      </c>
      <c r="AI25" s="237">
        <f t="shared" si="1"/>
        <v>0</v>
      </c>
      <c r="AJ25" s="237"/>
      <c r="AK25" s="237"/>
    </row>
    <row r="26" spans="1:37" ht="18" customHeight="1">
      <c r="A26" s="239" t="s">
        <v>9</v>
      </c>
      <c r="B26" s="239" t="s">
        <v>33</v>
      </c>
      <c r="C26" s="239"/>
      <c r="D26" s="240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41">
        <v>0</v>
      </c>
      <c r="AI26" s="237">
        <f t="shared" si="1"/>
        <v>0</v>
      </c>
      <c r="AJ26" s="237"/>
      <c r="AK26" s="237"/>
    </row>
    <row r="27" spans="1:37" ht="18" customHeight="1">
      <c r="A27" s="239" t="s">
        <v>9</v>
      </c>
      <c r="B27" s="239" t="s">
        <v>34</v>
      </c>
      <c r="C27" s="239"/>
      <c r="D27" s="240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41">
        <v>0</v>
      </c>
      <c r="AI27" s="237">
        <f t="shared" si="1"/>
        <v>0</v>
      </c>
      <c r="AJ27" s="237"/>
      <c r="AK27" s="234"/>
    </row>
    <row r="28" spans="1:37" ht="18" customHeight="1">
      <c r="A28" s="239" t="s">
        <v>9</v>
      </c>
      <c r="B28" s="239" t="s">
        <v>35</v>
      </c>
      <c r="C28" s="239"/>
      <c r="D28" s="240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41">
        <v>0</v>
      </c>
      <c r="AI28" s="237">
        <f t="shared" si="1"/>
        <v>0</v>
      </c>
      <c r="AJ28" s="237"/>
      <c r="AK28" s="234"/>
    </row>
    <row r="29" spans="1:37" ht="18" customHeight="1">
      <c r="A29" s="239" t="s">
        <v>9</v>
      </c>
      <c r="B29" s="239" t="s">
        <v>36</v>
      </c>
      <c r="C29" s="239"/>
      <c r="D29" s="240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41">
        <v>0</v>
      </c>
      <c r="AI29" s="237">
        <f t="shared" si="1"/>
        <v>0</v>
      </c>
      <c r="AJ29" s="237"/>
      <c r="AK29" s="234"/>
    </row>
    <row r="30" spans="1:37" ht="18" customHeight="1">
      <c r="A30" s="239" t="s">
        <v>9</v>
      </c>
      <c r="B30" s="239" t="s">
        <v>37</v>
      </c>
      <c r="C30" s="239"/>
      <c r="D30" s="240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41">
        <v>0</v>
      </c>
      <c r="AI30" s="237">
        <f t="shared" si="1"/>
        <v>0</v>
      </c>
      <c r="AJ30" s="237"/>
      <c r="AK30" s="234"/>
    </row>
    <row r="31" spans="1:37" ht="18" customHeight="1">
      <c r="A31" s="239" t="s">
        <v>9</v>
      </c>
      <c r="B31" s="239" t="s">
        <v>38</v>
      </c>
      <c r="C31" s="239"/>
      <c r="D31" s="240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41">
        <v>0</v>
      </c>
      <c r="AI31" s="237">
        <f t="shared" si="1"/>
        <v>0</v>
      </c>
      <c r="AJ31" s="237"/>
      <c r="AK31" s="234"/>
    </row>
    <row r="32" spans="1:37" ht="18" customHeight="1">
      <c r="A32" s="239" t="s">
        <v>9</v>
      </c>
      <c r="B32" s="239" t="s">
        <v>39</v>
      </c>
      <c r="C32" s="239"/>
      <c r="D32" s="240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41">
        <v>0</v>
      </c>
      <c r="AI32" s="237">
        <f t="shared" si="1"/>
        <v>0</v>
      </c>
      <c r="AJ32" s="237"/>
      <c r="AK32" s="234"/>
    </row>
    <row r="33" spans="1:37" ht="18" customHeight="1">
      <c r="A33" s="239" t="s">
        <v>9</v>
      </c>
      <c r="B33" s="239" t="s">
        <v>40</v>
      </c>
      <c r="C33" s="239"/>
      <c r="D33" s="240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41">
        <v>0</v>
      </c>
      <c r="AI33" s="237">
        <f t="shared" si="1"/>
        <v>0</v>
      </c>
      <c r="AJ33" s="237"/>
      <c r="AK33" s="234"/>
    </row>
    <row r="34" spans="1:37" ht="18" customHeight="1">
      <c r="A34" s="239" t="s">
        <v>9</v>
      </c>
      <c r="B34" s="239" t="s">
        <v>41</v>
      </c>
      <c r="C34" s="239"/>
      <c r="D34" s="240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41">
        <v>0</v>
      </c>
      <c r="AI34" s="237">
        <f t="shared" si="1"/>
        <v>0</v>
      </c>
      <c r="AJ34" s="237"/>
      <c r="AK34" s="239"/>
    </row>
    <row r="35" spans="1:37" ht="18" customHeight="1">
      <c r="A35" s="239" t="s">
        <v>9</v>
      </c>
      <c r="B35" s="239" t="s">
        <v>42</v>
      </c>
      <c r="C35" s="239"/>
      <c r="D35" s="240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41">
        <v>0</v>
      </c>
      <c r="AI35" s="237">
        <f t="shared" si="1"/>
        <v>0</v>
      </c>
      <c r="AJ35" s="237"/>
      <c r="AK35" s="239"/>
    </row>
    <row r="36" spans="1:37" ht="18" customHeight="1">
      <c r="A36" s="239" t="s">
        <v>9</v>
      </c>
      <c r="B36" s="239" t="s">
        <v>43</v>
      </c>
      <c r="C36" s="239"/>
      <c r="D36" s="240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41">
        <v>0</v>
      </c>
      <c r="AI36" s="237">
        <f t="shared" ref="AI36:AI67" si="2">IF(A36="O", (VALUE(_xlfn.SINGLE(_xlfn.IFS(AH36=0,"0",AH36=1,"150",AH36=2,"300",AH36=3,"450",AH36=4,"600",AH36=5,"750",AH36&gt;=6,"800")))),(VALUE(_xlfn.SINGLE(_xlfn.IFS(AH36=0,"0",AH36=1,"150",AH36=2,"300",AH36=3,"450",AH36=4,"600",AH36=5,"750",AH36=6,"900",AH36&gt;=7,"1,000")))))</f>
        <v>0</v>
      </c>
      <c r="AJ36" s="237"/>
      <c r="AK36" s="239"/>
    </row>
    <row r="37" spans="1:37" ht="18" customHeight="1">
      <c r="A37" s="239" t="s">
        <v>9</v>
      </c>
      <c r="B37" s="239" t="s">
        <v>44</v>
      </c>
      <c r="C37" s="239"/>
      <c r="D37" s="240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41">
        <v>0</v>
      </c>
      <c r="AI37" s="237">
        <f t="shared" si="2"/>
        <v>0</v>
      </c>
      <c r="AJ37" s="237"/>
      <c r="AK37" s="239"/>
    </row>
    <row r="38" spans="1:37" ht="18" customHeight="1">
      <c r="A38" s="239" t="s">
        <v>9</v>
      </c>
      <c r="B38" s="239" t="s">
        <v>45</v>
      </c>
      <c r="C38" s="239"/>
      <c r="D38" s="240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39"/>
      <c r="AG38" s="239"/>
      <c r="AH38" s="241">
        <v>0</v>
      </c>
      <c r="AI38" s="237">
        <f t="shared" si="2"/>
        <v>0</v>
      </c>
      <c r="AJ38" s="237"/>
      <c r="AK38" s="239"/>
    </row>
    <row r="39" spans="1:37" ht="18" customHeight="1">
      <c r="A39" s="239" t="s">
        <v>9</v>
      </c>
      <c r="B39" s="239" t="s">
        <v>46</v>
      </c>
      <c r="C39" s="239"/>
      <c r="D39" s="240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41">
        <v>0</v>
      </c>
      <c r="AI39" s="237">
        <f t="shared" si="2"/>
        <v>0</v>
      </c>
      <c r="AJ39" s="237"/>
      <c r="AK39" s="239"/>
    </row>
    <row r="40" spans="1:37" ht="18" customHeight="1">
      <c r="A40" s="239" t="s">
        <v>9</v>
      </c>
      <c r="B40" s="239" t="s">
        <v>47</v>
      </c>
      <c r="C40" s="239"/>
      <c r="D40" s="240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41">
        <v>0</v>
      </c>
      <c r="AI40" s="237">
        <f t="shared" si="2"/>
        <v>0</v>
      </c>
      <c r="AJ40" s="237"/>
      <c r="AK40" s="239"/>
    </row>
    <row r="41" spans="1:37" ht="18" customHeight="1">
      <c r="A41" s="239" t="s">
        <v>9</v>
      </c>
      <c r="B41" s="239" t="s">
        <v>48</v>
      </c>
      <c r="C41" s="239"/>
      <c r="D41" s="240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41">
        <v>0</v>
      </c>
      <c r="AI41" s="237">
        <f t="shared" si="2"/>
        <v>0</v>
      </c>
      <c r="AJ41" s="237"/>
      <c r="AK41" s="239"/>
    </row>
    <row r="42" spans="1:37" ht="18" customHeight="1">
      <c r="A42" s="239" t="s">
        <v>9</v>
      </c>
      <c r="B42" s="239" t="s">
        <v>49</v>
      </c>
      <c r="C42" s="239"/>
      <c r="D42" s="240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41">
        <v>0</v>
      </c>
      <c r="AI42" s="237">
        <f t="shared" si="2"/>
        <v>0</v>
      </c>
      <c r="AJ42" s="237"/>
      <c r="AK42" s="239"/>
    </row>
    <row r="43" spans="1:37" ht="18" customHeight="1">
      <c r="A43" s="239" t="s">
        <v>9</v>
      </c>
      <c r="B43" s="239" t="s">
        <v>50</v>
      </c>
      <c r="C43" s="239"/>
      <c r="D43" s="240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41">
        <v>0</v>
      </c>
      <c r="AI43" s="237">
        <f t="shared" si="2"/>
        <v>0</v>
      </c>
      <c r="AJ43" s="237"/>
      <c r="AK43" s="239"/>
    </row>
    <row r="44" spans="1:37" ht="18" customHeight="1">
      <c r="A44" s="239" t="s">
        <v>9</v>
      </c>
      <c r="B44" s="239" t="s">
        <v>51</v>
      </c>
      <c r="C44" s="239"/>
      <c r="D44" s="240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41">
        <v>0</v>
      </c>
      <c r="AI44" s="237">
        <f t="shared" si="2"/>
        <v>0</v>
      </c>
      <c r="AJ44" s="237"/>
      <c r="AK44" s="239"/>
    </row>
    <row r="45" spans="1:37" ht="18" customHeight="1">
      <c r="A45" s="239" t="s">
        <v>9</v>
      </c>
      <c r="B45" s="239" t="s">
        <v>52</v>
      </c>
      <c r="C45" s="239"/>
      <c r="D45" s="240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41">
        <v>0</v>
      </c>
      <c r="AI45" s="237">
        <f t="shared" si="2"/>
        <v>0</v>
      </c>
      <c r="AJ45" s="237"/>
      <c r="AK45" s="239"/>
    </row>
    <row r="46" spans="1:37" ht="18" customHeight="1">
      <c r="A46" s="239" t="s">
        <v>9</v>
      </c>
      <c r="B46" s="239" t="s">
        <v>53</v>
      </c>
      <c r="C46" s="239"/>
      <c r="D46" s="240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41">
        <v>0</v>
      </c>
      <c r="AI46" s="237">
        <f t="shared" si="2"/>
        <v>0</v>
      </c>
      <c r="AJ46" s="237"/>
      <c r="AK46" s="239"/>
    </row>
    <row r="47" spans="1:37" ht="18" customHeight="1">
      <c r="A47" s="239" t="s">
        <v>9</v>
      </c>
      <c r="B47" s="239" t="s">
        <v>54</v>
      </c>
      <c r="C47" s="239"/>
      <c r="D47" s="240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41">
        <v>0</v>
      </c>
      <c r="AI47" s="237">
        <f t="shared" si="2"/>
        <v>0</v>
      </c>
      <c r="AJ47" s="237"/>
      <c r="AK47" s="234"/>
    </row>
    <row r="48" spans="1:37" ht="18" customHeight="1">
      <c r="A48" s="240" t="s">
        <v>9</v>
      </c>
      <c r="B48" s="240" t="s">
        <v>55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1">
        <v>0</v>
      </c>
      <c r="AI48" s="237">
        <f t="shared" si="2"/>
        <v>0</v>
      </c>
      <c r="AJ48" s="237"/>
      <c r="AK48" s="235"/>
    </row>
    <row r="49" spans="1:37" ht="18" customHeight="1">
      <c r="A49" s="240" t="s">
        <v>9</v>
      </c>
      <c r="B49" s="240" t="s">
        <v>56</v>
      </c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1">
        <v>0</v>
      </c>
      <c r="AI49" s="237">
        <f t="shared" si="2"/>
        <v>0</v>
      </c>
      <c r="AJ49" s="237"/>
      <c r="AK49" s="235"/>
    </row>
    <row r="50" spans="1:37" ht="18" customHeight="1">
      <c r="A50" s="240" t="s">
        <v>9</v>
      </c>
      <c r="B50" s="240" t="s">
        <v>57</v>
      </c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1">
        <v>0</v>
      </c>
      <c r="AI50" s="237">
        <f t="shared" si="2"/>
        <v>0</v>
      </c>
      <c r="AJ50" s="237"/>
      <c r="AK50" s="235"/>
    </row>
    <row r="51" spans="1:37" ht="18" customHeight="1">
      <c r="A51" s="239" t="s">
        <v>58</v>
      </c>
      <c r="B51" s="239" t="s">
        <v>59</v>
      </c>
      <c r="C51" s="239"/>
      <c r="D51" s="240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41">
        <v>0</v>
      </c>
      <c r="AI51" s="237">
        <f t="shared" si="2"/>
        <v>0</v>
      </c>
      <c r="AJ51" s="237"/>
      <c r="AK51" s="237"/>
    </row>
    <row r="52" spans="1:37" ht="18" customHeight="1">
      <c r="A52" s="239" t="s">
        <v>58</v>
      </c>
      <c r="B52" s="239" t="s">
        <v>60</v>
      </c>
      <c r="C52" s="239"/>
      <c r="D52" s="240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41">
        <v>0</v>
      </c>
      <c r="AI52" s="237">
        <f t="shared" si="2"/>
        <v>0</v>
      </c>
      <c r="AJ52" s="237"/>
      <c r="AK52" s="237"/>
    </row>
    <row r="53" spans="1:37" ht="18" customHeight="1">
      <c r="A53" s="239" t="s">
        <v>58</v>
      </c>
      <c r="B53" s="239" t="s">
        <v>61</v>
      </c>
      <c r="C53" s="239"/>
      <c r="D53" s="240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41">
        <v>0</v>
      </c>
      <c r="AI53" s="237">
        <f t="shared" si="2"/>
        <v>0</v>
      </c>
      <c r="AJ53" s="237"/>
      <c r="AK53" s="239"/>
    </row>
    <row r="54" spans="1:37" ht="18" customHeight="1">
      <c r="A54" s="239" t="s">
        <v>58</v>
      </c>
      <c r="B54" s="239" t="s">
        <v>62</v>
      </c>
      <c r="C54" s="239"/>
      <c r="D54" s="240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41">
        <v>0</v>
      </c>
      <c r="AI54" s="237">
        <f t="shared" si="2"/>
        <v>0</v>
      </c>
      <c r="AJ54" s="237"/>
      <c r="AK54" s="237"/>
    </row>
    <row r="55" spans="1:37" ht="18" customHeight="1">
      <c r="A55" s="239" t="s">
        <v>58</v>
      </c>
      <c r="B55" s="239" t="s">
        <v>63</v>
      </c>
      <c r="C55" s="239"/>
      <c r="D55" s="240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41">
        <v>0</v>
      </c>
      <c r="AI55" s="237">
        <f t="shared" si="2"/>
        <v>0</v>
      </c>
      <c r="AJ55" s="237"/>
      <c r="AK55" s="237"/>
    </row>
    <row r="56" spans="1:37" ht="18" customHeight="1">
      <c r="A56" s="239" t="s">
        <v>58</v>
      </c>
      <c r="B56" s="239" t="s">
        <v>64</v>
      </c>
      <c r="C56" s="239"/>
      <c r="D56" s="240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41">
        <v>0</v>
      </c>
      <c r="AI56" s="237">
        <f t="shared" si="2"/>
        <v>0</v>
      </c>
      <c r="AJ56" s="237"/>
      <c r="AK56" s="237"/>
    </row>
    <row r="57" spans="1:37" ht="18" customHeight="1">
      <c r="A57" s="239" t="s">
        <v>58</v>
      </c>
      <c r="B57" s="239" t="s">
        <v>65</v>
      </c>
      <c r="C57" s="239"/>
      <c r="D57" s="240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41">
        <v>0</v>
      </c>
      <c r="AI57" s="237">
        <f t="shared" si="2"/>
        <v>0</v>
      </c>
      <c r="AJ57" s="237"/>
      <c r="AK57" s="237"/>
    </row>
    <row r="58" spans="1:37" ht="18" customHeight="1">
      <c r="A58" s="239" t="s">
        <v>58</v>
      </c>
      <c r="B58" s="239" t="s">
        <v>66</v>
      </c>
      <c r="C58" s="239"/>
      <c r="D58" s="240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41">
        <v>0</v>
      </c>
      <c r="AI58" s="237">
        <f t="shared" si="2"/>
        <v>0</v>
      </c>
      <c r="AJ58" s="237"/>
      <c r="AK58" s="237"/>
    </row>
    <row r="59" spans="1:37" ht="18" customHeight="1">
      <c r="A59" s="239" t="s">
        <v>58</v>
      </c>
      <c r="B59" s="239" t="s">
        <v>67</v>
      </c>
      <c r="C59" s="239"/>
      <c r="D59" s="240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41">
        <v>0</v>
      </c>
      <c r="AI59" s="237">
        <f t="shared" si="2"/>
        <v>0</v>
      </c>
      <c r="AJ59" s="237"/>
      <c r="AK59" s="242"/>
    </row>
    <row r="60" spans="1:37" ht="18" customHeight="1">
      <c r="A60" s="239" t="s">
        <v>58</v>
      </c>
      <c r="B60" s="239" t="s">
        <v>68</v>
      </c>
      <c r="C60" s="239"/>
      <c r="D60" s="240"/>
      <c r="E60" s="239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41">
        <v>0</v>
      </c>
      <c r="AI60" s="237">
        <f t="shared" si="2"/>
        <v>0</v>
      </c>
      <c r="AJ60" s="237"/>
      <c r="AK60" s="237"/>
    </row>
    <row r="61" spans="1:37" ht="18" customHeight="1">
      <c r="A61" s="239" t="s">
        <v>58</v>
      </c>
      <c r="B61" s="239" t="s">
        <v>69</v>
      </c>
      <c r="C61" s="239"/>
      <c r="D61" s="240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41">
        <v>0</v>
      </c>
      <c r="AI61" s="237">
        <f t="shared" si="2"/>
        <v>0</v>
      </c>
      <c r="AJ61" s="237"/>
      <c r="AK61" s="237"/>
    </row>
    <row r="62" spans="1:37" ht="18" customHeight="1">
      <c r="A62" s="239" t="s">
        <v>58</v>
      </c>
      <c r="B62" s="239" t="s">
        <v>70</v>
      </c>
      <c r="C62" s="239"/>
      <c r="D62" s="240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41">
        <v>0</v>
      </c>
      <c r="AI62" s="237">
        <f t="shared" si="2"/>
        <v>0</v>
      </c>
      <c r="AJ62" s="237"/>
      <c r="AK62" s="237"/>
    </row>
    <row r="63" spans="1:37" ht="18" customHeight="1">
      <c r="A63" s="239" t="s">
        <v>58</v>
      </c>
      <c r="B63" s="239" t="s">
        <v>71</v>
      </c>
      <c r="C63" s="239"/>
      <c r="D63" s="240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41">
        <v>0</v>
      </c>
      <c r="AI63" s="237">
        <f t="shared" si="2"/>
        <v>0</v>
      </c>
      <c r="AJ63" s="237"/>
      <c r="AK63" s="237"/>
    </row>
    <row r="64" spans="1:37" ht="18" customHeight="1">
      <c r="A64" s="239" t="s">
        <v>58</v>
      </c>
      <c r="B64" s="239" t="s">
        <v>72</v>
      </c>
      <c r="C64" s="239"/>
      <c r="D64" s="240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41">
        <v>0</v>
      </c>
      <c r="AI64" s="237">
        <f t="shared" si="2"/>
        <v>0</v>
      </c>
      <c r="AJ64" s="237"/>
      <c r="AK64" s="237"/>
    </row>
    <row r="65" spans="1:37" ht="18" customHeight="1">
      <c r="A65" s="239" t="s">
        <v>58</v>
      </c>
      <c r="B65" s="239" t="s">
        <v>73</v>
      </c>
      <c r="C65" s="239"/>
      <c r="D65" s="240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41">
        <v>0</v>
      </c>
      <c r="AI65" s="237">
        <f t="shared" si="2"/>
        <v>0</v>
      </c>
      <c r="AJ65" s="237"/>
      <c r="AK65" s="237"/>
    </row>
    <row r="66" spans="1:37" ht="18" customHeight="1">
      <c r="A66" s="239" t="s">
        <v>58</v>
      </c>
      <c r="B66" s="239" t="s">
        <v>74</v>
      </c>
      <c r="C66" s="239"/>
      <c r="D66" s="240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41">
        <v>0</v>
      </c>
      <c r="AI66" s="237">
        <f t="shared" si="2"/>
        <v>0</v>
      </c>
      <c r="AJ66" s="237"/>
      <c r="AK66" s="237"/>
    </row>
    <row r="67" spans="1:37" ht="18" customHeight="1">
      <c r="A67" s="239" t="s">
        <v>58</v>
      </c>
      <c r="B67" s="239" t="s">
        <v>75</v>
      </c>
      <c r="C67" s="239"/>
      <c r="D67" s="240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41">
        <v>0</v>
      </c>
      <c r="AI67" s="237">
        <f t="shared" si="2"/>
        <v>0</v>
      </c>
      <c r="AJ67" s="237"/>
      <c r="AK67" s="237"/>
    </row>
    <row r="68" spans="1:37" ht="18" customHeight="1">
      <c r="A68" s="239" t="s">
        <v>58</v>
      </c>
      <c r="B68" s="239" t="s">
        <v>76</v>
      </c>
      <c r="C68" s="239"/>
      <c r="D68" s="240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41">
        <v>0</v>
      </c>
      <c r="AI68" s="237">
        <f t="shared" ref="AI68:AI99" si="3">IF(A68="O", (VALUE(_xlfn.SINGLE(_xlfn.IFS(AH68=0,"0",AH68=1,"150",AH68=2,"300",AH68=3,"450",AH68=4,"600",AH68=5,"750",AH68&gt;=6,"800")))),(VALUE(_xlfn.SINGLE(_xlfn.IFS(AH68=0,"0",AH68=1,"150",AH68=2,"300",AH68=3,"450",AH68=4,"600",AH68=5,"750",AH68=6,"900",AH68&gt;=7,"1,000")))))</f>
        <v>0</v>
      </c>
      <c r="AJ68" s="237"/>
      <c r="AK68" s="237"/>
    </row>
    <row r="69" spans="1:37" ht="18" customHeight="1">
      <c r="A69" s="239" t="s">
        <v>58</v>
      </c>
      <c r="B69" s="239" t="s">
        <v>77</v>
      </c>
      <c r="C69" s="239"/>
      <c r="D69" s="240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41">
        <v>0</v>
      </c>
      <c r="AI69" s="237">
        <f t="shared" si="3"/>
        <v>0</v>
      </c>
      <c r="AJ69" s="237"/>
      <c r="AK69" s="237"/>
    </row>
    <row r="70" spans="1:37" ht="18" customHeight="1">
      <c r="A70" s="239" t="s">
        <v>58</v>
      </c>
      <c r="B70" s="239" t="s">
        <v>78</v>
      </c>
      <c r="C70" s="239"/>
      <c r="D70" s="240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41">
        <v>0</v>
      </c>
      <c r="AI70" s="237">
        <f t="shared" si="3"/>
        <v>0</v>
      </c>
      <c r="AJ70" s="237"/>
      <c r="AK70" s="237"/>
    </row>
    <row r="71" spans="1:37" ht="18" customHeight="1">
      <c r="A71" s="239" t="s">
        <v>58</v>
      </c>
      <c r="B71" s="239" t="s">
        <v>79</v>
      </c>
      <c r="C71" s="239"/>
      <c r="D71" s="240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41">
        <v>0</v>
      </c>
      <c r="AI71" s="237">
        <f t="shared" si="3"/>
        <v>0</v>
      </c>
      <c r="AJ71" s="237"/>
      <c r="AK71" s="237"/>
    </row>
    <row r="72" spans="1:37" ht="18" customHeight="1">
      <c r="A72" s="239" t="s">
        <v>58</v>
      </c>
      <c r="B72" s="239" t="s">
        <v>80</v>
      </c>
      <c r="C72" s="239"/>
      <c r="D72" s="240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41">
        <v>0</v>
      </c>
      <c r="AI72" s="237">
        <f t="shared" si="3"/>
        <v>0</v>
      </c>
      <c r="AJ72" s="237"/>
      <c r="AK72" s="237"/>
    </row>
    <row r="73" spans="1:37" ht="18" customHeight="1">
      <c r="A73" s="239" t="s">
        <v>58</v>
      </c>
      <c r="B73" s="239" t="s">
        <v>81</v>
      </c>
      <c r="C73" s="239"/>
      <c r="D73" s="240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41">
        <v>0</v>
      </c>
      <c r="AI73" s="237">
        <f t="shared" si="3"/>
        <v>0</v>
      </c>
      <c r="AJ73" s="237"/>
      <c r="AK73" s="237"/>
    </row>
    <row r="74" spans="1:37" ht="18" customHeight="1">
      <c r="A74" s="239" t="s">
        <v>58</v>
      </c>
      <c r="B74" s="239" t="s">
        <v>82</v>
      </c>
      <c r="C74" s="239"/>
      <c r="D74" s="240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41">
        <v>0</v>
      </c>
      <c r="AI74" s="237">
        <f t="shared" si="3"/>
        <v>0</v>
      </c>
      <c r="AJ74" s="237"/>
      <c r="AK74" s="237"/>
    </row>
    <row r="75" spans="1:37" ht="18" customHeight="1">
      <c r="A75" s="239" t="s">
        <v>58</v>
      </c>
      <c r="B75" s="239" t="s">
        <v>83</v>
      </c>
      <c r="C75" s="239"/>
      <c r="D75" s="240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41">
        <v>0</v>
      </c>
      <c r="AI75" s="237">
        <f t="shared" si="3"/>
        <v>0</v>
      </c>
      <c r="AJ75" s="237"/>
      <c r="AK75" s="237"/>
    </row>
    <row r="76" spans="1:37" ht="18" customHeight="1">
      <c r="A76" s="239" t="s">
        <v>58</v>
      </c>
      <c r="B76" s="239" t="s">
        <v>84</v>
      </c>
      <c r="C76" s="239"/>
      <c r="D76" s="240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41">
        <v>0</v>
      </c>
      <c r="AI76" s="237">
        <f t="shared" si="3"/>
        <v>0</v>
      </c>
      <c r="AJ76" s="237"/>
      <c r="AK76" s="237"/>
    </row>
    <row r="77" spans="1:37" ht="18" customHeight="1">
      <c r="A77" s="239" t="s">
        <v>58</v>
      </c>
      <c r="B77" s="239" t="s">
        <v>85</v>
      </c>
      <c r="C77" s="239"/>
      <c r="D77" s="240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41">
        <v>0</v>
      </c>
      <c r="AI77" s="237">
        <f t="shared" si="3"/>
        <v>0</v>
      </c>
      <c r="AJ77" s="237"/>
      <c r="AK77" s="237"/>
    </row>
    <row r="78" spans="1:37" ht="18" customHeight="1">
      <c r="A78" s="239" t="s">
        <v>58</v>
      </c>
      <c r="B78" s="239" t="s">
        <v>86</v>
      </c>
      <c r="C78" s="239"/>
      <c r="D78" s="240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41">
        <v>0</v>
      </c>
      <c r="AI78" s="237">
        <f t="shared" si="3"/>
        <v>0</v>
      </c>
      <c r="AJ78" s="237"/>
      <c r="AK78" s="237"/>
    </row>
    <row r="79" spans="1:37" ht="18" customHeight="1">
      <c r="A79" s="239" t="s">
        <v>58</v>
      </c>
      <c r="B79" s="239" t="s">
        <v>87</v>
      </c>
      <c r="C79" s="239"/>
      <c r="D79" s="240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41">
        <v>0</v>
      </c>
      <c r="AI79" s="237">
        <f t="shared" si="3"/>
        <v>0</v>
      </c>
      <c r="AJ79" s="237"/>
      <c r="AK79" s="234"/>
    </row>
    <row r="80" spans="1:37" ht="18" customHeight="1">
      <c r="A80" s="239" t="s">
        <v>58</v>
      </c>
      <c r="B80" s="239" t="s">
        <v>88</v>
      </c>
      <c r="C80" s="239"/>
      <c r="D80" s="240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41">
        <v>0</v>
      </c>
      <c r="AI80" s="237">
        <f t="shared" si="3"/>
        <v>0</v>
      </c>
      <c r="AJ80" s="237"/>
      <c r="AK80" s="234"/>
    </row>
    <row r="81" spans="1:37" ht="18" customHeight="1">
      <c r="A81" s="239"/>
      <c r="B81" s="239"/>
      <c r="C81" s="239"/>
      <c r="D81" s="240"/>
      <c r="E81" s="239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41"/>
      <c r="AI81" s="237"/>
      <c r="AJ81" s="237"/>
      <c r="AK81" s="234"/>
    </row>
    <row r="82" spans="1:37" ht="18" customHeight="1">
      <c r="A82" s="243" t="s">
        <v>9</v>
      </c>
      <c r="B82" s="243" t="s">
        <v>89</v>
      </c>
      <c r="C82" s="243"/>
      <c r="D82" s="244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5">
        <v>0</v>
      </c>
      <c r="AI82" s="246">
        <f t="shared" ref="AI82:AI106" si="4">IF(A82="O", (VALUE(_xlfn.SINGLE(_xlfn.IFS(AH82=0,"0",AH82=1,"150",AH82=2,"300",AH82=3,"450",AH82=4,"600",AH82=5,"750",AH82&gt;=6,"800")))),(VALUE(_xlfn.SINGLE(_xlfn.IFS(AH82=0,"0",AH82=1,"150",AH82=2,"300",AH82=3,"450",AH82=4,"600",AH82=5,"750",AH82=6,"900",AH82&gt;=7,"1,000")))))</f>
        <v>0</v>
      </c>
      <c r="AJ82" s="246"/>
      <c r="AK82" s="247"/>
    </row>
    <row r="83" spans="1:37" ht="18" customHeight="1">
      <c r="A83" s="243" t="s">
        <v>9</v>
      </c>
      <c r="B83" s="243" t="s">
        <v>90</v>
      </c>
      <c r="C83" s="243"/>
      <c r="D83" s="244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5">
        <v>0</v>
      </c>
      <c r="AI83" s="246">
        <f t="shared" si="4"/>
        <v>0</v>
      </c>
      <c r="AJ83" s="246"/>
      <c r="AK83" s="247"/>
    </row>
    <row r="84" spans="1:37" ht="18" customHeight="1">
      <c r="A84" s="243" t="s">
        <v>9</v>
      </c>
      <c r="B84" s="243" t="s">
        <v>91</v>
      </c>
      <c r="C84" s="243"/>
      <c r="D84" s="244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5">
        <v>0</v>
      </c>
      <c r="AI84" s="246">
        <f t="shared" si="4"/>
        <v>0</v>
      </c>
      <c r="AJ84" s="246"/>
      <c r="AK84" s="247"/>
    </row>
    <row r="85" spans="1:37" ht="18" customHeight="1">
      <c r="A85" s="243" t="s">
        <v>9</v>
      </c>
      <c r="B85" s="243" t="s">
        <v>92</v>
      </c>
      <c r="C85" s="243"/>
      <c r="D85" s="244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5">
        <v>0</v>
      </c>
      <c r="AI85" s="246">
        <f t="shared" si="4"/>
        <v>0</v>
      </c>
      <c r="AJ85" s="246"/>
      <c r="AK85" s="247"/>
    </row>
    <row r="86" spans="1:37" ht="18" customHeight="1">
      <c r="A86" s="243" t="s">
        <v>9</v>
      </c>
      <c r="B86" s="243" t="s">
        <v>93</v>
      </c>
      <c r="C86" s="243"/>
      <c r="D86" s="244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5">
        <v>0</v>
      </c>
      <c r="AI86" s="246">
        <f t="shared" si="4"/>
        <v>0</v>
      </c>
      <c r="AJ86" s="246"/>
      <c r="AK86" s="248"/>
    </row>
    <row r="87" spans="1:37" ht="18" customHeight="1">
      <c r="A87" s="243" t="s">
        <v>9</v>
      </c>
      <c r="B87" s="243" t="s">
        <v>94</v>
      </c>
      <c r="C87" s="243"/>
      <c r="D87" s="244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5">
        <v>0</v>
      </c>
      <c r="AI87" s="246">
        <f t="shared" si="4"/>
        <v>0</v>
      </c>
      <c r="AJ87" s="246"/>
      <c r="AK87" s="247"/>
    </row>
    <row r="88" spans="1:37" ht="18" customHeight="1">
      <c r="A88" s="243" t="s">
        <v>9</v>
      </c>
      <c r="B88" s="243" t="s">
        <v>95</v>
      </c>
      <c r="C88" s="243"/>
      <c r="D88" s="244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5">
        <v>0</v>
      </c>
      <c r="AI88" s="246">
        <f t="shared" si="4"/>
        <v>0</v>
      </c>
      <c r="AJ88" s="246"/>
      <c r="AK88" s="247"/>
    </row>
    <row r="89" spans="1:37" ht="18" customHeight="1">
      <c r="A89" s="243" t="s">
        <v>9</v>
      </c>
      <c r="B89" s="243" t="s">
        <v>96</v>
      </c>
      <c r="C89" s="243"/>
      <c r="D89" s="244"/>
      <c r="E89" s="243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  <c r="AH89" s="245">
        <v>0</v>
      </c>
      <c r="AI89" s="246">
        <f t="shared" si="4"/>
        <v>0</v>
      </c>
      <c r="AJ89" s="246"/>
      <c r="AK89" s="248"/>
    </row>
    <row r="90" spans="1:37" ht="18" customHeight="1">
      <c r="A90" s="243" t="s">
        <v>9</v>
      </c>
      <c r="B90" s="243" t="s">
        <v>97</v>
      </c>
      <c r="C90" s="243"/>
      <c r="D90" s="244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5">
        <v>0</v>
      </c>
      <c r="AI90" s="246">
        <f t="shared" si="4"/>
        <v>0</v>
      </c>
      <c r="AJ90" s="246"/>
      <c r="AK90" s="248"/>
    </row>
    <row r="91" spans="1:37" ht="18" customHeight="1">
      <c r="A91" s="243" t="s">
        <v>9</v>
      </c>
      <c r="B91" s="243" t="s">
        <v>98</v>
      </c>
      <c r="C91" s="243"/>
      <c r="D91" s="244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  <c r="AH91" s="245">
        <v>0</v>
      </c>
      <c r="AI91" s="246">
        <f t="shared" si="4"/>
        <v>0</v>
      </c>
      <c r="AJ91" s="246"/>
      <c r="AK91" s="248"/>
    </row>
    <row r="92" spans="1:37" ht="18" customHeight="1">
      <c r="A92" s="243" t="s">
        <v>9</v>
      </c>
      <c r="B92" s="243" t="s">
        <v>99</v>
      </c>
      <c r="C92" s="243"/>
      <c r="D92" s="244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5">
        <v>0</v>
      </c>
      <c r="AI92" s="246">
        <f t="shared" si="4"/>
        <v>0</v>
      </c>
      <c r="AJ92" s="246"/>
      <c r="AK92" s="248"/>
    </row>
    <row r="93" spans="1:37" ht="18" customHeight="1">
      <c r="A93" s="243" t="s">
        <v>9</v>
      </c>
      <c r="B93" s="243" t="s">
        <v>100</v>
      </c>
      <c r="C93" s="243"/>
      <c r="D93" s="244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5">
        <v>0</v>
      </c>
      <c r="AI93" s="246">
        <f t="shared" si="4"/>
        <v>0</v>
      </c>
      <c r="AJ93" s="246"/>
      <c r="AK93" s="248"/>
    </row>
    <row r="94" spans="1:37" ht="18" customHeight="1">
      <c r="A94" s="243" t="s">
        <v>9</v>
      </c>
      <c r="B94" s="243" t="s">
        <v>101</v>
      </c>
      <c r="C94" s="243"/>
      <c r="D94" s="244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5">
        <v>0</v>
      </c>
      <c r="AI94" s="246">
        <f t="shared" si="4"/>
        <v>0</v>
      </c>
      <c r="AJ94" s="246"/>
      <c r="AK94" s="248"/>
    </row>
    <row r="95" spans="1:37" ht="18" customHeight="1">
      <c r="A95" s="243" t="s">
        <v>9</v>
      </c>
      <c r="B95" s="243" t="s">
        <v>102</v>
      </c>
      <c r="C95" s="243"/>
      <c r="D95" s="244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5">
        <v>0</v>
      </c>
      <c r="AI95" s="246">
        <f t="shared" si="4"/>
        <v>0</v>
      </c>
      <c r="AJ95" s="246"/>
      <c r="AK95" s="248"/>
    </row>
    <row r="96" spans="1:37" ht="18" customHeight="1">
      <c r="A96" s="243" t="s">
        <v>9</v>
      </c>
      <c r="B96" s="243" t="s">
        <v>103</v>
      </c>
      <c r="C96" s="243"/>
      <c r="D96" s="244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5">
        <v>0</v>
      </c>
      <c r="AI96" s="246">
        <f t="shared" si="4"/>
        <v>0</v>
      </c>
      <c r="AJ96" s="246"/>
      <c r="AK96" s="247"/>
    </row>
    <row r="97" spans="1:37" ht="18" customHeight="1">
      <c r="A97" s="243" t="s">
        <v>9</v>
      </c>
      <c r="B97" s="243" t="s">
        <v>104</v>
      </c>
      <c r="C97" s="243"/>
      <c r="D97" s="244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5">
        <v>0</v>
      </c>
      <c r="AI97" s="246">
        <f t="shared" si="4"/>
        <v>0</v>
      </c>
      <c r="AJ97" s="246"/>
      <c r="AK97" s="247"/>
    </row>
    <row r="98" spans="1:37" ht="18" customHeight="1">
      <c r="A98" s="243" t="s">
        <v>9</v>
      </c>
      <c r="B98" s="243" t="s">
        <v>105</v>
      </c>
      <c r="C98" s="243"/>
      <c r="D98" s="244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5">
        <v>0</v>
      </c>
      <c r="AI98" s="246">
        <f t="shared" si="4"/>
        <v>0</v>
      </c>
      <c r="AJ98" s="246"/>
      <c r="AK98" s="247"/>
    </row>
    <row r="99" spans="1:37" ht="18" customHeight="1">
      <c r="A99" s="243" t="s">
        <v>9</v>
      </c>
      <c r="B99" s="243" t="s">
        <v>106</v>
      </c>
      <c r="C99" s="243"/>
      <c r="D99" s="244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5">
        <v>0</v>
      </c>
      <c r="AI99" s="246">
        <f t="shared" si="4"/>
        <v>0</v>
      </c>
      <c r="AJ99" s="246"/>
      <c r="AK99" s="243"/>
    </row>
    <row r="100" spans="1:37" ht="18" customHeight="1">
      <c r="A100" s="243" t="s">
        <v>9</v>
      </c>
      <c r="B100" s="243" t="s">
        <v>107</v>
      </c>
      <c r="C100" s="243"/>
      <c r="D100" s="244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5">
        <v>0</v>
      </c>
      <c r="AI100" s="246">
        <f t="shared" si="4"/>
        <v>0</v>
      </c>
      <c r="AJ100" s="246"/>
      <c r="AK100" s="243"/>
    </row>
    <row r="101" spans="1:37" ht="18" customHeight="1">
      <c r="A101" s="243" t="s">
        <v>9</v>
      </c>
      <c r="B101" s="243" t="s">
        <v>108</v>
      </c>
      <c r="C101" s="243"/>
      <c r="D101" s="244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5">
        <v>0</v>
      </c>
      <c r="AI101" s="246">
        <f t="shared" si="4"/>
        <v>0</v>
      </c>
      <c r="AJ101" s="246"/>
      <c r="AK101" s="243"/>
    </row>
    <row r="102" spans="1:37" ht="18" customHeight="1">
      <c r="A102" s="243" t="s">
        <v>9</v>
      </c>
      <c r="B102" s="243" t="s">
        <v>109</v>
      </c>
      <c r="C102" s="243"/>
      <c r="D102" s="244"/>
      <c r="E102" s="243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5">
        <v>0</v>
      </c>
      <c r="AI102" s="246">
        <f t="shared" si="4"/>
        <v>0</v>
      </c>
      <c r="AJ102" s="246"/>
      <c r="AK102" s="243"/>
    </row>
    <row r="103" spans="1:37" ht="18" customHeight="1">
      <c r="A103" s="243" t="s">
        <v>9</v>
      </c>
      <c r="B103" s="243" t="s">
        <v>110</v>
      </c>
      <c r="C103" s="243"/>
      <c r="D103" s="244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5">
        <v>0</v>
      </c>
      <c r="AI103" s="246">
        <f t="shared" si="4"/>
        <v>0</v>
      </c>
      <c r="AJ103" s="246"/>
      <c r="AK103" s="243"/>
    </row>
    <row r="104" spans="1:37" ht="18" customHeight="1">
      <c r="A104" s="243" t="s">
        <v>9</v>
      </c>
      <c r="B104" s="243" t="s">
        <v>111</v>
      </c>
      <c r="C104" s="243"/>
      <c r="D104" s="244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5">
        <v>0</v>
      </c>
      <c r="AI104" s="246">
        <f t="shared" si="4"/>
        <v>0</v>
      </c>
      <c r="AJ104" s="246"/>
      <c r="AK104" s="243"/>
    </row>
    <row r="105" spans="1:37" ht="18" customHeight="1">
      <c r="A105" s="243" t="s">
        <v>9</v>
      </c>
      <c r="B105" s="243" t="s">
        <v>112</v>
      </c>
      <c r="C105" s="243"/>
      <c r="D105" s="244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5">
        <v>0</v>
      </c>
      <c r="AI105" s="246">
        <f t="shared" si="4"/>
        <v>0</v>
      </c>
      <c r="AJ105" s="246"/>
      <c r="AK105" s="243"/>
    </row>
    <row r="106" spans="1:37" ht="18" customHeight="1">
      <c r="A106" s="243" t="s">
        <v>9</v>
      </c>
      <c r="B106" s="243" t="s">
        <v>113</v>
      </c>
      <c r="C106" s="243"/>
      <c r="D106" s="244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5">
        <v>0</v>
      </c>
      <c r="AI106" s="246">
        <f t="shared" si="4"/>
        <v>0</v>
      </c>
      <c r="AJ106" s="246"/>
      <c r="AK106" s="243"/>
    </row>
    <row r="107" spans="1:37" ht="18" customHeight="1">
      <c r="A107" s="244" t="s">
        <v>9</v>
      </c>
      <c r="B107" s="244" t="s">
        <v>114</v>
      </c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44"/>
      <c r="O107" s="244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  <c r="AD107" s="244"/>
      <c r="AE107" s="244"/>
      <c r="AF107" s="244"/>
      <c r="AG107" s="244"/>
      <c r="AH107" s="245">
        <v>0</v>
      </c>
      <c r="AI107" s="246">
        <f t="shared" ref="AI107:AI138" si="5">IF(A108="O", (VALUE(_xlfn.SINGLE(_xlfn.IFS(AH108=0,"0",AH108=1,"150",AH108=2,"300",AH108=3,"450",AH108=4,"600",AH108=5,"750",AH108&gt;=6,"800")))),(VALUE(_xlfn.SINGLE(_xlfn.IFS(AH108=0,"0",AH108=1,"150",AH108=2,"300",AH108=3,"450",AH108=4,"600",AH108=5,"750",AH108=6,"900",AH108&gt;=7,"1,000")))))</f>
        <v>0</v>
      </c>
      <c r="AJ107" s="246"/>
      <c r="AK107" s="244"/>
    </row>
    <row r="108" spans="1:37" ht="18" customHeight="1">
      <c r="A108" s="244" t="s">
        <v>9</v>
      </c>
      <c r="B108" s="244" t="s">
        <v>115</v>
      </c>
      <c r="C108" s="244"/>
      <c r="D108" s="244"/>
      <c r="E108" s="244"/>
      <c r="F108" s="244"/>
      <c r="G108" s="244"/>
      <c r="H108" s="244"/>
      <c r="I108" s="244"/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/>
      <c r="AH108" s="245">
        <v>0</v>
      </c>
      <c r="AI108" s="246">
        <f t="shared" si="5"/>
        <v>0</v>
      </c>
      <c r="AJ108" s="246"/>
      <c r="AK108" s="244"/>
    </row>
    <row r="109" spans="1:37" ht="18" customHeight="1">
      <c r="A109" s="249" t="s">
        <v>58</v>
      </c>
      <c r="B109" s="249" t="s">
        <v>116</v>
      </c>
      <c r="C109" s="249"/>
      <c r="D109" s="250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  <c r="AH109" s="251">
        <v>0</v>
      </c>
      <c r="AI109" s="246">
        <f t="shared" si="5"/>
        <v>0</v>
      </c>
      <c r="AJ109" s="246"/>
      <c r="AK109" s="253"/>
    </row>
    <row r="110" spans="1:37" ht="18" customHeight="1">
      <c r="A110" s="249" t="s">
        <v>58</v>
      </c>
      <c r="B110" s="249" t="s">
        <v>117</v>
      </c>
      <c r="C110" s="249"/>
      <c r="D110" s="250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  <c r="AH110" s="251">
        <v>0</v>
      </c>
      <c r="AI110" s="246">
        <f t="shared" si="5"/>
        <v>0</v>
      </c>
      <c r="AJ110" s="246"/>
      <c r="AK110" s="253"/>
    </row>
    <row r="111" spans="1:37" ht="18" customHeight="1">
      <c r="A111" s="249" t="s">
        <v>58</v>
      </c>
      <c r="B111" s="249" t="s">
        <v>118</v>
      </c>
      <c r="C111" s="249"/>
      <c r="D111" s="250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  <c r="AC111" s="249"/>
      <c r="AD111" s="249"/>
      <c r="AE111" s="249"/>
      <c r="AF111" s="249"/>
      <c r="AG111" s="249"/>
      <c r="AH111" s="251">
        <v>0</v>
      </c>
      <c r="AI111" s="246">
        <f t="shared" si="5"/>
        <v>0</v>
      </c>
      <c r="AJ111" s="246"/>
      <c r="AK111" s="253"/>
    </row>
    <row r="112" spans="1:37" ht="18" customHeight="1">
      <c r="A112" s="249" t="s">
        <v>58</v>
      </c>
      <c r="B112" s="249" t="s">
        <v>119</v>
      </c>
      <c r="C112" s="249"/>
      <c r="D112" s="250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51">
        <v>0</v>
      </c>
      <c r="AI112" s="246">
        <f t="shared" si="5"/>
        <v>0</v>
      </c>
      <c r="AJ112" s="246"/>
      <c r="AK112" s="252"/>
    </row>
    <row r="113" spans="1:37" ht="18" customHeight="1">
      <c r="A113" s="249" t="s">
        <v>58</v>
      </c>
      <c r="B113" s="249" t="s">
        <v>120</v>
      </c>
      <c r="C113" s="249"/>
      <c r="D113" s="250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51">
        <v>0</v>
      </c>
      <c r="AI113" s="246">
        <f t="shared" si="5"/>
        <v>0</v>
      </c>
      <c r="AJ113" s="246"/>
      <c r="AK113" s="252"/>
    </row>
    <row r="114" spans="1:37" ht="18" customHeight="1">
      <c r="A114" s="249" t="s">
        <v>58</v>
      </c>
      <c r="B114" s="249" t="s">
        <v>121</v>
      </c>
      <c r="C114" s="249"/>
      <c r="D114" s="250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  <c r="AC114" s="249"/>
      <c r="AD114" s="249"/>
      <c r="AE114" s="249"/>
      <c r="AF114" s="249"/>
      <c r="AG114" s="249"/>
      <c r="AH114" s="251">
        <v>0</v>
      </c>
      <c r="AI114" s="246">
        <f t="shared" si="5"/>
        <v>0</v>
      </c>
      <c r="AJ114" s="246"/>
      <c r="AK114" s="252"/>
    </row>
    <row r="115" spans="1:37" ht="18" customHeight="1">
      <c r="A115" s="249" t="s">
        <v>58</v>
      </c>
      <c r="B115" s="249" t="s">
        <v>122</v>
      </c>
      <c r="C115" s="249"/>
      <c r="D115" s="250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9"/>
      <c r="AD115" s="249"/>
      <c r="AE115" s="249"/>
      <c r="AF115" s="249"/>
      <c r="AG115" s="249"/>
      <c r="AH115" s="251">
        <v>0</v>
      </c>
      <c r="AI115" s="246">
        <f t="shared" si="5"/>
        <v>0</v>
      </c>
      <c r="AJ115" s="246"/>
      <c r="AK115" s="252"/>
    </row>
    <row r="116" spans="1:37" ht="18" customHeight="1">
      <c r="A116" s="249" t="s">
        <v>58</v>
      </c>
      <c r="B116" s="249" t="s">
        <v>123</v>
      </c>
      <c r="C116" s="249"/>
      <c r="D116" s="250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  <c r="AH116" s="251">
        <v>0</v>
      </c>
      <c r="AI116" s="246">
        <f t="shared" si="5"/>
        <v>0</v>
      </c>
      <c r="AJ116" s="246"/>
      <c r="AK116" s="253"/>
    </row>
    <row r="117" spans="1:37" ht="18" customHeight="1">
      <c r="A117" s="249" t="s">
        <v>58</v>
      </c>
      <c r="B117" s="249" t="s">
        <v>124</v>
      </c>
      <c r="C117" s="249"/>
      <c r="D117" s="250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9"/>
      <c r="AD117" s="249"/>
      <c r="AE117" s="249"/>
      <c r="AF117" s="249"/>
      <c r="AG117" s="249"/>
      <c r="AH117" s="251">
        <v>0</v>
      </c>
      <c r="AI117" s="246">
        <f t="shared" si="5"/>
        <v>0</v>
      </c>
      <c r="AJ117" s="246"/>
      <c r="AK117" s="253"/>
    </row>
    <row r="118" spans="1:37" ht="18" customHeight="1">
      <c r="A118" s="249" t="s">
        <v>58</v>
      </c>
      <c r="B118" s="249" t="s">
        <v>125</v>
      </c>
      <c r="C118" s="249"/>
      <c r="D118" s="250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9"/>
      <c r="AD118" s="249"/>
      <c r="AE118" s="249"/>
      <c r="AF118" s="249"/>
      <c r="AG118" s="249"/>
      <c r="AH118" s="251">
        <v>0</v>
      </c>
      <c r="AI118" s="246">
        <f t="shared" si="5"/>
        <v>0</v>
      </c>
      <c r="AJ118" s="246"/>
      <c r="AK118" s="253"/>
    </row>
    <row r="119" spans="1:37" ht="18" customHeight="1">
      <c r="A119" s="249" t="s">
        <v>58</v>
      </c>
      <c r="B119" s="249" t="s">
        <v>126</v>
      </c>
      <c r="C119" s="249"/>
      <c r="D119" s="250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49"/>
      <c r="Z119" s="249"/>
      <c r="AA119" s="249"/>
      <c r="AB119" s="249"/>
      <c r="AC119" s="249"/>
      <c r="AD119" s="249"/>
      <c r="AE119" s="249"/>
      <c r="AF119" s="249"/>
      <c r="AG119" s="249"/>
      <c r="AH119" s="251">
        <v>0</v>
      </c>
      <c r="AI119" s="246">
        <f t="shared" si="5"/>
        <v>0</v>
      </c>
      <c r="AJ119" s="246"/>
      <c r="AK119" s="253"/>
    </row>
    <row r="120" spans="1:37" ht="18" customHeight="1">
      <c r="A120" s="249" t="s">
        <v>58</v>
      </c>
      <c r="B120" s="249" t="s">
        <v>127</v>
      </c>
      <c r="C120" s="249"/>
      <c r="D120" s="250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  <c r="X120" s="249"/>
      <c r="Y120" s="249"/>
      <c r="Z120" s="249"/>
      <c r="AA120" s="249"/>
      <c r="AB120" s="249"/>
      <c r="AC120" s="249"/>
      <c r="AD120" s="249"/>
      <c r="AE120" s="249"/>
      <c r="AF120" s="249"/>
      <c r="AG120" s="249"/>
      <c r="AH120" s="251">
        <v>0</v>
      </c>
      <c r="AI120" s="246">
        <f t="shared" si="5"/>
        <v>0</v>
      </c>
      <c r="AJ120" s="246"/>
      <c r="AK120" s="253"/>
    </row>
    <row r="121" spans="1:37" ht="18" customHeight="1">
      <c r="A121" s="249" t="s">
        <v>58</v>
      </c>
      <c r="B121" s="249" t="s">
        <v>128</v>
      </c>
      <c r="C121" s="249"/>
      <c r="D121" s="250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249"/>
      <c r="Z121" s="249"/>
      <c r="AA121" s="249"/>
      <c r="AB121" s="249"/>
      <c r="AC121" s="249"/>
      <c r="AD121" s="249"/>
      <c r="AE121" s="249"/>
      <c r="AF121" s="249"/>
      <c r="AG121" s="249"/>
      <c r="AH121" s="251">
        <v>0</v>
      </c>
      <c r="AI121" s="246">
        <f t="shared" si="5"/>
        <v>0</v>
      </c>
      <c r="AJ121" s="246"/>
      <c r="AK121" s="253"/>
    </row>
    <row r="122" spans="1:37" ht="18" customHeight="1">
      <c r="A122" s="249" t="s">
        <v>58</v>
      </c>
      <c r="B122" s="249" t="s">
        <v>129</v>
      </c>
      <c r="C122" s="249"/>
      <c r="D122" s="250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  <c r="Y122" s="249"/>
      <c r="Z122" s="249"/>
      <c r="AA122" s="249"/>
      <c r="AB122" s="249"/>
      <c r="AC122" s="249"/>
      <c r="AD122" s="249"/>
      <c r="AE122" s="249"/>
      <c r="AF122" s="249"/>
      <c r="AG122" s="249"/>
      <c r="AH122" s="251">
        <v>0</v>
      </c>
      <c r="AI122" s="246">
        <f t="shared" si="5"/>
        <v>0</v>
      </c>
      <c r="AJ122" s="246"/>
      <c r="AK122" s="253"/>
    </row>
    <row r="123" spans="1:37" ht="18" customHeight="1">
      <c r="A123" s="249" t="s">
        <v>58</v>
      </c>
      <c r="B123" s="249" t="s">
        <v>130</v>
      </c>
      <c r="C123" s="249"/>
      <c r="D123" s="250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  <c r="Y123" s="249"/>
      <c r="Z123" s="249"/>
      <c r="AA123" s="249"/>
      <c r="AB123" s="249"/>
      <c r="AC123" s="249"/>
      <c r="AD123" s="249"/>
      <c r="AE123" s="249"/>
      <c r="AF123" s="249"/>
      <c r="AG123" s="249"/>
      <c r="AH123" s="251">
        <v>0</v>
      </c>
      <c r="AI123" s="246">
        <f t="shared" si="5"/>
        <v>0</v>
      </c>
      <c r="AJ123" s="246"/>
      <c r="AK123" s="253"/>
    </row>
    <row r="124" spans="1:37" ht="18" customHeight="1">
      <c r="A124" s="254" t="s">
        <v>58</v>
      </c>
      <c r="B124" s="254" t="s">
        <v>131</v>
      </c>
      <c r="C124" s="254"/>
      <c r="D124" s="255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  <c r="AD124" s="254"/>
      <c r="AE124" s="254"/>
      <c r="AF124" s="254"/>
      <c r="AG124" s="254"/>
      <c r="AH124" s="256">
        <v>0</v>
      </c>
      <c r="AI124" s="246">
        <f t="shared" si="5"/>
        <v>0</v>
      </c>
      <c r="AJ124" s="246"/>
      <c r="AK124" s="257"/>
    </row>
    <row r="125" spans="1:37" ht="18" customHeight="1">
      <c r="A125" s="254" t="s">
        <v>58</v>
      </c>
      <c r="B125" s="254" t="s">
        <v>132</v>
      </c>
      <c r="C125" s="254"/>
      <c r="D125" s="255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/>
      <c r="AH125" s="256">
        <v>0</v>
      </c>
      <c r="AI125" s="246">
        <f t="shared" si="5"/>
        <v>0</v>
      </c>
      <c r="AJ125" s="246"/>
      <c r="AK125" s="257"/>
    </row>
    <row r="126" spans="1:37" ht="18" customHeight="1">
      <c r="A126" s="254" t="s">
        <v>58</v>
      </c>
      <c r="B126" s="254" t="s">
        <v>133</v>
      </c>
      <c r="C126" s="254"/>
      <c r="D126" s="255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6">
        <v>0</v>
      </c>
      <c r="AI126" s="246">
        <f t="shared" si="5"/>
        <v>0</v>
      </c>
      <c r="AJ126" s="246"/>
      <c r="AK126" s="254"/>
    </row>
    <row r="127" spans="1:37" ht="18" customHeight="1">
      <c r="A127" s="254" t="s">
        <v>58</v>
      </c>
      <c r="B127" s="254" t="s">
        <v>134</v>
      </c>
      <c r="C127" s="254"/>
      <c r="D127" s="255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6">
        <v>0</v>
      </c>
      <c r="AI127" s="246">
        <f t="shared" si="5"/>
        <v>0</v>
      </c>
      <c r="AJ127" s="246"/>
      <c r="AK127" s="254"/>
    </row>
    <row r="128" spans="1:37" ht="18" customHeight="1">
      <c r="A128" s="254" t="s">
        <v>58</v>
      </c>
      <c r="B128" s="254" t="s">
        <v>135</v>
      </c>
      <c r="C128" s="254"/>
      <c r="D128" s="255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/>
      <c r="AH128" s="256">
        <v>0</v>
      </c>
      <c r="AI128" s="246">
        <f t="shared" si="5"/>
        <v>0</v>
      </c>
      <c r="AJ128" s="246"/>
      <c r="AK128" s="254"/>
    </row>
    <row r="129" spans="1:37" ht="18" customHeight="1">
      <c r="A129" s="254" t="s">
        <v>58</v>
      </c>
      <c r="B129" s="254" t="s">
        <v>136</v>
      </c>
      <c r="C129" s="254"/>
      <c r="D129" s="255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  <c r="AB129" s="254"/>
      <c r="AC129" s="254"/>
      <c r="AD129" s="254"/>
      <c r="AE129" s="254"/>
      <c r="AF129" s="254"/>
      <c r="AG129" s="254"/>
      <c r="AH129" s="256">
        <v>0</v>
      </c>
      <c r="AI129" s="246">
        <f t="shared" si="5"/>
        <v>0</v>
      </c>
      <c r="AJ129" s="246"/>
      <c r="AK129" s="254"/>
    </row>
    <row r="130" spans="1:37" ht="18" customHeight="1">
      <c r="A130" s="254" t="s">
        <v>58</v>
      </c>
      <c r="B130" s="254" t="s">
        <v>137</v>
      </c>
      <c r="C130" s="254"/>
      <c r="D130" s="255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  <c r="AB130" s="254"/>
      <c r="AC130" s="254"/>
      <c r="AD130" s="254"/>
      <c r="AE130" s="254"/>
      <c r="AF130" s="254"/>
      <c r="AG130" s="254"/>
      <c r="AH130" s="256">
        <v>0</v>
      </c>
      <c r="AI130" s="246">
        <f t="shared" si="5"/>
        <v>0</v>
      </c>
      <c r="AJ130" s="246"/>
      <c r="AK130" s="254"/>
    </row>
    <row r="131" spans="1:37" ht="18" customHeight="1">
      <c r="A131" s="254" t="s">
        <v>58</v>
      </c>
      <c r="B131" s="254" t="s">
        <v>138</v>
      </c>
      <c r="C131" s="254"/>
      <c r="D131" s="255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  <c r="AB131" s="254"/>
      <c r="AC131" s="254"/>
      <c r="AD131" s="254"/>
      <c r="AE131" s="254"/>
      <c r="AF131" s="254"/>
      <c r="AG131" s="254"/>
      <c r="AH131" s="256">
        <v>0</v>
      </c>
      <c r="AI131" s="246">
        <f t="shared" si="5"/>
        <v>0</v>
      </c>
      <c r="AJ131" s="246"/>
      <c r="AK131" s="254"/>
    </row>
    <row r="132" spans="1:37" ht="18" customHeight="1">
      <c r="A132" s="254" t="s">
        <v>58</v>
      </c>
      <c r="B132" s="254" t="s">
        <v>139</v>
      </c>
      <c r="C132" s="254"/>
      <c r="D132" s="255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  <c r="AB132" s="254"/>
      <c r="AC132" s="254"/>
      <c r="AD132" s="254"/>
      <c r="AE132" s="254"/>
      <c r="AF132" s="254"/>
      <c r="AG132" s="254"/>
      <c r="AH132" s="256">
        <v>0</v>
      </c>
      <c r="AI132" s="246">
        <f t="shared" si="5"/>
        <v>0</v>
      </c>
      <c r="AJ132" s="246"/>
      <c r="AK132" s="254"/>
    </row>
    <row r="133" spans="1:37" ht="18" customHeight="1">
      <c r="A133" s="254" t="s">
        <v>58</v>
      </c>
      <c r="B133" s="254" t="s">
        <v>140</v>
      </c>
      <c r="C133" s="254"/>
      <c r="D133" s="255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  <c r="AB133" s="254"/>
      <c r="AC133" s="254"/>
      <c r="AD133" s="254"/>
      <c r="AE133" s="254"/>
      <c r="AF133" s="254"/>
      <c r="AG133" s="254"/>
      <c r="AH133" s="256">
        <v>0</v>
      </c>
      <c r="AI133" s="246">
        <f t="shared" si="5"/>
        <v>0</v>
      </c>
      <c r="AJ133" s="246"/>
      <c r="AK133" s="254"/>
    </row>
    <row r="134" spans="1:37" ht="18" customHeight="1">
      <c r="A134" s="254" t="s">
        <v>58</v>
      </c>
      <c r="B134" s="254" t="s">
        <v>141</v>
      </c>
      <c r="C134" s="254"/>
      <c r="D134" s="255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  <c r="AD134" s="254"/>
      <c r="AE134" s="254"/>
      <c r="AF134" s="254"/>
      <c r="AG134" s="254"/>
      <c r="AH134" s="256">
        <v>0</v>
      </c>
      <c r="AI134" s="246">
        <f t="shared" si="5"/>
        <v>0</v>
      </c>
      <c r="AJ134" s="246"/>
      <c r="AK134" s="254"/>
    </row>
    <row r="135" spans="1:37" ht="18" customHeight="1">
      <c r="A135" s="254" t="s">
        <v>58</v>
      </c>
      <c r="B135" s="254" t="s">
        <v>142</v>
      </c>
      <c r="C135" s="254"/>
      <c r="D135" s="255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  <c r="AD135" s="254"/>
      <c r="AE135" s="254"/>
      <c r="AF135" s="254"/>
      <c r="AG135" s="254"/>
      <c r="AH135" s="256">
        <v>0</v>
      </c>
      <c r="AI135" s="246">
        <f t="shared" si="5"/>
        <v>0</v>
      </c>
      <c r="AJ135" s="246"/>
      <c r="AK135" s="254"/>
    </row>
    <row r="136" spans="1:37" ht="18" customHeight="1">
      <c r="A136" s="254" t="s">
        <v>58</v>
      </c>
      <c r="B136" s="254" t="s">
        <v>143</v>
      </c>
      <c r="C136" s="254"/>
      <c r="D136" s="255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  <c r="AD136" s="254"/>
      <c r="AE136" s="254"/>
      <c r="AF136" s="254"/>
      <c r="AG136" s="254"/>
      <c r="AH136" s="256">
        <v>0</v>
      </c>
      <c r="AI136" s="246">
        <f t="shared" si="5"/>
        <v>0</v>
      </c>
      <c r="AJ136" s="246"/>
      <c r="AK136" s="254"/>
    </row>
    <row r="137" spans="1:37" ht="18" customHeight="1">
      <c r="A137" s="254" t="s">
        <v>58</v>
      </c>
      <c r="B137" s="254" t="s">
        <v>144</v>
      </c>
      <c r="C137" s="254"/>
      <c r="D137" s="255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  <c r="AD137" s="254"/>
      <c r="AE137" s="254"/>
      <c r="AF137" s="254"/>
      <c r="AG137" s="254"/>
      <c r="AH137" s="256">
        <v>0</v>
      </c>
      <c r="AI137" s="246">
        <f t="shared" si="5"/>
        <v>0</v>
      </c>
      <c r="AJ137" s="246"/>
      <c r="AK137" s="254"/>
    </row>
    <row r="138" spans="1:37" ht="18" customHeight="1">
      <c r="A138" s="254" t="s">
        <v>58</v>
      </c>
      <c r="B138" s="254" t="s">
        <v>145</v>
      </c>
      <c r="C138" s="254"/>
      <c r="D138" s="255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  <c r="AD138" s="254"/>
      <c r="AE138" s="254"/>
      <c r="AF138" s="254"/>
      <c r="AG138" s="254"/>
      <c r="AH138" s="256">
        <v>0</v>
      </c>
      <c r="AI138" s="246">
        <f t="shared" si="5"/>
        <v>0</v>
      </c>
      <c r="AJ138" s="246"/>
      <c r="AK138" s="254"/>
    </row>
    <row r="139" spans="1:37" ht="18" customHeight="1">
      <c r="A139" s="243" t="s">
        <v>58</v>
      </c>
      <c r="B139" s="243" t="s">
        <v>146</v>
      </c>
      <c r="C139" s="243"/>
      <c r="D139" s="244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5">
        <v>0</v>
      </c>
      <c r="AI139" s="246">
        <f t="shared" ref="AI139:AI159" si="6">IF(A140="O", (VALUE(_xlfn.SINGLE(_xlfn.IFS(AH140=0,"0",AH140=1,"150",AH140=2,"300",AH140=3,"450",AH140=4,"600",AH140=5,"750",AH140&gt;=6,"800")))),(VALUE(_xlfn.SINGLE(_xlfn.IFS(AH140=0,"0",AH140=1,"150",AH140=2,"300",AH140=3,"450",AH140=4,"600",AH140=5,"750",AH140=6,"900",AH140&gt;=7,"1,000")))))</f>
        <v>0</v>
      </c>
      <c r="AJ139" s="246"/>
      <c r="AK139" s="248"/>
    </row>
    <row r="140" spans="1:37" ht="18" customHeight="1">
      <c r="A140" s="243" t="s">
        <v>58</v>
      </c>
      <c r="B140" s="243" t="s">
        <v>147</v>
      </c>
      <c r="C140" s="243"/>
      <c r="D140" s="244"/>
      <c r="E140" s="243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5">
        <v>0</v>
      </c>
      <c r="AI140" s="246">
        <f t="shared" si="6"/>
        <v>0</v>
      </c>
      <c r="AJ140" s="246"/>
      <c r="AK140" s="247"/>
    </row>
    <row r="141" spans="1:37" ht="18" customHeight="1">
      <c r="A141" s="243" t="s">
        <v>58</v>
      </c>
      <c r="B141" s="243" t="s">
        <v>148</v>
      </c>
      <c r="C141" s="243"/>
      <c r="D141" s="244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5">
        <v>0</v>
      </c>
      <c r="AI141" s="246">
        <f t="shared" si="6"/>
        <v>0</v>
      </c>
      <c r="AJ141" s="246"/>
      <c r="AK141" s="243"/>
    </row>
    <row r="142" spans="1:37" ht="18" customHeight="1">
      <c r="A142" s="243" t="s">
        <v>58</v>
      </c>
      <c r="B142" s="243" t="s">
        <v>149</v>
      </c>
      <c r="C142" s="243"/>
      <c r="D142" s="244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5">
        <v>0</v>
      </c>
      <c r="AI142" s="246">
        <f t="shared" si="6"/>
        <v>0</v>
      </c>
      <c r="AJ142" s="246"/>
      <c r="AK142" s="243"/>
    </row>
    <row r="143" spans="1:37" ht="18" customHeight="1">
      <c r="A143" s="243" t="s">
        <v>58</v>
      </c>
      <c r="B143" s="243" t="s">
        <v>150</v>
      </c>
      <c r="C143" s="243"/>
      <c r="D143" s="244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  <c r="AH143" s="245">
        <v>0</v>
      </c>
      <c r="AI143" s="246">
        <f t="shared" si="6"/>
        <v>0</v>
      </c>
      <c r="AJ143" s="246"/>
      <c r="AK143" s="247"/>
    </row>
    <row r="144" spans="1:37" ht="18" customHeight="1">
      <c r="A144" s="243" t="s">
        <v>58</v>
      </c>
      <c r="B144" s="243" t="s">
        <v>151</v>
      </c>
      <c r="C144" s="243"/>
      <c r="D144" s="244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5">
        <v>0</v>
      </c>
      <c r="AI144" s="246">
        <f t="shared" si="6"/>
        <v>0</v>
      </c>
      <c r="AJ144" s="246"/>
      <c r="AK144" s="243"/>
    </row>
    <row r="145" spans="1:37" ht="18" customHeight="1">
      <c r="A145" s="243" t="s">
        <v>58</v>
      </c>
      <c r="B145" s="258" t="s">
        <v>152</v>
      </c>
      <c r="C145" s="243"/>
      <c r="D145" s="244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5">
        <v>0</v>
      </c>
      <c r="AI145" s="246">
        <f t="shared" si="6"/>
        <v>0</v>
      </c>
      <c r="AJ145" s="246"/>
      <c r="AK145" s="248"/>
    </row>
    <row r="146" spans="1:37" ht="18" customHeight="1">
      <c r="A146" s="243" t="s">
        <v>58</v>
      </c>
      <c r="B146" s="243" t="s">
        <v>153</v>
      </c>
      <c r="C146" s="243"/>
      <c r="D146" s="244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5">
        <v>0</v>
      </c>
      <c r="AI146" s="246">
        <f t="shared" si="6"/>
        <v>0</v>
      </c>
      <c r="AJ146" s="246"/>
      <c r="AK146" s="248"/>
    </row>
    <row r="147" spans="1:37" ht="18" customHeight="1">
      <c r="A147" s="243" t="s">
        <v>58</v>
      </c>
      <c r="B147" s="243" t="s">
        <v>154</v>
      </c>
      <c r="C147" s="243"/>
      <c r="D147" s="244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5">
        <v>0</v>
      </c>
      <c r="AI147" s="246">
        <f t="shared" si="6"/>
        <v>0</v>
      </c>
      <c r="AJ147" s="246"/>
      <c r="AK147" s="248"/>
    </row>
    <row r="148" spans="1:37" ht="18" customHeight="1">
      <c r="A148" s="243" t="s">
        <v>58</v>
      </c>
      <c r="B148" s="243" t="s">
        <v>155</v>
      </c>
      <c r="C148" s="243"/>
      <c r="D148" s="244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5">
        <v>0</v>
      </c>
      <c r="AI148" s="246">
        <f t="shared" si="6"/>
        <v>0</v>
      </c>
      <c r="AJ148" s="246"/>
      <c r="AK148" s="248"/>
    </row>
    <row r="149" spans="1:37" ht="18" customHeight="1">
      <c r="A149" s="243" t="s">
        <v>58</v>
      </c>
      <c r="B149" s="243" t="s">
        <v>156</v>
      </c>
      <c r="C149" s="243"/>
      <c r="D149" s="244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5">
        <v>0</v>
      </c>
      <c r="AI149" s="246">
        <f t="shared" si="6"/>
        <v>0</v>
      </c>
      <c r="AJ149" s="246"/>
      <c r="AK149" s="248"/>
    </row>
    <row r="150" spans="1:37" ht="18" customHeight="1">
      <c r="A150" s="243" t="s">
        <v>58</v>
      </c>
      <c r="B150" s="243" t="s">
        <v>157</v>
      </c>
      <c r="C150" s="243"/>
      <c r="D150" s="244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5">
        <v>0</v>
      </c>
      <c r="AI150" s="246">
        <f t="shared" si="6"/>
        <v>0</v>
      </c>
      <c r="AJ150" s="246"/>
      <c r="AK150" s="248"/>
    </row>
    <row r="151" spans="1:37" ht="18" customHeight="1">
      <c r="A151" s="243" t="s">
        <v>58</v>
      </c>
      <c r="B151" s="243" t="s">
        <v>158</v>
      </c>
      <c r="C151" s="243"/>
      <c r="D151" s="244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5">
        <v>0</v>
      </c>
      <c r="AI151" s="246">
        <f t="shared" si="6"/>
        <v>0</v>
      </c>
      <c r="AJ151" s="246"/>
      <c r="AK151" s="248"/>
    </row>
    <row r="152" spans="1:37" ht="18" customHeight="1">
      <c r="A152" s="243" t="s">
        <v>58</v>
      </c>
      <c r="B152" s="243" t="s">
        <v>159</v>
      </c>
      <c r="C152" s="243"/>
      <c r="D152" s="244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5">
        <v>0</v>
      </c>
      <c r="AI152" s="246">
        <f t="shared" si="6"/>
        <v>0</v>
      </c>
      <c r="AJ152" s="246"/>
      <c r="AK152" s="248"/>
    </row>
    <row r="153" spans="1:37" ht="18" customHeight="1">
      <c r="A153" s="243" t="s">
        <v>58</v>
      </c>
      <c r="B153" s="243" t="s">
        <v>160</v>
      </c>
      <c r="C153" s="243"/>
      <c r="D153" s="244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5">
        <v>0</v>
      </c>
      <c r="AI153" s="246">
        <f t="shared" si="6"/>
        <v>0</v>
      </c>
      <c r="AJ153" s="246"/>
      <c r="AK153" s="248"/>
    </row>
    <row r="154" spans="1:37" ht="18" customHeight="1">
      <c r="A154" s="243" t="s">
        <v>58</v>
      </c>
      <c r="B154" s="243" t="s">
        <v>161</v>
      </c>
      <c r="C154" s="243"/>
      <c r="D154" s="244"/>
      <c r="E154" s="243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5">
        <v>0</v>
      </c>
      <c r="AI154" s="246">
        <f t="shared" si="6"/>
        <v>0</v>
      </c>
      <c r="AJ154" s="246"/>
      <c r="AK154" s="248"/>
    </row>
    <row r="155" spans="1:37" ht="18" customHeight="1">
      <c r="A155" s="243" t="s">
        <v>58</v>
      </c>
      <c r="B155" s="243" t="s">
        <v>162</v>
      </c>
      <c r="C155" s="243"/>
      <c r="D155" s="244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  <c r="AH155" s="245">
        <v>0</v>
      </c>
      <c r="AI155" s="246">
        <f t="shared" si="6"/>
        <v>0</v>
      </c>
      <c r="AJ155" s="246"/>
      <c r="AK155" s="248"/>
    </row>
    <row r="156" spans="1:37" ht="18" customHeight="1">
      <c r="A156" s="243" t="s">
        <v>58</v>
      </c>
      <c r="B156" s="243" t="s">
        <v>163</v>
      </c>
      <c r="C156" s="243"/>
      <c r="D156" s="244"/>
      <c r="E156" s="243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  <c r="AH156" s="245">
        <v>0</v>
      </c>
      <c r="AI156" s="246">
        <f t="shared" si="6"/>
        <v>0</v>
      </c>
      <c r="AJ156" s="246"/>
      <c r="AK156" s="248"/>
    </row>
    <row r="157" spans="1:37" ht="18" customHeight="1">
      <c r="A157" s="243" t="s">
        <v>58</v>
      </c>
      <c r="B157" s="243" t="s">
        <v>164</v>
      </c>
      <c r="C157" s="243"/>
      <c r="D157" s="244"/>
      <c r="E157" s="243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  <c r="AH157" s="245">
        <v>0</v>
      </c>
      <c r="AI157" s="246">
        <f t="shared" si="6"/>
        <v>0</v>
      </c>
      <c r="AJ157" s="246"/>
      <c r="AK157" s="248"/>
    </row>
    <row r="158" spans="1:37" ht="18" customHeight="1">
      <c r="A158" s="243" t="s">
        <v>58</v>
      </c>
      <c r="B158" s="243" t="s">
        <v>165</v>
      </c>
      <c r="C158" s="243"/>
      <c r="D158" s="244"/>
      <c r="E158" s="243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  <c r="AH158" s="245">
        <v>0</v>
      </c>
      <c r="AI158" s="246">
        <f t="shared" si="6"/>
        <v>0</v>
      </c>
      <c r="AJ158" s="246"/>
      <c r="AK158" s="248"/>
    </row>
    <row r="159" spans="1:37" ht="18" customHeight="1">
      <c r="A159" s="243" t="s">
        <v>58</v>
      </c>
      <c r="B159" s="243" t="s">
        <v>166</v>
      </c>
      <c r="C159" s="243"/>
      <c r="D159" s="244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5">
        <v>0</v>
      </c>
      <c r="AI159" s="246">
        <f t="shared" si="6"/>
        <v>0</v>
      </c>
      <c r="AJ159" s="246"/>
      <c r="AK159" s="248"/>
    </row>
    <row r="160" spans="1:37" ht="18" customHeight="1">
      <c r="A160" s="263" t="s">
        <v>58</v>
      </c>
      <c r="B160" s="263" t="s">
        <v>167</v>
      </c>
      <c r="C160" s="263"/>
      <c r="D160" s="264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  <c r="AB160" s="263"/>
      <c r="AC160" s="263"/>
      <c r="AD160" s="263"/>
      <c r="AE160" s="263"/>
      <c r="AF160" s="263"/>
      <c r="AG160" s="263"/>
      <c r="AH160" s="265"/>
      <c r="AI160" s="266"/>
      <c r="AJ160" s="266"/>
      <c r="AK160" s="267"/>
    </row>
    <row r="161" spans="1:37" ht="12.5" customHeight="1">
      <c r="A161" s="263" t="s">
        <v>58</v>
      </c>
      <c r="B161" s="263" t="s">
        <v>169</v>
      </c>
      <c r="C161" s="263"/>
      <c r="D161" s="264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  <c r="AB161" s="263"/>
      <c r="AC161" s="263"/>
      <c r="AD161" s="263"/>
      <c r="AE161" s="263"/>
      <c r="AF161" s="263"/>
      <c r="AG161" s="263"/>
      <c r="AH161" s="265"/>
      <c r="AI161" s="266"/>
      <c r="AJ161" s="266"/>
      <c r="AK161" s="267"/>
    </row>
    <row r="162" spans="1:37" ht="12.5" customHeight="1"/>
    <row r="163" spans="1:37" ht="12.5" customHeight="1"/>
    <row r="164" spans="1:37" ht="12.5" customHeight="1"/>
    <row r="165" spans="1:37" ht="12.5" customHeight="1"/>
    <row r="166" spans="1:37" ht="12.5" customHeight="1"/>
  </sheetData>
  <mergeCells count="1">
    <mergeCell ref="AK1:AK2"/>
  </mergeCells>
  <phoneticPr fontId="12" type="noConversion"/>
  <printOptions horizontalCentered="1" gridLines="1"/>
  <pageMargins left="0.25" right="0.25" top="0.6" bottom="0.6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202304</vt:lpstr>
      <vt:lpstr>202305</vt:lpstr>
      <vt:lpstr>202306</vt:lpstr>
      <vt:lpstr>202307</vt:lpstr>
      <vt:lpstr>202308</vt:lpstr>
      <vt:lpstr>202309</vt:lpstr>
      <vt:lpstr>202310</vt:lpstr>
      <vt:lpstr>202311</vt:lpstr>
      <vt:lpstr>202312</vt:lpstr>
      <vt:lpstr>202401</vt:lpstr>
      <vt:lpstr>202402</vt:lpstr>
      <vt:lpstr>202403</vt:lpstr>
      <vt:lpstr>202404</vt:lpstr>
      <vt:lpstr>202405</vt:lpstr>
      <vt:lpstr>202406</vt:lpstr>
      <vt:lpstr>202407</vt:lpstr>
      <vt:lpstr>202408</vt:lpstr>
      <vt:lpstr>202409</vt:lpstr>
      <vt:lpstr>202410</vt:lpstr>
      <vt:lpstr>202411</vt:lpstr>
      <vt:lpstr>202501</vt:lpstr>
      <vt:lpstr>202502</vt:lpstr>
      <vt:lpstr>202503</vt:lpstr>
      <vt:lpstr>202504</vt:lpstr>
      <vt:lpstr>202412</vt:lpstr>
      <vt:lpstr>202506</vt:lpstr>
      <vt:lpstr>202507</vt:lpstr>
      <vt:lpstr>202508</vt:lpstr>
      <vt:lpstr>202509</vt:lpstr>
      <vt:lpstr>「202508」的副本</vt:lpstr>
      <vt:lpstr>「「202508」的副本」的副本</vt:lpstr>
      <vt:lpstr>202510</vt:lpstr>
      <vt:lpstr>202511</vt:lpstr>
      <vt:lpstr>202512</vt:lpstr>
      <vt:lpstr>202608</vt:lpstr>
      <vt:lpstr>202609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Zhan, Aaron</dc:creator>
  <cp:lastModifiedBy>Zhan, Aaron</cp:lastModifiedBy>
  <dcterms:created xsi:type="dcterms:W3CDTF">2026-09-15T02:57:11Z</dcterms:created>
  <dcterms:modified xsi:type="dcterms:W3CDTF">2026-09-18T09:29:40Z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ff6d80-3782-4df6-bf6c-659f84558040_Enabled">
    <vt:lpwstr>true</vt:lpwstr>
  </property>
  <property fmtid="{D5CDD505-2E9C-101B-9397-08002B2CF9AE}" pid="3" name="MSIP_Label_f3ff6d80-3782-4df6-bf6c-659f84558040_SetDate">
    <vt:lpwstr>2026-09-15T02:56:19Z</vt:lpwstr>
  </property>
  <property fmtid="{D5CDD505-2E9C-101B-9397-08002B2CF9AE}" pid="4" name="MSIP_Label_f3ff6d80-3782-4df6-bf6c-659f84558040_Method">
    <vt:lpwstr>Standard</vt:lpwstr>
  </property>
  <property fmtid="{D5CDD505-2E9C-101B-9397-08002B2CF9AE}" pid="5" name="MSIP_Label_f3ff6d80-3782-4df6-bf6c-659f84558040_Name">
    <vt:lpwstr>f3ff6d80-3782-4df6-bf6c-659f84558040</vt:lpwstr>
  </property>
  <property fmtid="{D5CDD505-2E9C-101B-9397-08002B2CF9AE}" pid="6" name="MSIP_Label_f3ff6d80-3782-4df6-bf6c-659f84558040_SiteId">
    <vt:lpwstr>38d0d425-ba52-4c0a-a03e-2a65c8e82e2d</vt:lpwstr>
  </property>
  <property fmtid="{D5CDD505-2E9C-101B-9397-08002B2CF9AE}" pid="7" name="MSIP_Label_f3ff6d80-3782-4df6-bf6c-659f84558040_ActionId">
    <vt:lpwstr>9d7e8ded-b8e6-4683-bdd8-c860116cef86</vt:lpwstr>
  </property>
  <property fmtid="{D5CDD505-2E9C-101B-9397-08002B2CF9AE}" pid="8" name="MSIP_Label_f3ff6d80-3782-4df6-bf6c-659f84558040_ContentBits">
    <vt:lpwstr>0</vt:lpwstr>
  </property>
  <property fmtid="{D5CDD505-2E9C-101B-9397-08002B2CF9AE}" pid="9" name="MSIP_Label_f3ff6d80-3782-4df6-bf6c-659f84558040_Tag">
    <vt:lpwstr>10, 3, 0, 1</vt:lpwstr>
  </property>
</Properties>
</file>